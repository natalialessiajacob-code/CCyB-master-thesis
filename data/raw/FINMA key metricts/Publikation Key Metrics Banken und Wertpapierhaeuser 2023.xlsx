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filterPrivacy="1"/>
  <xr:revisionPtr revIDLastSave="0" documentId="13_ncr:1_{9DFCDF2D-1402-EE4E-976D-F5691997B4C1}" xr6:coauthVersionLast="47" xr6:coauthVersionMax="47" xr10:uidLastSave="{00000000-0000-0000-0000-000000000000}"/>
  <bookViews>
    <workbookView xWindow="13800" yWindow="820" windowWidth="28800" windowHeight="15960" xr2:uid="{00000000-000D-0000-FFFF-FFFF00000000}"/>
  </bookViews>
  <sheets>
    <sheet name="Tabelle1" sheetId="17" r:id="rId1"/>
    <sheet name="Key Metrics 2023" sheetId="16" r:id="rId2"/>
  </sheets>
  <definedNames>
    <definedName name="_xlnm.Print_Area" localSheetId="1">'Key Metrics 2023'!$A$1:$AC$177</definedName>
    <definedName name="_xlnm.Print_Titles" localSheetId="1">'Key Metrics 2023'!$6:$7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" i="16" l="1"/>
  <c r="L1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L50" i="16"/>
  <c r="L51" i="16"/>
  <c r="L52" i="16"/>
  <c r="L53" i="16"/>
  <c r="L54" i="16"/>
  <c r="L55" i="16"/>
  <c r="L56" i="16"/>
  <c r="L57" i="16"/>
  <c r="L58" i="16"/>
  <c r="L59" i="16"/>
  <c r="L60" i="16"/>
  <c r="L61" i="16"/>
  <c r="L62" i="16"/>
  <c r="L63" i="16"/>
  <c r="L64" i="16"/>
  <c r="L65" i="16"/>
  <c r="L66" i="16"/>
  <c r="L67" i="16"/>
  <c r="L68" i="16"/>
  <c r="L69" i="16"/>
  <c r="L70" i="16"/>
  <c r="L71" i="16"/>
  <c r="L72" i="16"/>
  <c r="L73" i="16"/>
  <c r="L74" i="16"/>
  <c r="L75" i="16"/>
  <c r="L76" i="16"/>
  <c r="L77" i="16"/>
  <c r="L78" i="16"/>
  <c r="L79" i="16"/>
  <c r="L80" i="16"/>
  <c r="L81" i="16"/>
  <c r="L82" i="16"/>
  <c r="L83" i="16"/>
  <c r="L84" i="16"/>
  <c r="L85" i="16"/>
  <c r="L86" i="16"/>
  <c r="L87" i="16"/>
  <c r="L88" i="16"/>
  <c r="L89" i="16"/>
  <c r="L90" i="16"/>
  <c r="L91" i="16"/>
  <c r="L92" i="16"/>
  <c r="L93" i="16"/>
  <c r="L94" i="16"/>
  <c r="L95" i="16"/>
  <c r="L96" i="16"/>
  <c r="L97" i="16"/>
  <c r="L98" i="16"/>
  <c r="L99" i="16"/>
  <c r="L100" i="16"/>
  <c r="L101" i="16"/>
  <c r="L102" i="16"/>
  <c r="L103" i="16"/>
  <c r="L104" i="16"/>
  <c r="L105" i="16"/>
  <c r="L106" i="16"/>
  <c r="L107" i="16"/>
  <c r="L108" i="16"/>
  <c r="L109" i="16"/>
  <c r="L110" i="16"/>
  <c r="L111" i="16"/>
  <c r="L112" i="16"/>
  <c r="L113" i="16"/>
  <c r="L114" i="16"/>
  <c r="L115" i="16"/>
  <c r="L116" i="16"/>
  <c r="L117" i="16"/>
  <c r="L118" i="16"/>
  <c r="L119" i="16"/>
  <c r="L120" i="16"/>
  <c r="L121" i="16"/>
  <c r="L122" i="16"/>
  <c r="L123" i="16"/>
  <c r="L124" i="16"/>
  <c r="L125" i="16"/>
  <c r="L126" i="16"/>
  <c r="L127" i="16"/>
  <c r="L128" i="16"/>
  <c r="L129" i="16"/>
  <c r="L130" i="16"/>
  <c r="L131" i="16"/>
  <c r="L132" i="16"/>
  <c r="L133" i="16"/>
  <c r="L134" i="16"/>
  <c r="L135" i="16"/>
  <c r="L136" i="16"/>
  <c r="L137" i="16"/>
  <c r="L138" i="16"/>
  <c r="L139" i="16"/>
  <c r="L140" i="16"/>
  <c r="L141" i="16"/>
  <c r="L142" i="16"/>
  <c r="L143" i="16"/>
  <c r="L144" i="16"/>
  <c r="L145" i="16"/>
  <c r="L146" i="16"/>
  <c r="L147" i="16"/>
  <c r="L148" i="16"/>
  <c r="L149" i="16"/>
  <c r="L150" i="16"/>
  <c r="L151" i="16"/>
  <c r="L152" i="16"/>
  <c r="L153" i="16"/>
  <c r="L154" i="16"/>
  <c r="L155" i="16"/>
  <c r="L156" i="16"/>
  <c r="L157" i="16"/>
  <c r="L158" i="16"/>
  <c r="L159" i="16"/>
  <c r="L160" i="16"/>
  <c r="L161" i="16"/>
  <c r="L162" i="16"/>
  <c r="L163" i="16"/>
  <c r="L164" i="16"/>
  <c r="L165" i="16"/>
  <c r="L166" i="16"/>
  <c r="L167" i="16"/>
  <c r="L168" i="16"/>
  <c r="L169" i="16"/>
  <c r="L170" i="16"/>
  <c r="L171" i="16"/>
  <c r="L172" i="16"/>
  <c r="L173" i="16"/>
  <c r="L174" i="16"/>
</calcChain>
</file>

<file path=xl/sharedStrings.xml><?xml version="1.0" encoding="utf-8"?>
<sst xmlns="http://schemas.openxmlformats.org/spreadsheetml/2006/main" count="464" uniqueCount="242">
  <si>
    <t>Name</t>
  </si>
  <si>
    <t>Entris Banking AG</t>
  </si>
  <si>
    <t>Valiant Bank AG</t>
  </si>
  <si>
    <t>Alpha RHEINTAL Bank AG</t>
  </si>
  <si>
    <t>Caisse d'Epargne et de Crédit Mutuel de Chermignon société coopérative</t>
  </si>
  <si>
    <t>Bezirks-Sparkasse Dielsdorf Genossenschaft</t>
  </si>
  <si>
    <t>GRB Glarner Regionalbank Genossenschaft</t>
  </si>
  <si>
    <t>Urner Kantonalbank</t>
  </si>
  <si>
    <t>Appenzeller Kantonalbank</t>
  </si>
  <si>
    <t>Basler Kantonalbank</t>
  </si>
  <si>
    <t>Banque Cantonale de Fribourg</t>
  </si>
  <si>
    <t>Banque Cantonale de Genève</t>
  </si>
  <si>
    <t>Glarner Kantonalbank</t>
  </si>
  <si>
    <t>Basellandschaftliche Kantonalbank</t>
  </si>
  <si>
    <t>Luzerner Kantonalbank AG</t>
  </si>
  <si>
    <t>Banque Cantonale du Jura SA</t>
  </si>
  <si>
    <t>Banque Cantonale du Valais</t>
  </si>
  <si>
    <t>Thurgauer Kantonalbank</t>
  </si>
  <si>
    <t>BANK ZIMMERBERG AG</t>
  </si>
  <si>
    <t>Bank EKI Genossenschaft</t>
  </si>
  <si>
    <t>Spar+Leihkasse Riggisberg AG</t>
  </si>
  <si>
    <t>Hypothekarbank Lenzburg AG</t>
  </si>
  <si>
    <t>Banca dello Stato del Cantone Ticino</t>
  </si>
  <si>
    <t>Berner Kantonalbank AG</t>
  </si>
  <si>
    <t>Graubündner Kantonalbank</t>
  </si>
  <si>
    <t>Banque Cantonale Vaudoise</t>
  </si>
  <si>
    <t>St. Galler Kantonalbank AG</t>
  </si>
  <si>
    <t>Schaffhauser Kantonalbank</t>
  </si>
  <si>
    <t>Schwyzer Kantonalbank</t>
  </si>
  <si>
    <t>Zuger Kantonalbank</t>
  </si>
  <si>
    <t>Zürcher Landbank AG</t>
  </si>
  <si>
    <t>Regiobank Solothurn AG</t>
  </si>
  <si>
    <t>Caisse d'Epargne Riviera, société coopérative</t>
  </si>
  <si>
    <t>Cornèr Banca SA</t>
  </si>
  <si>
    <t>Bank Julius Bär &amp; Co. AG</t>
  </si>
  <si>
    <t>Privatbank IHAG Zürich AG</t>
  </si>
  <si>
    <t>Lienhardt &amp; Partner Privatbank Zürich AG</t>
  </si>
  <si>
    <t>EFG Bank European Financial Group SA</t>
  </si>
  <si>
    <t>Bank Vontobel AG</t>
  </si>
  <si>
    <t>VP Bank (Schweiz) AG</t>
  </si>
  <si>
    <t>Bank J. Safra Sarasin AG</t>
  </si>
  <si>
    <t>Deutsche Bank (Suisse) SA</t>
  </si>
  <si>
    <t>J.P. Morgan (Suisse) SA</t>
  </si>
  <si>
    <t>BANCA DEL SEMPIONE SA</t>
  </si>
  <si>
    <t>DZ PRIVATBANK (Schweiz) AG</t>
  </si>
  <si>
    <t>ODDO BHF (Schweiz) AG</t>
  </si>
  <si>
    <t>Habib Bank AG Zürich</t>
  </si>
  <si>
    <t>Piguet Galland &amp; Cie SA</t>
  </si>
  <si>
    <t>Rothschild &amp; Co Bank AG</t>
  </si>
  <si>
    <t>Ersparniskasse Rüeggisberg Genossenschaft</t>
  </si>
  <si>
    <t>SB Saanen Bank AG</t>
  </si>
  <si>
    <t>Bank Cler AG</t>
  </si>
  <si>
    <t>SELVI &amp; Cie SA</t>
  </si>
  <si>
    <t>REYL &amp; Cie SA</t>
  </si>
  <si>
    <t>Gonet &amp; Cie SA</t>
  </si>
  <si>
    <t>Banque Lombard Odier &amp; Cie SA</t>
  </si>
  <si>
    <t>Credit Europe Bank (Suisse) SA</t>
  </si>
  <si>
    <t>Privatbank Bellerive AG</t>
  </si>
  <si>
    <t>Mercantil Bank (Schweiz) AG</t>
  </si>
  <si>
    <t>Bank BSU Genossenschaft</t>
  </si>
  <si>
    <t>Migros Bank AG</t>
  </si>
  <si>
    <t>Dreyfus Söhne &amp; Cie. Aktiengesellschaft, Banquiers</t>
  </si>
  <si>
    <t>Edmond de Rothschild (Suisse) S.A.</t>
  </si>
  <si>
    <t>WIR Bank Genossenschaft</t>
  </si>
  <si>
    <t>Freie Gemeinschaftsbank Genossenschaft</t>
  </si>
  <si>
    <t>CBH Compagnie Bancaire Helvétique SA</t>
  </si>
  <si>
    <t>Bank CIC (Schweiz) AG</t>
  </si>
  <si>
    <t>Banque de Commerce et de Placements SA</t>
  </si>
  <si>
    <t>Barclays Bank (Suisse) SA</t>
  </si>
  <si>
    <t>Schroder &amp; Co Bank AG</t>
  </si>
  <si>
    <t>EFG Bank AG</t>
  </si>
  <si>
    <t>Hyposwiss Private Bank Genève SA</t>
  </si>
  <si>
    <t>SAXO BANK (SCHWEIZ) AG</t>
  </si>
  <si>
    <t>CA Indosuez (Switzerland) SA</t>
  </si>
  <si>
    <t>UNION BANCAIRE PRIVEE, UBP SA</t>
  </si>
  <si>
    <t>Frankfurter Bankgesellschaft (Schweiz) AG</t>
  </si>
  <si>
    <t>Aargauische Kantonalbank</t>
  </si>
  <si>
    <t>Fidurhône SA</t>
  </si>
  <si>
    <t>Delen (Suisse) SA</t>
  </si>
  <si>
    <t>Scobag Privatbank AG</t>
  </si>
  <si>
    <t>SOCIETE GENERALE Private Banking (Suisse) SA</t>
  </si>
  <si>
    <t>CIM BANQUE SA</t>
  </si>
  <si>
    <t>Banca Popolare di Sondrio (Suisse) SA</t>
  </si>
  <si>
    <t>AXION SWISS BANK SA</t>
  </si>
  <si>
    <t>Banca Aletti &amp; C. (Suisse) SA</t>
  </si>
  <si>
    <t>Quantus AG</t>
  </si>
  <si>
    <t>BANQUE HERITAGE SA</t>
  </si>
  <si>
    <t>Tellco AG</t>
  </si>
  <si>
    <t>Quilvest (Switzerland) Ltd.</t>
  </si>
  <si>
    <t>BNP Paribas (Suisse) SA</t>
  </si>
  <si>
    <t>Vontobel Holding AG</t>
  </si>
  <si>
    <t>Valiant Holding AG</t>
  </si>
  <si>
    <t>Edmond de Rothschild Holding SA</t>
  </si>
  <si>
    <t>HSBC Private Bank (Suisse) SA</t>
  </si>
  <si>
    <t>Crédit Agricole next bank (Suisse) SA</t>
  </si>
  <si>
    <t>Swissquote Bank SA</t>
  </si>
  <si>
    <t>BANCA ZARATTINI &amp; CO. SA</t>
  </si>
  <si>
    <t>J. Safra Sarasin Holding AG</t>
  </si>
  <si>
    <t>Swissquote Group Holding SA</t>
  </si>
  <si>
    <t>SeeBeteiligungs AG</t>
  </si>
  <si>
    <t>Financière SYZ SA</t>
  </si>
  <si>
    <t>NPB Neue Privat Bank AG</t>
  </si>
  <si>
    <t>LGT Bank (Schweiz) AG</t>
  </si>
  <si>
    <t>Banque Cramer &amp; Cie SA</t>
  </si>
  <si>
    <t>Clientis AG</t>
  </si>
  <si>
    <t>BANCA CREDINVEST SA</t>
  </si>
  <si>
    <t>FAB Private Bank (Suisse) SA</t>
  </si>
  <si>
    <t>EFG International AG</t>
  </si>
  <si>
    <t>Dukascopy Bank SA</t>
  </si>
  <si>
    <t>VZ Depotbank AG</t>
  </si>
  <si>
    <t>Bank-now AG</t>
  </si>
  <si>
    <t>HINDUJA SUISSE HOLDING SA</t>
  </si>
  <si>
    <t>VZ Holding AG</t>
  </si>
  <si>
    <t>bank zweiplus ag</t>
  </si>
  <si>
    <t>QNB (Suisse) SA</t>
  </si>
  <si>
    <t>Bank von Roll AG</t>
  </si>
  <si>
    <t>Swiss Bankers Prepaid Services AG</t>
  </si>
  <si>
    <t>Julius Bär Gruppe AG</t>
  </si>
  <si>
    <t>Helvetische Bank AG</t>
  </si>
  <si>
    <t>Cembra Money Bank AG</t>
  </si>
  <si>
    <t>Banque du Léman SA</t>
  </si>
  <si>
    <t>Banque Internationale de Commerce - BRED (Suisse) SA</t>
  </si>
  <si>
    <t>Groupe Mirabaud</t>
  </si>
  <si>
    <t>Banco Santander International SA</t>
  </si>
  <si>
    <t>Bank Avera Genossenschaft</t>
  </si>
  <si>
    <t>Remaco Asset Management AG</t>
  </si>
  <si>
    <t>Sygnum Bank AG</t>
  </si>
  <si>
    <t>1. Quartal</t>
  </si>
  <si>
    <t>2. Quartal</t>
  </si>
  <si>
    <t>3. Quartal</t>
  </si>
  <si>
    <t>4. Quartal</t>
  </si>
  <si>
    <r>
      <t xml:space="preserve">Kategorie </t>
    </r>
    <r>
      <rPr>
        <b/>
        <vertAlign val="superscript"/>
        <sz val="8"/>
        <color theme="1"/>
        <rFont val="Arial"/>
        <family val="2"/>
      </rPr>
      <t>1)</t>
    </r>
  </si>
  <si>
    <t>Anrechenbare Eigenmittel</t>
  </si>
  <si>
    <t>davon hartes Kernkapital (CET1)</t>
  </si>
  <si>
    <t>davon Kernkapital (T1)</t>
  </si>
  <si>
    <t>CET1-Quote (CET1 in % der RWA)</t>
  </si>
  <si>
    <t>Kernkapital-quote (T1 in % der RWA)</t>
  </si>
  <si>
    <t>Gesamtkapital-
quote (in % 
der RWA)</t>
  </si>
  <si>
    <t>LCR</t>
  </si>
  <si>
    <t>Zähler der LCR (HQLA)</t>
  </si>
  <si>
    <t>Nenner der LCR (Net Outflow)</t>
  </si>
  <si>
    <t>in TCHF</t>
  </si>
  <si>
    <t>Spalte1</t>
  </si>
  <si>
    <t>Spalte2</t>
  </si>
  <si>
    <t>Spalte3</t>
  </si>
  <si>
    <t>Spalte4</t>
  </si>
  <si>
    <t>Spalte5</t>
  </si>
  <si>
    <t>Spalte6</t>
  </si>
  <si>
    <t>Spalte7</t>
  </si>
  <si>
    <t>Spalte8</t>
  </si>
  <si>
    <t>Spalte9</t>
  </si>
  <si>
    <t>Spalte10</t>
  </si>
  <si>
    <t>Spalte11</t>
  </si>
  <si>
    <t>Spalte12</t>
  </si>
  <si>
    <t>Spalte13</t>
  </si>
  <si>
    <t>Spalte14</t>
  </si>
  <si>
    <t>Spalte15</t>
  </si>
  <si>
    <t>Spalte16</t>
  </si>
  <si>
    <t>Spalte17</t>
  </si>
  <si>
    <t>Spalte18</t>
  </si>
  <si>
    <t>Spalte19</t>
  </si>
  <si>
    <t>Spalte20</t>
  </si>
  <si>
    <t>Spalte21</t>
  </si>
  <si>
    <t>Spalte22</t>
  </si>
  <si>
    <t>Spalte23</t>
  </si>
  <si>
    <t>Spalte24</t>
  </si>
  <si>
    <t>Spalte25</t>
  </si>
  <si>
    <t>Spalte26</t>
  </si>
  <si>
    <t>Spalte27</t>
  </si>
  <si>
    <t>Spalte28</t>
  </si>
  <si>
    <t>BANQUE AUDI (SUISSE) SA</t>
  </si>
  <si>
    <t>FlowBank SA</t>
  </si>
  <si>
    <t>NBK Private Bank (Switzerland) Ltd</t>
  </si>
  <si>
    <t>S.P. Hinduja Banque Privée SA</t>
  </si>
  <si>
    <t>Mindest-
eigenmittel (RWA-basiert)</t>
  </si>
  <si>
    <t>Basel III Leverage
Ratio</t>
  </si>
  <si>
    <t>Gesamt-
engagement</t>
  </si>
  <si>
    <t>Banque Eric Sturdza SA</t>
  </si>
  <si>
    <t>Banque Internationale à Luxembourg (Suisse) SA</t>
  </si>
  <si>
    <t>BBVA SA</t>
  </si>
  <si>
    <t>BERGOS AG</t>
  </si>
  <si>
    <t>Crypto Finance AG</t>
  </si>
  <si>
    <t>InCore Bank AG</t>
  </si>
  <si>
    <t>Kaleido Privatbank AG</t>
  </si>
  <si>
    <t>NEUTRAL HOLDING S.A. SPF</t>
  </si>
  <si>
    <t>Obwaldner Kantonalbank</t>
  </si>
  <si>
    <t>ONE swiss bank SA</t>
  </si>
  <si>
    <t>SOBACO Holding AG</t>
  </si>
  <si>
    <t>Taurus SA</t>
  </si>
  <si>
    <t>Spalte29</t>
  </si>
  <si>
    <t>Spalte30</t>
  </si>
  <si>
    <t>Spalte31</t>
  </si>
  <si>
    <t>NSFR</t>
  </si>
  <si>
    <t>Zähler der NSFR (ASF)</t>
  </si>
  <si>
    <t>Nenner der NSFR (RSF)</t>
  </si>
  <si>
    <t>Groupe Pictet</t>
  </si>
  <si>
    <t>Alpian SA</t>
  </si>
  <si>
    <t>Baloise Bank AG</t>
  </si>
  <si>
    <t>BANQUE BANORIENT (SUISSE) SA</t>
  </si>
  <si>
    <t>Banque Syz SA</t>
  </si>
  <si>
    <t>BZ Bank Aktiengesellschaft</t>
  </si>
  <si>
    <t>Groupe Eric Sturdza SA</t>
  </si>
  <si>
    <t>Maerki Baumann &amp; Co. AG</t>
  </si>
  <si>
    <t>Nidwaldner Kantonalbank</t>
  </si>
  <si>
    <t>PKB PRIVATE BANK SA</t>
  </si>
  <si>
    <t>radicant bank ag</t>
  </si>
  <si>
    <t>Sparhafen Bank AG</t>
  </si>
  <si>
    <t>Sparhafen Genossenschaft</t>
  </si>
  <si>
    <t>TradeXBank AG</t>
  </si>
  <si>
    <r>
      <t>1)</t>
    </r>
    <r>
      <rPr>
        <sz val="7"/>
        <rFont val="Arial"/>
        <family val="2"/>
      </rPr>
      <t xml:space="preserve"> Die Kategorie nach BankV Art. 2 Abs. 2 bezieht sich auf den Stichtag 31.12.2022.</t>
    </r>
  </si>
  <si>
    <t>Antizyklischer Puffer (AZP; in % der RWA)</t>
  </si>
  <si>
    <t>CET1-Zielquote
inkl. AZP</t>
  </si>
  <si>
    <t>T1-Zielquote
inkl. AZP</t>
  </si>
  <si>
    <t>Gesamtkapital-
Zielquote inkl. AZP</t>
  </si>
  <si>
    <t>2)</t>
  </si>
  <si>
    <r>
      <rPr>
        <vertAlign val="superscript"/>
        <sz val="7"/>
        <rFont val="Arial"/>
        <family val="2"/>
      </rPr>
      <t>2)</t>
    </r>
    <r>
      <rPr>
        <sz val="7"/>
        <rFont val="Arial"/>
        <family val="2"/>
      </rPr>
      <t xml:space="preserve"> Holding- und Gruppengesellschaften sind unter bestimmten Voraussetzungen von der Offenlegung der Liquiditätskennzahlen befreit (Rz 8 Rundschreiben 2016/1 "Offenlegung - Banken" bzw. Art. 14 Liquiditätsverordnung (LiqV) bzw. Rz 104 ff. Rundschreiben 2015/2 "Liquiditätsrisiken - Banken").</t>
    </r>
  </si>
  <si>
    <t>Banque Cantonale Neuchâteloise</t>
  </si>
  <si>
    <t>Risiko-gewichtete Aktiven (RWA)</t>
  </si>
  <si>
    <t>FINMA-Publikation von Key Metrics 2023</t>
  </si>
  <si>
    <t>Offenlegung gemäss Rundschreiben 2016/1 "Offenlegung - Banken" per 31.12.2023</t>
  </si>
  <si>
    <t>AMINA Bank AG</t>
  </si>
  <si>
    <t>BG (Suisse) Private Bank SA</t>
  </si>
  <si>
    <t>Cité Gestion SA</t>
  </si>
  <si>
    <t>ISP Group AG</t>
  </si>
  <si>
    <t>ISP Securities AG</t>
  </si>
  <si>
    <t>LLB (Schweiz) AG</t>
  </si>
  <si>
    <t>MBaer Merchant Bank AG</t>
  </si>
  <si>
    <t>Van Lanschot Kempen (Schweiz) AG</t>
  </si>
  <si>
    <r>
      <rPr>
        <vertAlign val="superscript"/>
        <sz val="7"/>
        <rFont val="Arial"/>
        <family val="2"/>
      </rPr>
      <t xml:space="preserve">3) </t>
    </r>
    <r>
      <rPr>
        <sz val="7"/>
        <rFont val="Arial"/>
        <family val="2"/>
      </rPr>
      <t>Inkl. Gonet SA</t>
    </r>
  </si>
  <si>
    <r>
      <t xml:space="preserve">Arab Bank (Switzerland) Ltd. </t>
    </r>
    <r>
      <rPr>
        <vertAlign val="superscript"/>
        <sz val="8"/>
        <color theme="1"/>
        <rFont val="Arial"/>
        <family val="2"/>
      </rPr>
      <t>3)</t>
    </r>
  </si>
  <si>
    <t>4)</t>
  </si>
  <si>
    <r>
      <t>88%</t>
    </r>
    <r>
      <rPr>
        <vertAlign val="superscript"/>
        <sz val="8"/>
        <color theme="1"/>
        <rFont val="Arial"/>
        <family val="2"/>
      </rPr>
      <t>5)</t>
    </r>
  </si>
  <si>
    <r>
      <t>93%</t>
    </r>
    <r>
      <rPr>
        <vertAlign val="superscript"/>
        <sz val="8"/>
        <color theme="1"/>
        <rFont val="Arial"/>
        <family val="2"/>
      </rPr>
      <t>5)</t>
    </r>
  </si>
  <si>
    <r>
      <t>82%</t>
    </r>
    <r>
      <rPr>
        <vertAlign val="superscript"/>
        <sz val="8"/>
        <color theme="1"/>
        <rFont val="Arial"/>
        <family val="2"/>
      </rPr>
      <t>5)</t>
    </r>
  </si>
  <si>
    <r>
      <t>94%</t>
    </r>
    <r>
      <rPr>
        <vertAlign val="superscript"/>
        <sz val="8"/>
        <color theme="1"/>
        <rFont val="Arial"/>
        <family val="2"/>
      </rPr>
      <t>5)</t>
    </r>
  </si>
  <si>
    <r>
      <rPr>
        <vertAlign val="superscript"/>
        <sz val="7"/>
        <rFont val="Arial"/>
        <family val="2"/>
      </rPr>
      <t>5)</t>
    </r>
    <r>
      <rPr>
        <sz val="7"/>
        <rFont val="Arial"/>
        <family val="2"/>
      </rPr>
      <t xml:space="preserve"> Vorübergehende Unterschreitung aufgrund bankinterner Rekalibrierung der LCR Berechnung.</t>
    </r>
  </si>
  <si>
    <r>
      <rPr>
        <vertAlign val="superscript"/>
        <sz val="7"/>
        <rFont val="Arial"/>
        <family val="2"/>
      </rPr>
      <t>4)</t>
    </r>
    <r>
      <rPr>
        <sz val="7"/>
        <rFont val="Arial"/>
        <family val="2"/>
      </rPr>
      <t xml:space="preserve"> Geschäftsbericht 2023 und regulatorische Kennzahlen per 31.12.2023 von der Bank nicht publiziert (Stand: 14.06.2024).</t>
    </r>
  </si>
  <si>
    <t>Spalte112</t>
  </si>
  <si>
    <t>CET1 Ziel ohne AZP</t>
  </si>
  <si>
    <t>Zeilenbeschriftungen</t>
  </si>
  <si>
    <t>Gesamtergebnis</t>
  </si>
  <si>
    <t>Summe von Risiko-gewichtete Aktiven (RWA)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</si>
</sst>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10"/>
      <name val="Arial"/>
      <family val="2"/>
    </font>
    <font>
      <b/>
      <sz val="8"/>
      <color theme="1"/>
      <name val="Arial"/>
      <family val="2"/>
    </font>
    <font>
      <sz val="10"/>
      <color indexed="8"/>
      <name val="Arial"/>
      <family val="2"/>
    </font>
    <font>
      <b/>
      <sz val="8"/>
      <name val="Arial"/>
      <family val="2"/>
    </font>
    <font>
      <b/>
      <vertAlign val="superscript"/>
      <sz val="8"/>
      <color theme="1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vertAlign val="superscript"/>
      <sz val="7"/>
      <name val="Arial"/>
      <family val="2"/>
    </font>
    <font>
      <sz val="7"/>
      <name val="Arial"/>
      <family val="2"/>
    </font>
    <font>
      <vertAlign val="superscript"/>
      <sz val="8"/>
      <color theme="1"/>
      <name val="Arial"/>
      <family val="2"/>
    </font>
    <font>
      <u/>
      <sz val="8"/>
      <color theme="10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4"/>
      </patternFill>
    </fill>
    <fill>
      <patternFill patternType="solid">
        <fgColor theme="7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 applyNumberFormat="0" applyFill="0" applyBorder="0" applyAlignment="0" applyProtection="0"/>
  </cellStyleXfs>
  <cellXfs count="78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/>
    <xf numFmtId="3" fontId="3" fillId="0" borderId="0" xfId="0" applyNumberFormat="1" applyFont="1"/>
    <xf numFmtId="164" fontId="3" fillId="0" borderId="0" xfId="0" applyNumberFormat="1" applyFont="1"/>
    <xf numFmtId="9" fontId="3" fillId="0" borderId="0" xfId="0" applyNumberFormat="1" applyFont="1"/>
    <xf numFmtId="0" fontId="4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right" vertical="center"/>
    </xf>
    <xf numFmtId="164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7" fillId="0" borderId="0" xfId="2" applyFont="1"/>
    <xf numFmtId="0" fontId="5" fillId="0" borderId="0" xfId="0" applyFont="1" applyAlignment="1">
      <alignment wrapText="1"/>
    </xf>
    <xf numFmtId="3" fontId="7" fillId="0" borderId="0" xfId="2" applyNumberFormat="1" applyFont="1" applyAlignment="1">
      <alignment horizontal="right" wrapText="1"/>
    </xf>
    <xf numFmtId="0" fontId="7" fillId="0" borderId="0" xfId="2" applyFont="1" applyAlignment="1">
      <alignment horizontal="right" wrapText="1"/>
    </xf>
    <xf numFmtId="164" fontId="7" fillId="0" borderId="0" xfId="1" applyNumberFormat="1" applyFont="1" applyFill="1" applyBorder="1" applyAlignment="1" applyProtection="1">
      <alignment horizontal="right" wrapText="1"/>
    </xf>
    <xf numFmtId="9" fontId="7" fillId="0" borderId="0" xfId="1" applyFont="1" applyFill="1" applyBorder="1" applyAlignment="1" applyProtection="1">
      <alignment horizontal="right" wrapText="1"/>
    </xf>
    <xf numFmtId="9" fontId="7" fillId="0" borderId="1" xfId="1" applyFont="1" applyFill="1" applyBorder="1" applyAlignment="1" applyProtection="1">
      <alignment horizontal="right" wrapText="1"/>
    </xf>
    <xf numFmtId="9" fontId="7" fillId="0" borderId="2" xfId="1" applyFont="1" applyFill="1" applyBorder="1" applyAlignment="1" applyProtection="1">
      <alignment horizontal="right" wrapText="1"/>
    </xf>
    <xf numFmtId="164" fontId="3" fillId="0" borderId="0" xfId="0" applyNumberFormat="1" applyFont="1" applyAlignment="1">
      <alignment vertical="center"/>
    </xf>
    <xf numFmtId="9" fontId="3" fillId="0" borderId="0" xfId="0" applyNumberFormat="1" applyFont="1" applyAlignment="1">
      <alignment vertical="center"/>
    </xf>
    <xf numFmtId="9" fontId="3" fillId="0" borderId="1" xfId="0" applyNumberFormat="1" applyFont="1" applyBorder="1"/>
    <xf numFmtId="3" fontId="3" fillId="0" borderId="2" xfId="0" applyNumberFormat="1" applyFont="1" applyBorder="1" applyAlignment="1">
      <alignment horizontal="right" vertical="center"/>
    </xf>
    <xf numFmtId="164" fontId="3" fillId="0" borderId="0" xfId="1" applyNumberFormat="1" applyFont="1"/>
    <xf numFmtId="9" fontId="14" fillId="0" borderId="0" xfId="3" applyNumberFormat="1" applyFont="1" applyAlignment="1" applyProtection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left" vertical="center"/>
    </xf>
    <xf numFmtId="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3" fontId="15" fillId="0" borderId="0" xfId="0" applyNumberFormat="1" applyFont="1" applyAlignment="1">
      <alignment horizontal="right"/>
    </xf>
    <xf numFmtId="164" fontId="15" fillId="0" borderId="0" xfId="1" applyNumberFormat="1" applyFont="1"/>
    <xf numFmtId="0" fontId="15" fillId="0" borderId="0" xfId="0" applyFont="1"/>
    <xf numFmtId="3" fontId="15" fillId="0" borderId="0" xfId="0" applyNumberFormat="1" applyFont="1"/>
    <xf numFmtId="164" fontId="15" fillId="0" borderId="0" xfId="0" applyNumberFormat="1" applyFont="1"/>
    <xf numFmtId="9" fontId="3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3" fontId="13" fillId="2" borderId="3" xfId="0" applyNumberFormat="1" applyFont="1" applyFill="1" applyBorder="1" applyAlignment="1">
      <alignment horizontal="right"/>
    </xf>
    <xf numFmtId="9" fontId="13" fillId="0" borderId="3" xfId="0" applyNumberFormat="1" applyFont="1" applyBorder="1" applyAlignment="1">
      <alignment horizontal="right"/>
    </xf>
    <xf numFmtId="3" fontId="13" fillId="0" borderId="3" xfId="0" applyNumberFormat="1" applyFont="1" applyBorder="1" applyAlignment="1">
      <alignment horizontal="right"/>
    </xf>
    <xf numFmtId="9" fontId="13" fillId="2" borderId="3" xfId="0" applyNumberFormat="1" applyFont="1" applyFill="1" applyBorder="1" applyAlignment="1">
      <alignment horizontal="right"/>
    </xf>
    <xf numFmtId="0" fontId="3" fillId="2" borderId="4" xfId="0" applyFont="1" applyFill="1" applyBorder="1" applyAlignment="1">
      <alignment horizontal="right"/>
    </xf>
    <xf numFmtId="3" fontId="3" fillId="2" borderId="4" xfId="0" applyNumberFormat="1" applyFont="1" applyFill="1" applyBorder="1" applyAlignment="1">
      <alignment horizontal="right"/>
    </xf>
    <xf numFmtId="164" fontId="3" fillId="2" borderId="4" xfId="0" applyNumberFormat="1" applyFont="1" applyFill="1" applyBorder="1" applyAlignment="1">
      <alignment horizontal="right"/>
    </xf>
    <xf numFmtId="9" fontId="3" fillId="2" borderId="4" xfId="0" applyNumberFormat="1" applyFont="1" applyFill="1" applyBorder="1" applyAlignment="1">
      <alignment horizontal="right"/>
    </xf>
    <xf numFmtId="164" fontId="3" fillId="2" borderId="4" xfId="1" applyNumberFormat="1" applyFont="1" applyFill="1" applyBorder="1" applyAlignment="1">
      <alignment horizontal="right"/>
    </xf>
    <xf numFmtId="0" fontId="3" fillId="0" borderId="4" xfId="0" applyFont="1" applyBorder="1" applyAlignment="1">
      <alignment horizontal="right"/>
    </xf>
    <xf numFmtId="3" fontId="3" fillId="0" borderId="4" xfId="0" applyNumberFormat="1" applyFont="1" applyBorder="1" applyAlignment="1">
      <alignment horizontal="right"/>
    </xf>
    <xf numFmtId="164" fontId="3" fillId="0" borderId="4" xfId="0" applyNumberFormat="1" applyFont="1" applyBorder="1" applyAlignment="1">
      <alignment horizontal="right"/>
    </xf>
    <xf numFmtId="9" fontId="3" fillId="0" borderId="4" xfId="0" applyNumberFormat="1" applyFont="1" applyBorder="1" applyAlignment="1">
      <alignment horizontal="right"/>
    </xf>
    <xf numFmtId="164" fontId="3" fillId="0" borderId="4" xfId="1" applyNumberFormat="1" applyFont="1" applyBorder="1" applyAlignment="1">
      <alignment horizontal="right"/>
    </xf>
    <xf numFmtId="0" fontId="3" fillId="2" borderId="5" xfId="0" applyFont="1" applyFill="1" applyBorder="1"/>
    <xf numFmtId="0" fontId="3" fillId="0" borderId="5" xfId="0" applyFont="1" applyBorder="1"/>
    <xf numFmtId="0" fontId="16" fillId="3" borderId="0" xfId="0" applyFont="1" applyFill="1"/>
    <xf numFmtId="0" fontId="16" fillId="3" borderId="1" xfId="0" applyFont="1" applyFill="1" applyBorder="1"/>
    <xf numFmtId="3" fontId="16" fillId="3" borderId="1" xfId="0" applyNumberFormat="1" applyFont="1" applyFill="1" applyBorder="1"/>
    <xf numFmtId="164" fontId="16" fillId="3" borderId="1" xfId="0" applyNumberFormat="1" applyFont="1" applyFill="1" applyBorder="1"/>
    <xf numFmtId="9" fontId="16" fillId="3" borderId="1" xfId="0" applyNumberFormat="1" applyFont="1" applyFill="1" applyBorder="1"/>
    <xf numFmtId="164" fontId="3" fillId="4" borderId="0" xfId="0" applyNumberFormat="1" applyFont="1" applyFill="1"/>
    <xf numFmtId="164" fontId="0" fillId="4" borderId="0" xfId="0" applyNumberFormat="1" applyFill="1" applyAlignment="1">
      <alignment vertical="center"/>
    </xf>
    <xf numFmtId="164" fontId="7" fillId="4" borderId="0" xfId="1" applyNumberFormat="1" applyFont="1" applyFill="1" applyBorder="1" applyAlignment="1" applyProtection="1">
      <alignment horizontal="right" wrapText="1"/>
    </xf>
    <xf numFmtId="164" fontId="3" fillId="4" borderId="0" xfId="0" applyNumberFormat="1" applyFont="1" applyFill="1" applyAlignment="1">
      <alignment vertical="center"/>
    </xf>
    <xf numFmtId="164" fontId="16" fillId="5" borderId="1" xfId="0" applyNumberFormat="1" applyFont="1" applyFill="1" applyBorder="1"/>
    <xf numFmtId="164" fontId="3" fillId="6" borderId="4" xfId="0" applyNumberFormat="1" applyFont="1" applyFill="1" applyBorder="1" applyAlignment="1">
      <alignment horizontal="right"/>
    </xf>
    <xf numFmtId="164" fontId="3" fillId="4" borderId="4" xfId="0" applyNumberFormat="1" applyFont="1" applyFill="1" applyBorder="1" applyAlignment="1">
      <alignment horizontal="right"/>
    </xf>
    <xf numFmtId="9" fontId="13" fillId="4" borderId="3" xfId="0" applyNumberFormat="1" applyFont="1" applyFill="1" applyBorder="1" applyAlignment="1">
      <alignment horizontal="right"/>
    </xf>
    <xf numFmtId="164" fontId="15" fillId="4" borderId="0" xfId="0" applyNumberFormat="1" applyFont="1" applyFill="1"/>
    <xf numFmtId="164" fontId="3" fillId="4" borderId="0" xfId="0" applyNumberFormat="1" applyFont="1" applyFill="1" applyAlignment="1">
      <alignment horizontal="left" vertical="center"/>
    </xf>
    <xf numFmtId="9" fontId="14" fillId="4" borderId="0" xfId="3" applyNumberFormat="1" applyFont="1" applyFill="1" applyAlignment="1" applyProtection="1">
      <alignment horizontal="left" vertical="center"/>
    </xf>
    <xf numFmtId="9" fontId="5" fillId="0" borderId="1" xfId="0" applyNumberFormat="1" applyFont="1" applyBorder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">
    <cellStyle name="Link" xfId="3" builtinId="8"/>
    <cellStyle name="Prozent" xfId="1" builtinId="5"/>
    <cellStyle name="Standard" xfId="0" builtinId="0"/>
    <cellStyle name="Standard_Tabelle2" xfId="2" xr:uid="{00000000-0005-0000-0000-000003000000}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0.0%"/>
      <fill>
        <patternFill patternType="solid">
          <fgColor theme="4" tint="0.79998168889431442"/>
          <bgColor theme="7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numFmt numFmtId="3" formatCode="#,##0"/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77931</xdr:colOff>
      <xdr:row>0</xdr:row>
      <xdr:rowOff>51954</xdr:rowOff>
    </xdr:from>
    <xdr:to>
      <xdr:col>13</xdr:col>
      <xdr:colOff>165653</xdr:colOff>
      <xdr:row>4</xdr:row>
      <xdr:rowOff>247650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974281" y="51954"/>
          <a:ext cx="3250022" cy="13958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800" b="1" u="sng">
              <a:latin typeface="Arial" panose="020B0604020202020204" pitchFamily="34" charset="0"/>
              <a:cs typeface="Arial" panose="020B0604020202020204" pitchFamily="34" charset="0"/>
            </a:rPr>
            <a:t>Legende</a:t>
          </a:r>
        </a:p>
        <a:p>
          <a:r>
            <a:rPr lang="de-CH" sz="800">
              <a:latin typeface="Arial" panose="020B0604020202020204" pitchFamily="34" charset="0"/>
              <a:cs typeface="Arial" panose="020B0604020202020204" pitchFamily="34" charset="0"/>
            </a:rPr>
            <a:t>ASF: Verfügbare stabile Refinanzierung</a:t>
          </a:r>
        </a:p>
        <a:p>
          <a:r>
            <a:rPr lang="de-CH" sz="800">
              <a:latin typeface="Arial" panose="020B0604020202020204" pitchFamily="34" charset="0"/>
              <a:cs typeface="Arial" panose="020B0604020202020204" pitchFamily="34" charset="0"/>
            </a:rPr>
            <a:t>CET1</a:t>
          </a:r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: Hartes Kernkapital</a:t>
          </a: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T1: Kernkapital (Tier 1)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CH" sz="8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HQLA: Total der qualitativ hochwertigen</a:t>
          </a:r>
          <a:r>
            <a:rPr lang="de-CH" sz="8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liquiden Aktiven</a:t>
          </a:r>
          <a:endParaRPr lang="de-CH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de-CH" sz="8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LCR: Quote für kurzfristige Liquidität (Liquidity Coverage Ratio)</a:t>
          </a:r>
          <a:endParaRPr lang="de-CH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Leverage Ratio: Ungewichtete Kapitalquote</a:t>
          </a: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Net Outflow: Total des Nettomittelabflusses</a:t>
          </a: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NSFR: Finanzierungsquote (Net Stable Funding Ratio)</a:t>
          </a: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RSF: Erforderliche stabile Refinanzierung</a:t>
          </a: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RWA: Risikogewichtete Aktiven</a:t>
          </a:r>
        </a:p>
        <a:p>
          <a:endParaRPr lang="de-CH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076.556432638892" createdVersion="8" refreshedVersion="8" minRefreshableVersion="3" recordCount="168" xr:uid="{7B136D16-176C-5946-A2B3-B4C39C2ABDD9}">
  <cacheSource type="worksheet">
    <worksheetSource ref="A6:AF174" sheet="Key Metrics 2023"/>
  </cacheSource>
  <cacheFields count="32">
    <cacheField name="Name" numFmtId="0">
      <sharedItems containsBlank="1" count="168">
        <m/>
        <s v="Spalte1"/>
        <s v="Aargauische Kantonalbank"/>
        <s v="Alpha RHEINTAL Bank AG"/>
        <s v="Alpian SA"/>
        <s v="AMINA Bank AG"/>
        <s v="Appenzeller Kantonalbank"/>
        <s v="Arab Bank (Switzerland) Ltd. 3)"/>
        <s v="AXION SWISS BANK SA"/>
        <s v="Baloise Bank AG"/>
        <s v="Banca Aletti &amp; C. (Suisse) SA"/>
        <s v="BANCA CREDINVEST SA"/>
        <s v="BANCA DEL SEMPIONE SA"/>
        <s v="Banca dello Stato del Cantone Ticino"/>
        <s v="Banca Popolare di Sondrio (Suisse) SA"/>
        <s v="BANCA ZARATTINI &amp; CO. SA"/>
        <s v="Banco Santander International SA"/>
        <s v="Bank Avera Genossenschaft"/>
        <s v="Bank BSU Genossenschaft"/>
        <s v="Bank CIC (Schweiz) AG"/>
        <s v="Bank Cler AG"/>
        <s v="Bank EKI Genossenschaft"/>
        <s v="Bank J. Safra Sarasin AG"/>
        <s v="Bank Julius Bär &amp; Co. AG"/>
        <s v="Bank von Roll AG"/>
        <s v="Bank Vontobel AG"/>
        <s v="BANK ZIMMERBERG AG"/>
        <s v="bank zweiplus ag"/>
        <s v="Bank-now AG"/>
        <s v="BANQUE AUDI (SUISSE) SA"/>
        <s v="BANQUE BANORIENT (SUISSE) SA"/>
        <s v="Banque Cantonale de Fribourg"/>
        <s v="Banque Cantonale de Genève"/>
        <s v="Banque Cantonale du Jura SA"/>
        <s v="Banque Cantonale du Valais"/>
        <s v="Banque Cantonale Neuchâteloise"/>
        <s v="Banque Cantonale Vaudoise"/>
        <s v="Banque Cramer &amp; Cie SA"/>
        <s v="Banque de Commerce et de Placements SA"/>
        <s v="Banque du Léman SA"/>
        <s v="Banque Eric Sturdza SA"/>
        <s v="BANQUE HERITAGE SA"/>
        <s v="Banque Internationale à Luxembourg (Suisse) SA"/>
        <s v="Banque Internationale de Commerce - BRED (Suisse) SA"/>
        <s v="Banque Lombard Odier &amp; Cie SA"/>
        <s v="Banque Syz SA"/>
        <s v="Barclays Bank (Suisse) SA"/>
        <s v="Basellandschaftliche Kantonalbank"/>
        <s v="Basler Kantonalbank"/>
        <s v="BBVA SA"/>
        <s v="BERGOS AG"/>
        <s v="Berner Kantonalbank AG"/>
        <s v="Bezirks-Sparkasse Dielsdorf Genossenschaft"/>
        <s v="BG (Suisse) Private Bank SA"/>
        <s v="BNP Paribas (Suisse) SA"/>
        <s v="BZ Bank Aktiengesellschaft"/>
        <s v="CA Indosuez (Switzerland) SA"/>
        <s v="Caisse d'Epargne et de Crédit Mutuel de Chermignon société coopérative"/>
        <s v="Caisse d'Epargne Riviera, société coopérative"/>
        <s v="CBH Compagnie Bancaire Helvétique SA"/>
        <s v="Cembra Money Bank AG"/>
        <s v="CIM BANQUE SA"/>
        <s v="Cité Gestion SA"/>
        <s v="Clientis AG"/>
        <s v="Cornèr Banca SA"/>
        <s v="Crédit Agricole next bank (Suisse) SA"/>
        <s v="Credit Europe Bank (Suisse) SA"/>
        <s v="Crypto Finance AG"/>
        <s v="Delen (Suisse) SA"/>
        <s v="Deutsche Bank (Suisse) SA"/>
        <s v="Dreyfus Söhne &amp; Cie. Aktiengesellschaft, Banquiers"/>
        <s v="Dukascopy Bank SA"/>
        <s v="DZ PRIVATBANK (Schweiz) AG"/>
        <s v="Edmond de Rothschild (Suisse) S.A."/>
        <s v="Edmond de Rothschild Holding SA"/>
        <s v="EFG Bank AG"/>
        <s v="EFG Bank European Financial Group SA"/>
        <s v="EFG International AG"/>
        <s v="Entris Banking AG"/>
        <s v="Ersparniskasse Rüeggisberg Genossenschaft"/>
        <s v="FAB Private Bank (Suisse) SA"/>
        <s v="Fidurhône SA"/>
        <s v="Financière SYZ SA"/>
        <s v="FlowBank SA"/>
        <s v="Frankfurter Bankgesellschaft (Schweiz) AG"/>
        <s v="Freie Gemeinschaftsbank Genossenschaft"/>
        <s v="Glarner Kantonalbank"/>
        <s v="Gonet &amp; Cie SA"/>
        <s v="Graubündner Kantonalbank"/>
        <s v="GRB Glarner Regionalbank Genossenschaft"/>
        <s v="Groupe Eric Sturdza SA"/>
        <s v="Groupe Mirabaud"/>
        <s v="Groupe Pictet"/>
        <s v="Habib Bank AG Zürich"/>
        <s v="Helvetische Bank AG"/>
        <s v="HINDUJA SUISSE HOLDING SA"/>
        <s v="HSBC Private Bank (Suisse) SA"/>
        <s v="Hyposwiss Private Bank Genève SA"/>
        <s v="Hypothekarbank Lenzburg AG"/>
        <s v="InCore Bank AG"/>
        <s v="ISP Group AG"/>
        <s v="ISP Securities AG"/>
        <s v="J. Safra Sarasin Holding AG"/>
        <s v="J.P. Morgan (Suisse) SA"/>
        <s v="Julius Bär Gruppe AG"/>
        <s v="Kaleido Privatbank AG"/>
        <s v="LGT Bank (Schweiz) AG"/>
        <s v="Lienhardt &amp; Partner Privatbank Zürich AG"/>
        <s v="LLB (Schweiz) AG"/>
        <s v="Luzerner Kantonalbank AG"/>
        <s v="Maerki Baumann &amp; Co. AG"/>
        <s v="MBaer Merchant Bank AG"/>
        <s v="Mercantil Bank (Schweiz) AG"/>
        <s v="Migros Bank AG"/>
        <s v="NBK Private Bank (Switzerland) Ltd"/>
        <s v="NEUTRAL HOLDING S.A. SPF"/>
        <s v="Nidwaldner Kantonalbank"/>
        <s v="NPB Neue Privat Bank AG"/>
        <s v="Obwaldner Kantonalbank"/>
        <s v="ODDO BHF (Schweiz) AG"/>
        <s v="ONE swiss bank SA"/>
        <s v="Piguet Galland &amp; Cie SA"/>
        <s v="PKB PRIVATE BANK SA"/>
        <s v="Privatbank Bellerive AG"/>
        <s v="Privatbank IHAG Zürich AG"/>
        <s v="QNB (Suisse) SA"/>
        <s v="Quantus AG"/>
        <s v="Quilvest (Switzerland) Ltd."/>
        <s v="radicant bank ag"/>
        <s v="Regiobank Solothurn AG"/>
        <s v="Remaco Asset Management AG"/>
        <s v="REYL &amp; Cie SA"/>
        <s v="Rothschild &amp; Co Bank AG"/>
        <s v="S.P. Hinduja Banque Privée SA"/>
        <s v="SAXO BANK (SCHWEIZ) AG"/>
        <s v="SB Saanen Bank AG"/>
        <s v="Schaffhauser Kantonalbank"/>
        <s v="Schroder &amp; Co Bank AG"/>
        <s v="Schwyzer Kantonalbank"/>
        <s v="Scobag Privatbank AG"/>
        <s v="SeeBeteiligungs AG"/>
        <s v="SELVI &amp; Cie SA"/>
        <s v="SOBACO Holding AG"/>
        <s v="SOCIETE GENERALE Private Banking (Suisse) SA"/>
        <s v="Spar+Leihkasse Riggisberg AG"/>
        <s v="Sparhafen Bank AG"/>
        <s v="Sparhafen Genossenschaft"/>
        <s v="St. Galler Kantonalbank AG"/>
        <s v="Swiss Bankers Prepaid Services AG"/>
        <s v="Swissquote Bank SA"/>
        <s v="Swissquote Group Holding SA"/>
        <s v="Sygnum Bank AG"/>
        <s v="Taurus SA"/>
        <s v="Tellco AG"/>
        <s v="Thurgauer Kantonalbank"/>
        <s v="TradeXBank AG"/>
        <s v="UNION BANCAIRE PRIVEE, UBP SA"/>
        <s v="Urner Kantonalbank"/>
        <s v="Valiant Bank AG"/>
        <s v="Valiant Holding AG"/>
        <s v="Van Lanschot Kempen (Schweiz) AG"/>
        <s v="Vontobel Holding AG"/>
        <s v="VP Bank (Schweiz) AG"/>
        <s v="VZ Depotbank AG"/>
        <s v="VZ Holding AG"/>
        <s v="WIR Bank Genossenschaft"/>
        <s v="Zuger Kantonalbank"/>
        <s v="Zürcher Landbank AG"/>
      </sharedItems>
    </cacheField>
    <cacheField name="Kategorie 1)" numFmtId="0">
      <sharedItems containsBlank="1" containsMixedTypes="1" containsNumber="1" containsInteger="1" minValue="3" maxValue="5"/>
    </cacheField>
    <cacheField name="Mindest-_x000a_eigenmittel (RWA-basiert)" numFmtId="0">
      <sharedItems containsMixedTypes="1" containsNumber="1" containsInteger="1" minValue="686" maxValue="2226684"/>
    </cacheField>
    <cacheField name="Anrechenbare Eigenmittel" numFmtId="0">
      <sharedItems containsMixedTypes="1" containsNumber="1" containsInteger="1" minValue="1786" maxValue="5811207"/>
    </cacheField>
    <cacheField name="davon hartes Kernkapital (CET1)" numFmtId="0">
      <sharedItems containsMixedTypes="1" containsNumber="1" containsInteger="1" minValue="1786" maxValue="5743912"/>
    </cacheField>
    <cacheField name="davon Kernkapital (T1)" numFmtId="0">
      <sharedItems containsMixedTypes="1" containsNumber="1" containsInteger="1" minValue="1786" maxValue="5743912"/>
    </cacheField>
    <cacheField name="Risiko-gewichtete Aktiven (RWA)" numFmtId="0">
      <sharedItems containsMixedTypes="1" containsNumber="1" containsInteger="1" minValue="8569" maxValue="27833554"/>
    </cacheField>
    <cacheField name="CET1-Quote (CET1 in % der RWA)" numFmtId="0">
      <sharedItems containsBlank="1" containsMixedTypes="1" containsNumber="1" minValue="0.107" maxValue="2.839"/>
    </cacheField>
    <cacheField name="Kernkapital-quote (T1 in % der RWA)" numFmtId="0">
      <sharedItems containsBlank="1" containsMixedTypes="1" containsNumber="1" minValue="0.11799999999999999" maxValue="2.839"/>
    </cacheField>
    <cacheField name="Gesamtkapital-_x000a_quote (in % _x000a_der RWA)" numFmtId="0">
      <sharedItems containsBlank="1" containsMixedTypes="1" containsNumber="1" minValue="0.11799999999999999" maxValue="2.839"/>
    </cacheField>
    <cacheField name="Antizyklischer Puffer (AZP; in % der RWA)" numFmtId="0">
      <sharedItems containsBlank="1" containsMixedTypes="1" containsNumber="1" minValue="0" maxValue="2.5000000000000001E-2"/>
    </cacheField>
    <cacheField name="CET1 Ziel ohne AZP" numFmtId="0">
      <sharedItems containsBlank="1" containsMixedTypes="1" containsNumber="1" minValue="6.9999999999999993E-2" maxValue="7.8E-2"/>
    </cacheField>
    <cacheField name="CET1-Zielquote_x000a_inkl. AZP" numFmtId="0">
      <sharedItems containsBlank="1" containsMixedTypes="1" containsNumber="1" minValue="7.0000000000000007E-2" maxValue="9.6000000000000002E-2"/>
    </cacheField>
    <cacheField name="T1-Zielquote_x000a_inkl. AZP" numFmtId="0">
      <sharedItems containsBlank="1" containsMixedTypes="1" containsNumber="1" minValue="8.5000000000000006E-2" maxValue="0.114"/>
    </cacheField>
    <cacheField name="Gesamtkapital-_x000a_Zielquote inkl. AZP" numFmtId="0">
      <sharedItems containsBlank="1" containsMixedTypes="1" containsNumber="1" minValue="0.105" maxValue="0.13800000000000001"/>
    </cacheField>
    <cacheField name="Basel III Leverage_x000a_Ratio" numFmtId="0">
      <sharedItems containsBlank="1" containsMixedTypes="1" containsNumber="1" minValue="3.9E-2" maxValue="0.95499999999999996"/>
    </cacheField>
    <cacheField name="Gesamt-_x000a_engagement" numFmtId="0">
      <sharedItems containsMixedTypes="1" containsNumber="1" containsInteger="1" minValue="3988" maxValue="97662183"/>
    </cacheField>
    <cacheField name="LCR" numFmtId="0">
      <sharedItems containsBlank="1" containsMixedTypes="1" containsNumber="1" minValue="1.04" maxValue="55.7"/>
    </cacheField>
    <cacheField name="Zähler der LCR (HQLA)" numFmtId="0">
      <sharedItems containsMixedTypes="1" containsNumber="1" containsInteger="1" minValue="302" maxValue="24468966"/>
    </cacheField>
    <cacheField name="Nenner der LCR (Net Outflow)" numFmtId="0">
      <sharedItems containsMixedTypes="1" containsNumber="1" containsInteger="1" minValue="16" maxValue="12785195"/>
    </cacheField>
    <cacheField name="LCR2" numFmtId="0">
      <sharedItems containsBlank="1" containsMixedTypes="1" containsNumber="1" minValue="1.05" maxValue="123.29"/>
    </cacheField>
    <cacheField name="Zähler der LCR (HQLA)2" numFmtId="0">
      <sharedItems containsMixedTypes="1" containsNumber="1" containsInteger="1" minValue="102" maxValue="26162877"/>
    </cacheField>
    <cacheField name="Nenner der LCR (Net Outflow)2" numFmtId="0">
      <sharedItems containsMixedTypes="1" containsNumber="1" containsInteger="1" minValue="22" maxValue="12764584"/>
    </cacheField>
    <cacheField name="LCR3" numFmtId="0">
      <sharedItems containsBlank="1" containsMixedTypes="1" containsNumber="1" minValue="1.03" maxValue="148.80000000000001"/>
    </cacheField>
    <cacheField name="Zähler der LCR (HQLA)3" numFmtId="0">
      <sharedItems containsMixedTypes="1" containsNumber="1" containsInteger="1" minValue="102" maxValue="24637442"/>
    </cacheField>
    <cacheField name="Nenner der LCR (Net Outflow)3" numFmtId="0">
      <sharedItems containsMixedTypes="1" containsNumber="1" containsInteger="1" minValue="15" maxValue="11678084"/>
    </cacheField>
    <cacheField name="LCR4" numFmtId="0">
      <sharedItems containsBlank="1" containsMixedTypes="1" containsNumber="1" minValue="1.05" maxValue="71.86"/>
    </cacheField>
    <cacheField name="Zähler der LCR (HQLA)4" numFmtId="0">
      <sharedItems containsMixedTypes="1" containsNumber="1" containsInteger="1" minValue="103" maxValue="21893706"/>
    </cacheField>
    <cacheField name="Nenner der LCR (Net Outflow)4" numFmtId="0">
      <sharedItems containsMixedTypes="1" containsNumber="1" containsInteger="1" minValue="9" maxValue="11234735"/>
    </cacheField>
    <cacheField name="NSFR" numFmtId="0">
      <sharedItems containsBlank="1" containsMixedTypes="1" containsNumber="1" minValue="1.08" maxValue="15.21"/>
    </cacheField>
    <cacheField name="Zähler der NSFR (ASF)" numFmtId="0">
      <sharedItems containsMixedTypes="1" containsNumber="1" containsInteger="1" minValue="3477" maxValue="57209174"/>
    </cacheField>
    <cacheField name="Nenner der NSFR (RSF)" numFmtId="0">
      <sharedItems containsMixedTypes="1" containsNumber="1" containsInteger="1" minValue="1757" maxValue="413942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x v="0"/>
    <m/>
    <s v="in TCHF"/>
    <s v="in TCHF"/>
    <s v="in TCHF"/>
    <s v="in TCHF"/>
    <s v="in TCHF"/>
    <m/>
    <m/>
    <m/>
    <m/>
    <m/>
    <m/>
    <m/>
    <m/>
    <m/>
    <s v="in TCHF"/>
    <m/>
    <s v="in TCHF"/>
    <s v="in TCHF"/>
    <m/>
    <s v="in TCHF"/>
    <s v="in TCHF"/>
    <m/>
    <s v="in TCHF"/>
    <s v="in TCHF"/>
    <m/>
    <s v="in TCHF"/>
    <s v="in TCHF"/>
    <m/>
    <s v="in TCHF"/>
    <s v="in TCHF"/>
  </r>
  <r>
    <x v="1"/>
    <s v="Spalte2"/>
    <s v="Spalte3"/>
    <s v="Spalte4"/>
    <s v="Spalte5"/>
    <s v="Spalte6"/>
    <s v="Spalte7"/>
    <s v="Spalte8"/>
    <s v="Spalte9"/>
    <s v="Spalte10"/>
    <s v="Spalte11"/>
    <s v="Spalte112"/>
    <s v="Spalte12"/>
    <s v="Spalte13"/>
    <s v="Spalte14"/>
    <s v="Spalte15"/>
    <s v="Spalte16"/>
    <s v="Spalte17"/>
    <s v="Spalte18"/>
    <s v="Spalte19"/>
    <s v="Spalte20"/>
    <s v="Spalte21"/>
    <s v="Spalte22"/>
    <s v="Spalte23"/>
    <s v="Spalte24"/>
    <s v="Spalte25"/>
    <s v="Spalte26"/>
    <s v="Spalte27"/>
    <s v="Spalte28"/>
    <s v="Spalte29"/>
    <s v="Spalte30"/>
    <s v="Spalte31"/>
  </r>
  <r>
    <x v="2"/>
    <n v="3"/>
    <n v="1249314"/>
    <n v="2945918"/>
    <n v="2865036"/>
    <n v="2865036"/>
    <n v="15616428"/>
    <n v="0.183"/>
    <n v="0.183"/>
    <n v="0.189"/>
    <n v="1.2E-2"/>
    <n v="7.8E-2"/>
    <n v="0.09"/>
    <n v="0.108"/>
    <n v="0.13200000000000001"/>
    <n v="7.6999999999999999E-2"/>
    <n v="37233632"/>
    <n v="1.41"/>
    <n v="9302561"/>
    <n v="6613652"/>
    <n v="1.46"/>
    <n v="9043013"/>
    <n v="6187744"/>
    <n v="1.47"/>
    <n v="8590330"/>
    <n v="5853175"/>
    <n v="1.43"/>
    <n v="7563266"/>
    <n v="5298887"/>
    <n v="1.45"/>
    <n v="26870446"/>
    <n v="18508872"/>
  </r>
  <r>
    <x v="3"/>
    <n v="4"/>
    <n v="126946"/>
    <n v="262868"/>
    <n v="262868"/>
    <n v="262868"/>
    <n v="1586829"/>
    <n v="0.16600000000000001"/>
    <n v="0.16600000000000001"/>
    <n v="0.16600000000000001"/>
    <n v="1.2E-2"/>
    <n v="7.3999999999999996E-2"/>
    <n v="8.5999999999999993E-2"/>
    <n v="0.10199999999999999"/>
    <n v="0.124"/>
    <n v="8.7999999999999995E-2"/>
    <n v="3004775"/>
    <n v="1.07"/>
    <n v="196581"/>
    <n v="183703"/>
    <n v="1.28"/>
    <n v="233204"/>
    <n v="181557"/>
    <n v="1.29"/>
    <n v="240274"/>
    <n v="186398"/>
    <n v="1.29"/>
    <n v="261786"/>
    <n v="202385"/>
    <n v="1.21"/>
    <n v="2314591"/>
    <n v="1911238"/>
  </r>
  <r>
    <x v="4"/>
    <n v="5"/>
    <n v="2248"/>
    <n v="29846"/>
    <n v="29846"/>
    <n v="29846"/>
    <n v="28098"/>
    <n v="1.0620000000000001"/>
    <n v="1.0620000000000001"/>
    <n v="1.0620000000000001"/>
    <n v="0"/>
    <n v="7.0000000000000007E-2"/>
    <n v="7.0000000000000007E-2"/>
    <n v="8.5000000000000006E-2"/>
    <n v="0.105"/>
    <n v="0.437"/>
    <n v="68226"/>
    <n v="55.7"/>
    <n v="4681"/>
    <n v="84"/>
    <n v="46.1"/>
    <n v="9691"/>
    <n v="210"/>
    <n v="31.91"/>
    <n v="19702"/>
    <n v="617"/>
    <n v="39.380000000000003"/>
    <n v="38203"/>
    <n v="970"/>
    <n v="1.5"/>
    <n v="119224"/>
    <n v="79284"/>
  </r>
  <r>
    <x v="5"/>
    <n v="5"/>
    <n v="13019"/>
    <n v="103897"/>
    <n v="103897"/>
    <n v="103897"/>
    <n v="162738"/>
    <n v="0.63800000000000001"/>
    <n v="0.63800000000000001"/>
    <n v="0.63800000000000001"/>
    <n v="0"/>
    <n v="7.0000000000000007E-2"/>
    <n v="7.0000000000000007E-2"/>
    <n v="8.5000000000000006E-2"/>
    <n v="0.105"/>
    <n v="0.35"/>
    <n v="296738"/>
    <n v="2.9"/>
    <n v="139670"/>
    <n v="48219"/>
    <n v="1.91"/>
    <n v="159443"/>
    <n v="83680"/>
    <n v="1.94"/>
    <n v="146325"/>
    <n v="75378"/>
    <n v="2"/>
    <n v="131165"/>
    <n v="65569"/>
    <n v="2.31"/>
    <n v="213347"/>
    <n v="92393"/>
  </r>
  <r>
    <x v="6"/>
    <n v="4"/>
    <n v="147768"/>
    <n v="368699"/>
    <n v="368699"/>
    <n v="368699"/>
    <n v="1847104"/>
    <n v="0.2"/>
    <n v="0.2"/>
    <n v="0.2"/>
    <n v="1.4E-2"/>
    <n v="7.3999999999999996E-2"/>
    <n v="8.7999999999999995E-2"/>
    <n v="0.104"/>
    <n v="0.126"/>
    <n v="8.5999999999999993E-2"/>
    <n v="4264067"/>
    <n v="1.31"/>
    <n v="505805"/>
    <n v="384839"/>
    <n v="1.37"/>
    <n v="489524"/>
    <n v="357038"/>
    <n v="1.47"/>
    <n v="511006"/>
    <n v="348234"/>
    <n v="1.49"/>
    <n v="494784"/>
    <n v="332970"/>
    <n v="1.35"/>
    <n v="3606845"/>
    <n v="2669742"/>
  </r>
  <r>
    <x v="7"/>
    <n v="4"/>
    <n v="207166"/>
    <n v="516489"/>
    <n v="510631"/>
    <n v="516489"/>
    <n v="2589581"/>
    <n v="0.19700000000000001"/>
    <n v="0.19900000000000001"/>
    <n v="0.19900000000000001"/>
    <n v="0"/>
    <n v="7.3999999999999996E-2"/>
    <n v="7.3999999999999996E-2"/>
    <n v="0.09"/>
    <n v="0.112"/>
    <n v="8.8999999999999996E-2"/>
    <n v="5791369"/>
    <n v="3.55"/>
    <n v="1083739"/>
    <n v="305009"/>
    <n v="2.68"/>
    <n v="1392460"/>
    <n v="519427"/>
    <n v="3.07"/>
    <n v="1364432"/>
    <n v="444107"/>
    <n v="3.52"/>
    <n v="1533418"/>
    <n v="436171"/>
    <n v="2.04"/>
    <n v="2930813"/>
    <n v="1439477"/>
  </r>
  <r>
    <x v="8"/>
    <n v="4"/>
    <n v="21060"/>
    <n v="91631"/>
    <n v="71631"/>
    <n v="91631"/>
    <n v="263252"/>
    <n v="0.27200000000000002"/>
    <n v="0.34799999999999998"/>
    <n v="0.34799999999999998"/>
    <n v="0"/>
    <n v="7.3999999999999996E-2"/>
    <n v="7.3999999999999996E-2"/>
    <n v="0.09"/>
    <n v="0.112"/>
    <n v="7.0999999999999994E-2"/>
    <n v="1298402"/>
    <n v="4.07"/>
    <n v="480612"/>
    <n v="118101"/>
    <n v="4.45"/>
    <n v="527743"/>
    <n v="118529"/>
    <n v="3.9"/>
    <n v="405432"/>
    <n v="104064"/>
    <n v="4.9000000000000004"/>
    <n v="466163"/>
    <n v="95216"/>
    <n v="3.27"/>
    <n v="844156"/>
    <n v="257852"/>
  </r>
  <r>
    <x v="9"/>
    <n v="4"/>
    <n v="279805"/>
    <n v="547323"/>
    <n v="440968"/>
    <n v="480968"/>
    <n v="3497567"/>
    <n v="0.126"/>
    <n v="0.13800000000000001"/>
    <n v="0.156"/>
    <n v="1.7999999999999999E-2"/>
    <n v="7.3999999999999996E-2"/>
    <n v="9.1999999999999998E-2"/>
    <n v="0.108"/>
    <n v="0.13"/>
    <n v="5.3999999999999999E-2"/>
    <n v="8882817"/>
    <n v="1.84"/>
    <n v="1054855"/>
    <n v="574243"/>
    <n v="2.0699999999999998"/>
    <n v="1034380"/>
    <n v="500488"/>
    <n v="2.04"/>
    <n v="997614"/>
    <n v="489201"/>
    <n v="2.11"/>
    <n v="993469"/>
    <n v="471507"/>
    <n v="1.31"/>
    <n v="7988123"/>
    <n v="6089451"/>
  </r>
  <r>
    <x v="10"/>
    <n v="5"/>
    <n v="1784"/>
    <n v="26318"/>
    <n v="26318"/>
    <n v="26318"/>
    <n v="22298"/>
    <n v="1.18"/>
    <n v="1.18"/>
    <n v="1.18"/>
    <n v="0"/>
    <n v="7.0000000000000007E-2"/>
    <n v="7.0000000000000007E-2"/>
    <n v="8.5000000000000006E-2"/>
    <n v="0.105"/>
    <n v="0.40500000000000003"/>
    <n v="64994"/>
    <n v="1.9"/>
    <n v="18952"/>
    <n v="9952"/>
    <n v="1.23"/>
    <n v="7373"/>
    <n v="5972"/>
    <n v="1.3"/>
    <n v="6057"/>
    <n v="4669"/>
    <n v="1.5"/>
    <n v="5893"/>
    <n v="3936"/>
    <n v="2.75"/>
    <n v="46841"/>
    <n v="17054"/>
  </r>
  <r>
    <x v="11"/>
    <n v="5"/>
    <n v="5942"/>
    <n v="31301"/>
    <n v="31301"/>
    <n v="31301"/>
    <n v="74278"/>
    <n v="0.42099999999999999"/>
    <n v="0.42099999999999999"/>
    <n v="0.42099999999999999"/>
    <n v="2E-3"/>
    <n v="6.9999999999999993E-2"/>
    <n v="7.1999999999999995E-2"/>
    <n v="8.6999999999999994E-2"/>
    <n v="0.107"/>
    <n v="8.1000000000000003E-2"/>
    <n v="387662"/>
    <n v="1.22"/>
    <n v="52290"/>
    <n v="42706"/>
    <n v="1.34"/>
    <n v="51482"/>
    <n v="38302"/>
    <n v="1.18"/>
    <n v="45227"/>
    <n v="38478"/>
    <n v="1.29"/>
    <n v="47037"/>
    <n v="36339"/>
    <n v="1.92"/>
    <n v="190085"/>
    <n v="99136"/>
  </r>
  <r>
    <x v="12"/>
    <n v="5"/>
    <n v="34583"/>
    <n v="127127"/>
    <n v="127127"/>
    <n v="127127"/>
    <n v="432285"/>
    <n v="0.29399999999999998"/>
    <n v="0.29399999999999998"/>
    <n v="0.29399999999999998"/>
    <n v="2E-3"/>
    <n v="6.9999999999999993E-2"/>
    <n v="7.1999999999999995E-2"/>
    <n v="8.6999999999999994E-2"/>
    <n v="0.107"/>
    <n v="0.16800000000000001"/>
    <n v="755038"/>
    <n v="2.19"/>
    <n v="104389"/>
    <n v="47654"/>
    <n v="2.59"/>
    <n v="89944"/>
    <n v="34709"/>
    <n v="2.77"/>
    <n v="80713"/>
    <n v="29086"/>
    <n v="3.03"/>
    <n v="69895"/>
    <n v="23084"/>
    <n v="1.71"/>
    <n v="600705"/>
    <n v="350935"/>
  </r>
  <r>
    <x v="13"/>
    <n v="3"/>
    <n v="737100"/>
    <n v="1726232"/>
    <n v="1434425"/>
    <n v="1484425"/>
    <n v="9213751"/>
    <n v="0.156"/>
    <n v="0.161"/>
    <n v="0.187"/>
    <n v="8.9999999999999993E-3"/>
    <n v="7.8E-2"/>
    <n v="8.6999999999999994E-2"/>
    <n v="0.105"/>
    <n v="0.129"/>
    <n v="0.08"/>
    <n v="18508530"/>
    <n v="1.66"/>
    <n v="3622840"/>
    <n v="2180935"/>
    <n v="1.59"/>
    <n v="3224087"/>
    <n v="2024530"/>
    <n v="1.58"/>
    <n v="2645195"/>
    <n v="1674753"/>
    <n v="1.58"/>
    <n v="2520342"/>
    <n v="1600215"/>
    <n v="1.32"/>
    <n v="14568488"/>
    <n v="11072320"/>
  </r>
  <r>
    <x v="14"/>
    <n v="4"/>
    <n v="202444"/>
    <n v="463096"/>
    <n v="463096"/>
    <n v="463096"/>
    <n v="2530545"/>
    <n v="0.183"/>
    <n v="0.183"/>
    <n v="0.183"/>
    <n v="1.6E-2"/>
    <n v="7.3999999999999996E-2"/>
    <n v="0.09"/>
    <n v="0.106"/>
    <n v="0.128"/>
    <n v="7.0000000000000007E-2"/>
    <n v="6618597"/>
    <n v="1.69"/>
    <n v="915188"/>
    <n v="542104"/>
    <n v="1.61"/>
    <n v="911835"/>
    <n v="567484"/>
    <n v="1.66"/>
    <n v="916096"/>
    <n v="552613"/>
    <n v="1.43"/>
    <n v="728500"/>
    <n v="507921"/>
    <n v="1.18"/>
    <n v="4647112"/>
    <n v="3951767"/>
  </r>
  <r>
    <x v="15"/>
    <n v="5"/>
    <n v="15190"/>
    <n v="70557"/>
    <n v="70557"/>
    <n v="70557"/>
    <n v="189870"/>
    <n v="0.372"/>
    <n v="0.372"/>
    <n v="0.372"/>
    <n v="1E-3"/>
    <n v="6.9999999999999993E-2"/>
    <n v="7.0999999999999994E-2"/>
    <n v="8.5999999999999993E-2"/>
    <n v="0.106"/>
    <n v="0.23899999999999999"/>
    <n v="294652"/>
    <n v="1.68"/>
    <n v="56443"/>
    <n v="33566"/>
    <n v="1.96"/>
    <n v="56232"/>
    <n v="28693"/>
    <n v="1.47"/>
    <n v="37873"/>
    <n v="25815"/>
    <n v="1.63"/>
    <n v="35467"/>
    <n v="21811"/>
    <n v="1.61"/>
    <n v="192867"/>
    <n v="119799"/>
  </r>
  <r>
    <x v="16"/>
    <n v="4"/>
    <n v="93031"/>
    <n v="1225624"/>
    <n v="1224854"/>
    <n v="1224854"/>
    <n v="1162892"/>
    <n v="1.0529999999999999"/>
    <n v="1.0529999999999999"/>
    <n v="1.054"/>
    <n v="0"/>
    <n v="7.3999999999999996E-2"/>
    <n v="7.3999999999999996E-2"/>
    <n v="0.09"/>
    <n v="0.112"/>
    <n v="0.34799999999999998"/>
    <n v="3522756"/>
    <n v="1.93"/>
    <n v="924605"/>
    <n v="479433"/>
    <n v="2.0499999999999998"/>
    <n v="783307"/>
    <n v="381257"/>
    <n v="2.09"/>
    <n v="750798"/>
    <n v="358535"/>
    <n v="3.01"/>
    <n v="932451"/>
    <n v="309459"/>
    <n v="2.0499999999999998"/>
    <n v="2535490"/>
    <n v="1238591"/>
  </r>
  <r>
    <x v="17"/>
    <n v="4"/>
    <n v="164754"/>
    <n v="335839"/>
    <n v="335839"/>
    <n v="335839"/>
    <n v="2059422"/>
    <n v="0.16300000000000001"/>
    <n v="0.16300000000000001"/>
    <n v="0.16300000000000001"/>
    <n v="1.7000000000000001E-2"/>
    <n v="7.3999999999999996E-2"/>
    <n v="9.0999999999999998E-2"/>
    <n v="0.107"/>
    <n v="0.129"/>
    <n v="6.6000000000000003E-2"/>
    <n v="5112642"/>
    <n v="1.55"/>
    <n v="447785"/>
    <n v="289145"/>
    <n v="1.88"/>
    <n v="539644"/>
    <n v="286722"/>
    <n v="1.9"/>
    <n v="555669"/>
    <n v="291902"/>
    <n v="1.89"/>
    <n v="549222"/>
    <n v="290365"/>
    <n v="1.37"/>
    <n v="4487953"/>
    <n v="3279323"/>
  </r>
  <r>
    <x v="18"/>
    <n v="5"/>
    <n v="41347"/>
    <n v="89206"/>
    <n v="89206"/>
    <n v="89206"/>
    <n v="516834"/>
    <n v="0.17299999999999999"/>
    <n v="0.17299999999999999"/>
    <n v="0.17299999999999999"/>
    <n v="1.7000000000000001E-2"/>
    <n v="6.9999999999999993E-2"/>
    <n v="8.6999999999999994E-2"/>
    <n v="0.10199999999999999"/>
    <n v="0.122"/>
    <n v="7.3999999999999996E-2"/>
    <n v="1206025"/>
    <n v="1.55"/>
    <n v="92633"/>
    <n v="59852"/>
    <n v="1.74"/>
    <n v="96397"/>
    <n v="55358"/>
    <n v="1.85"/>
    <n v="104029"/>
    <n v="56115"/>
    <n v="1.77"/>
    <n v="85711"/>
    <n v="48435"/>
    <n v="1.3"/>
    <n v="1108698"/>
    <n v="853668"/>
  </r>
  <r>
    <x v="19"/>
    <n v="4"/>
    <n v="465595"/>
    <n v="853763"/>
    <n v="621080"/>
    <n v="711080"/>
    <n v="5819934"/>
    <n v="0.107"/>
    <n v="0.122"/>
    <n v="0.14699999999999999"/>
    <n v="8.9999999999999993E-3"/>
    <n v="7.400000000000001E-2"/>
    <n v="8.3000000000000004E-2"/>
    <n v="9.9000000000000005E-2"/>
    <n v="0.121"/>
    <n v="5.3999999999999999E-2"/>
    <n v="13047360"/>
    <n v="1.41"/>
    <n v="1772853"/>
    <n v="1254672"/>
    <n v="1.96"/>
    <n v="1226207"/>
    <n v="625967"/>
    <n v="2.3199999999999998"/>
    <n v="1339896"/>
    <n v="576783"/>
    <n v="2.57"/>
    <n v="1781950"/>
    <n v="694258"/>
    <n v="1.1599999999999999"/>
    <n v="7908427"/>
    <n v="6843199"/>
  </r>
  <r>
    <x v="20"/>
    <n v="3"/>
    <n v="638258"/>
    <n v="1459743"/>
    <n v="1349947"/>
    <n v="1439947"/>
    <n v="7978221"/>
    <n v="0.16900000000000001"/>
    <n v="0.18"/>
    <n v="0.183"/>
    <n v="1.7999999999999999E-2"/>
    <n v="7.8E-2"/>
    <n v="9.6000000000000002E-2"/>
    <n v="0.114"/>
    <n v="0.13800000000000001"/>
    <n v="7.0999999999999994E-2"/>
    <n v="20295270"/>
    <n v="1.51"/>
    <n v="2439570"/>
    <n v="1620388"/>
    <n v="1.52"/>
    <n v="2527101"/>
    <n v="1665708"/>
    <n v="1.62"/>
    <n v="2445139"/>
    <n v="1512884"/>
    <n v="1.82"/>
    <n v="2291970"/>
    <n v="1257832"/>
    <n v="1.26"/>
    <n v="16151860"/>
    <n v="12786057"/>
  </r>
  <r>
    <x v="21"/>
    <n v="4"/>
    <n v="57951"/>
    <n v="134269"/>
    <n v="125269"/>
    <n v="125269"/>
    <n v="724382"/>
    <n v="0.17299999999999999"/>
    <n v="0.17299999999999999"/>
    <n v="0.185"/>
    <n v="1.4E-2"/>
    <n v="7.3999999999999996E-2"/>
    <n v="8.7999999999999995E-2"/>
    <n v="0.104"/>
    <n v="0.126"/>
    <n v="7.5999999999999998E-2"/>
    <n v="1659135"/>
    <n v="2.09"/>
    <n v="274188"/>
    <n v="130925"/>
    <n v="2.25"/>
    <n v="268892"/>
    <n v="119446"/>
    <n v="2.2000000000000002"/>
    <n v="268462"/>
    <n v="121802"/>
    <n v="2.11"/>
    <n v="249603"/>
    <n v="118471"/>
    <n v="1.27"/>
    <n v="1336868"/>
    <n v="1056640"/>
  </r>
  <r>
    <x v="22"/>
    <n v="3"/>
    <n v="815017"/>
    <n v="3056252"/>
    <n v="2991748"/>
    <n v="2991748"/>
    <n v="10187713"/>
    <n v="0.29399999999999998"/>
    <n v="0.29399999999999998"/>
    <n v="0.3"/>
    <n v="0"/>
    <n v="7.8E-2"/>
    <n v="7.8E-2"/>
    <n v="9.6000000000000002E-2"/>
    <n v="0.12"/>
    <n v="7.5999999999999998E-2"/>
    <n v="39132974"/>
    <n v="1.69"/>
    <n v="14776364"/>
    <n v="8742651"/>
    <n v="2.2799999999999998"/>
    <n v="13602961"/>
    <n v="5965108"/>
    <n v="2.4"/>
    <n v="14131328"/>
    <n v="5893063"/>
    <n v="1.8"/>
    <n v="17485208"/>
    <n v="9706588"/>
    <n v="1.45"/>
    <n v="16071102"/>
    <n v="11046001"/>
  </r>
  <r>
    <x v="23"/>
    <n v="3"/>
    <n v="1548967"/>
    <n v="4682629"/>
    <n v="3452201"/>
    <n v="4599426"/>
    <n v="19362091"/>
    <n v="0.17799999999999999"/>
    <n v="0.23799999999999999"/>
    <n v="0.24199999999999999"/>
    <n v="2E-3"/>
    <n v="7.8E-2"/>
    <n v="0.08"/>
    <n v="9.8000000000000004E-2"/>
    <n v="0.122"/>
    <n v="0.05"/>
    <n v="91653350"/>
    <n v="2.2400000000000002"/>
    <n v="21422586"/>
    <n v="9584356"/>
    <n v="2.82"/>
    <n v="22795286"/>
    <n v="8081161"/>
    <n v="2.77"/>
    <n v="21448569"/>
    <n v="7749315"/>
    <n v="2.77"/>
    <n v="18861350"/>
    <n v="6815817"/>
    <n v="1.37"/>
    <n v="50685526"/>
    <n v="37074894"/>
  </r>
  <r>
    <x v="24"/>
    <n v="5"/>
    <n v="5701"/>
    <n v="28421"/>
    <n v="28421"/>
    <n v="28421"/>
    <n v="71268"/>
    <n v="0.39900000000000002"/>
    <n v="0.39900000000000002"/>
    <n v="0.39900000000000002"/>
    <n v="0"/>
    <n v="7.0000000000000007E-2"/>
    <n v="7.0000000000000007E-2"/>
    <n v="8.5000000000000006E-2"/>
    <n v="0.105"/>
    <n v="0.156"/>
    <n v="181749"/>
    <n v="2.73"/>
    <n v="162219"/>
    <n v="59486"/>
    <n v="3.25"/>
    <n v="100316"/>
    <n v="30857"/>
    <n v="2.93"/>
    <n v="35806"/>
    <n v="12219"/>
    <n v="3.81"/>
    <n v="39467"/>
    <n v="10368"/>
    <n v="1.76"/>
    <n v="128486"/>
    <n v="72890"/>
  </r>
  <r>
    <x v="25"/>
    <n v="3"/>
    <n v="364801"/>
    <n v="1141476"/>
    <n v="1040111"/>
    <n v="1040111"/>
    <n v="4560014"/>
    <n v="0.22800000000000001"/>
    <n v="0.22800000000000001"/>
    <n v="0.25"/>
    <n v="2E-3"/>
    <n v="7.8E-2"/>
    <n v="0.08"/>
    <n v="9.8000000000000004E-2"/>
    <n v="0.122"/>
    <n v="5.5E-2"/>
    <n v="18979030"/>
    <n v="1.64"/>
    <n v="6620439"/>
    <n v="4045206"/>
    <n v="1.7"/>
    <n v="6292449"/>
    <n v="3704056"/>
    <n v="1.81"/>
    <n v="5518917"/>
    <n v="3055348"/>
    <n v="2.14"/>
    <n v="4831695"/>
    <n v="2253926"/>
    <n v="1.1299999999999999"/>
    <n v="9208160"/>
    <n v="8129200"/>
  </r>
  <r>
    <x v="26"/>
    <n v="5"/>
    <n v="47609"/>
    <n v="95928"/>
    <n v="92497"/>
    <n v="92497"/>
    <n v="595111"/>
    <n v="0.155"/>
    <n v="0.155"/>
    <n v="0.161"/>
    <n v="1.7999999999999999E-2"/>
    <n v="6.9999999999999993E-2"/>
    <n v="8.7999999999999995E-2"/>
    <n v="0.10299999999999999"/>
    <n v="0.123"/>
    <n v="6.3E-2"/>
    <n v="1472701"/>
    <n v="1.56"/>
    <n v="161256"/>
    <n v="103231"/>
    <n v="1.25"/>
    <n v="124138"/>
    <n v="99688"/>
    <n v="1.19"/>
    <n v="104530"/>
    <n v="87697"/>
    <n v="1.38"/>
    <n v="111472"/>
    <n v="80893"/>
    <n v="1.26"/>
    <n v="1259678"/>
    <n v="998620"/>
  </r>
  <r>
    <x v="27"/>
    <n v="5"/>
    <n v="11526"/>
    <n v="67653"/>
    <n v="67588"/>
    <n v="67588"/>
    <n v="144080"/>
    <n v="0.46899999999999997"/>
    <n v="0.46899999999999997"/>
    <n v="0.47"/>
    <n v="0"/>
    <n v="7.0000000000000007E-2"/>
    <n v="7.0000000000000007E-2"/>
    <n v="8.5000000000000006E-2"/>
    <n v="0.105"/>
    <n v="0.123"/>
    <n v="548128"/>
    <n v="9.9499999999999993"/>
    <n v="325385"/>
    <n v="32717"/>
    <n v="8.75"/>
    <n v="388871"/>
    <n v="44459"/>
    <n v="9.31"/>
    <n v="384109"/>
    <n v="41246"/>
    <n v="11.83"/>
    <n v="371303"/>
    <n v="31389"/>
    <n v="11.55"/>
    <n v="476529"/>
    <n v="41259"/>
  </r>
  <r>
    <x v="28"/>
    <n v="5"/>
    <n v="267674"/>
    <n v="466645"/>
    <n v="361645"/>
    <n v="401645"/>
    <n v="3345928"/>
    <n v="0.108"/>
    <n v="0.12"/>
    <n v="0.13900000000000001"/>
    <n v="0"/>
    <n v="7.0000000000000007E-2"/>
    <n v="7.0000000000000007E-2"/>
    <n v="8.5000000000000006E-2"/>
    <n v="0.105"/>
    <n v="7.6999999999999999E-2"/>
    <n v="5185539"/>
    <s v="2)"/>
    <s v="2)"/>
    <s v="2)"/>
    <s v="2)"/>
    <s v="2)"/>
    <s v="2)"/>
    <s v="2)"/>
    <s v="2)"/>
    <s v="2)"/>
    <s v="2)"/>
    <s v="2)"/>
    <s v="2)"/>
    <s v="2)"/>
    <s v="2)"/>
    <s v="2)"/>
  </r>
  <r>
    <x v="29"/>
    <n v="4"/>
    <n v="24241"/>
    <n v="210586"/>
    <n v="203366"/>
    <n v="203366"/>
    <n v="303014"/>
    <n v="0.67100000000000004"/>
    <n v="0.67100000000000004"/>
    <n v="0.69499999999999995"/>
    <n v="0"/>
    <n v="7.3999999999999996E-2"/>
    <n v="7.3999999999999996E-2"/>
    <n v="0.09"/>
    <n v="0.112"/>
    <n v="0.217"/>
    <n v="937397"/>
    <n v="5"/>
    <n v="285827"/>
    <n v="57150"/>
    <n v="4.99"/>
    <n v="232792"/>
    <n v="46639"/>
    <n v="5.33"/>
    <n v="224393"/>
    <n v="42074"/>
    <n v="5.65"/>
    <n v="205059"/>
    <n v="36315"/>
    <n v="2.09"/>
    <n v="749292"/>
    <n v="357733"/>
  </r>
  <r>
    <x v="30"/>
    <n v="5"/>
    <n v="11306"/>
    <n v="106850"/>
    <n v="106588"/>
    <n v="106588"/>
    <n v="141321"/>
    <n v="0.754"/>
    <n v="0.754"/>
    <n v="0.75600000000000001"/>
    <n v="0"/>
    <n v="7.0000000000000007E-2"/>
    <n v="7.0000000000000007E-2"/>
    <n v="8.5000000000000006E-2"/>
    <n v="0.105"/>
    <n v="0.35799999999999998"/>
    <n v="297973"/>
    <n v="3.08"/>
    <n v="97883"/>
    <n v="31761"/>
    <n v="3.75"/>
    <n v="100434"/>
    <n v="26802"/>
    <n v="2.89"/>
    <n v="95553"/>
    <n v="33057"/>
    <n v="3.17"/>
    <n v="84134"/>
    <n v="26537"/>
    <n v="1.65"/>
    <n v="245525"/>
    <n v="148394"/>
  </r>
  <r>
    <x v="31"/>
    <n v="3"/>
    <n v="1064797"/>
    <n v="2508462"/>
    <n v="2499146"/>
    <n v="2499146"/>
    <n v="13309961"/>
    <n v="0.188"/>
    <n v="0.188"/>
    <n v="0.188"/>
    <n v="1.0999999999999999E-2"/>
    <n v="7.8E-2"/>
    <n v="8.8999999999999996E-2"/>
    <n v="0.107"/>
    <n v="0.13100000000000001"/>
    <n v="8.7999999999999995E-2"/>
    <n v="28379130"/>
    <n v="1.82"/>
    <n v="4070680"/>
    <n v="2241486"/>
    <n v="1.96"/>
    <n v="4152846"/>
    <n v="2118684"/>
    <n v="2.11"/>
    <n v="4199508"/>
    <n v="1988306"/>
    <n v="2.27"/>
    <n v="4129627"/>
    <n v="1822713"/>
    <n v="1.32"/>
    <n v="24434356"/>
    <n v="18449554"/>
  </r>
  <r>
    <x v="32"/>
    <n v="3"/>
    <n v="1123532"/>
    <n v="2389441"/>
    <n v="2127388"/>
    <n v="2258923"/>
    <n v="14044154"/>
    <n v="0.151"/>
    <n v="0.161"/>
    <n v="0.17"/>
    <n v="7.0000000000000001E-3"/>
    <n v="7.8E-2"/>
    <n v="8.5000000000000006E-2"/>
    <n v="0.10299999999999999"/>
    <n v="0.127"/>
    <n v="7.0999999999999994E-2"/>
    <n v="31893896"/>
    <n v="1.66"/>
    <n v="8521085"/>
    <n v="5118047"/>
    <n v="1.73"/>
    <n v="8557071"/>
    <n v="4956930"/>
    <n v="1.66"/>
    <n v="8270536"/>
    <n v="4989414"/>
    <n v="1.64"/>
    <n v="8362687"/>
    <n v="5097610"/>
    <n v="1.42"/>
    <n v="22555581"/>
    <n v="15918760"/>
  </r>
  <r>
    <x v="33"/>
    <n v="4"/>
    <n v="140516"/>
    <n v="300317"/>
    <n v="297697"/>
    <n v="297697"/>
    <n v="1756444"/>
    <n v="0.16900000000000001"/>
    <n v="0.16900000000000001"/>
    <n v="0.17100000000000001"/>
    <n v="1.4E-2"/>
    <n v="7.3999999999999996E-2"/>
    <n v="8.7999999999999995E-2"/>
    <n v="0.104"/>
    <n v="0.126"/>
    <n v="6.8000000000000005E-2"/>
    <n v="4358666"/>
    <n v="1.23"/>
    <n v="588370"/>
    <n v="477405"/>
    <n v="1.41"/>
    <n v="840235"/>
    <n v="595973"/>
    <n v="1.35"/>
    <n v="677839"/>
    <n v="501070"/>
    <n v="1.28"/>
    <n v="625632"/>
    <n v="489667"/>
    <n v="1.28"/>
    <n v="3475729"/>
    <n v="2711484"/>
  </r>
  <r>
    <x v="34"/>
    <n v="3"/>
    <n v="707668"/>
    <n v="1572696"/>
    <n v="1507696"/>
    <n v="1507696"/>
    <n v="8845849"/>
    <n v="0.17"/>
    <n v="0.17"/>
    <n v="0.17799999999999999"/>
    <n v="1.2999999999999999E-2"/>
    <n v="7.8E-2"/>
    <n v="9.0999999999999998E-2"/>
    <n v="0.109"/>
    <n v="0.13300000000000001"/>
    <n v="7.3999999999999996E-2"/>
    <n v="20334154"/>
    <n v="1.39"/>
    <n v="3600635"/>
    <n v="2584451"/>
    <n v="1.55"/>
    <n v="3818069"/>
    <n v="2466361"/>
    <n v="1.54"/>
    <n v="3723319"/>
    <n v="2412862"/>
    <n v="1.49"/>
    <n v="3663635"/>
    <n v="2456569"/>
    <n v="1.24"/>
    <n v="15536380"/>
    <n v="12538728"/>
  </r>
  <r>
    <x v="35"/>
    <n v="4"/>
    <n v="388409"/>
    <n v="1036041"/>
    <n v="1000533"/>
    <n v="1000533"/>
    <n v="4855107"/>
    <n v="0.20599999999999999"/>
    <n v="0.20599999999999999"/>
    <n v="0.21299999999999999"/>
    <n v="1.4E-2"/>
    <n v="7.3999999999999996E-2"/>
    <n v="8.7999999999999995E-2"/>
    <n v="0.104"/>
    <n v="0.126"/>
    <n v="8.3000000000000004E-2"/>
    <n v="12080038"/>
    <n v="1.56"/>
    <n v="1990947"/>
    <n v="1275769"/>
    <n v="1.87"/>
    <n v="1995927"/>
    <n v="1066710"/>
    <n v="1.85"/>
    <n v="2004514"/>
    <n v="1083460"/>
    <n v="1.86"/>
    <n v="1842430"/>
    <n v="991580"/>
    <n v="1.31"/>
    <n v="9572824"/>
    <n v="7323397"/>
  </r>
  <r>
    <x v="36"/>
    <n v="3"/>
    <n v="1548189"/>
    <n v="3489977"/>
    <n v="3465084"/>
    <n v="3465084"/>
    <n v="19352364"/>
    <n v="0.17899999999999999"/>
    <n v="0.17899999999999999"/>
    <n v="0.18"/>
    <n v="0.01"/>
    <n v="7.8E-2"/>
    <n v="8.7999999999999995E-2"/>
    <n v="0.106"/>
    <n v="0.13"/>
    <n v="5.6000000000000001E-2"/>
    <n v="61796072"/>
    <n v="1.36"/>
    <n v="15309895"/>
    <n v="11266343"/>
    <n v="1.28"/>
    <n v="14833037"/>
    <n v="11543426"/>
    <n v="1.3"/>
    <n v="12493925"/>
    <n v="9615200"/>
    <n v="1.29"/>
    <n v="12449921"/>
    <n v="9652211"/>
    <n v="1.2"/>
    <n v="38244604"/>
    <n v="31772343"/>
  </r>
  <r>
    <x v="37"/>
    <n v="5"/>
    <n v="21044"/>
    <n v="79439"/>
    <n v="73995"/>
    <n v="73995"/>
    <n v="263051"/>
    <n v="0.28100000000000003"/>
    <n v="0.28100000000000003"/>
    <n v="0.30199999999999999"/>
    <n v="6.0000000000000001E-3"/>
    <n v="6.9999999999999993E-2"/>
    <n v="7.5999999999999998E-2"/>
    <n v="9.0999999999999998E-2"/>
    <n v="0.111"/>
    <n v="0.11"/>
    <n v="672392"/>
    <n v="2.67"/>
    <n v="134543"/>
    <n v="50407"/>
    <n v="2.35"/>
    <n v="105700"/>
    <n v="44970"/>
    <n v="2.5"/>
    <n v="107931"/>
    <n v="43215"/>
    <n v="3.47"/>
    <n v="144581"/>
    <n v="41610"/>
    <n v="1.8"/>
    <n v="421409"/>
    <n v="234326"/>
  </r>
  <r>
    <x v="38"/>
    <n v="5"/>
    <n v="255789"/>
    <n v="601211"/>
    <n v="601211"/>
    <n v="601211"/>
    <n v="3197367"/>
    <n v="0.188"/>
    <n v="0.188"/>
    <n v="0.188"/>
    <n v="0"/>
    <n v="7.0000000000000007E-2"/>
    <n v="7.0000000000000007E-2"/>
    <n v="8.5000000000000006E-2"/>
    <n v="0.105"/>
    <n v="0.14099999999999999"/>
    <n v="4274710"/>
    <n v="1.77"/>
    <n v="929736"/>
    <n v="525454"/>
    <n v="1.7"/>
    <n v="936502"/>
    <n v="550530"/>
    <n v="2.48"/>
    <n v="832157"/>
    <n v="335690"/>
    <n v="2.39"/>
    <n v="820964"/>
    <n v="343533"/>
    <n v="1.1100000000000001"/>
    <n v="1450743"/>
    <n v="1309724"/>
  </r>
  <r>
    <x v="39"/>
    <n v="5"/>
    <n v="48778"/>
    <n v="123574"/>
    <n v="118015"/>
    <n v="118015"/>
    <n v="609727"/>
    <n v="0.19400000000000001"/>
    <n v="0.19400000000000001"/>
    <n v="0.20300000000000001"/>
    <n v="1.6E-2"/>
    <n v="6.9999999999999993E-2"/>
    <n v="8.5999999999999993E-2"/>
    <n v="0.10100000000000001"/>
    <n v="0.121"/>
    <n v="8.1000000000000003E-2"/>
    <n v="1456888"/>
    <n v="1.85"/>
    <n v="168651"/>
    <n v="91298"/>
    <n v="1.83"/>
    <n v="149672"/>
    <n v="81825"/>
    <n v="1.99"/>
    <n v="123271"/>
    <n v="61982"/>
    <n v="1.79"/>
    <n v="109046"/>
    <n v="61008"/>
    <n v="1.28"/>
    <n v="1094663"/>
    <n v="852103"/>
  </r>
  <r>
    <x v="40"/>
    <n v="5"/>
    <n v="9310"/>
    <n v="32935"/>
    <n v="32935"/>
    <n v="32935"/>
    <n v="116377"/>
    <n v="0.28299999999999997"/>
    <n v="0.28299999999999997"/>
    <n v="0.28299999999999997"/>
    <n v="1E-3"/>
    <n v="6.9999999999999993E-2"/>
    <n v="7.0999999999999994E-2"/>
    <n v="8.5999999999999993E-2"/>
    <n v="0.106"/>
    <n v="0.112"/>
    <n v="294383"/>
    <n v="1.44"/>
    <n v="19579"/>
    <n v="13576"/>
    <n v="1.49"/>
    <n v="21198"/>
    <n v="14256"/>
    <n v="1.72"/>
    <n v="21724"/>
    <n v="12609"/>
    <n v="1.61"/>
    <n v="21624"/>
    <n v="13449"/>
    <n v="2.46"/>
    <n v="228945"/>
    <n v="93183"/>
  </r>
  <r>
    <x v="41"/>
    <n v="5"/>
    <n v="36424"/>
    <n v="89969"/>
    <n v="83252"/>
    <n v="83252"/>
    <n v="455304"/>
    <n v="0.183"/>
    <n v="0.183"/>
    <n v="0.19800000000000001"/>
    <n v="1E-3"/>
    <n v="6.9999999999999993E-2"/>
    <n v="7.0999999999999994E-2"/>
    <n v="8.5999999999999993E-2"/>
    <n v="0.106"/>
    <n v="8.5999999999999993E-2"/>
    <n v="971434"/>
    <n v="2.2999999999999998"/>
    <n v="354667"/>
    <n v="154006"/>
    <n v="3.28"/>
    <n v="317414"/>
    <n v="96891"/>
    <n v="2.86"/>
    <n v="262376"/>
    <n v="91645"/>
    <n v="3.08"/>
    <n v="252130"/>
    <n v="81747"/>
    <n v="1.27"/>
    <n v="639984"/>
    <n v="504643"/>
  </r>
  <r>
    <x v="42"/>
    <n v="4"/>
    <n v="28900"/>
    <n v="129058"/>
    <n v="129058"/>
    <n v="129058"/>
    <n v="361255"/>
    <n v="0.35699999999999998"/>
    <n v="0.35699999999999998"/>
    <n v="0.35699999999999998"/>
    <n v="1E-3"/>
    <n v="7.3999999999999996E-2"/>
    <n v="7.4999999999999997E-2"/>
    <n v="9.0999999999999998E-2"/>
    <n v="0.113"/>
    <n v="0.13500000000000001"/>
    <n v="959003"/>
    <n v="1.49"/>
    <n v="300629"/>
    <n v="201438"/>
    <n v="1.7"/>
    <n v="276999"/>
    <n v="162528"/>
    <n v="1.44"/>
    <n v="355046"/>
    <n v="245924"/>
    <n v="1.76"/>
    <n v="270390"/>
    <n v="153368"/>
    <n v="1.3"/>
    <n v="495165"/>
    <n v="381280"/>
  </r>
  <r>
    <x v="43"/>
    <n v="5"/>
    <n v="74661"/>
    <n v="183699"/>
    <n v="183699"/>
    <n v="183699"/>
    <n v="933259"/>
    <n v="0.19700000000000001"/>
    <n v="0.19700000000000001"/>
    <n v="0.19700000000000001"/>
    <n v="0"/>
    <n v="7.0000000000000007E-2"/>
    <n v="7.0000000000000007E-2"/>
    <n v="8.5000000000000006E-2"/>
    <n v="0.105"/>
    <n v="0.121"/>
    <n v="1518680"/>
    <n v="1.25"/>
    <n v="183120"/>
    <n v="146295"/>
    <n v="1.3"/>
    <n v="162102"/>
    <n v="124351"/>
    <n v="1.29"/>
    <n v="171525"/>
    <n v="133255"/>
    <n v="1.49"/>
    <n v="130797"/>
    <n v="87789"/>
    <n v="1.39"/>
    <n v="629631"/>
    <n v="451772"/>
  </r>
  <r>
    <x v="44"/>
    <n v="3"/>
    <n v="376200"/>
    <n v="1534618"/>
    <n v="1510699"/>
    <n v="1534618"/>
    <n v="4702496"/>
    <n v="0.32100000000000001"/>
    <n v="0.32600000000000001"/>
    <n v="0.32600000000000001"/>
    <n v="0"/>
    <n v="7.8E-2"/>
    <n v="7.8E-2"/>
    <n v="9.6000000000000002E-2"/>
    <n v="0.12"/>
    <n v="9.8000000000000004E-2"/>
    <n v="15702625"/>
    <n v="1.87"/>
    <n v="8381364"/>
    <n v="4473641"/>
    <n v="1.84"/>
    <n v="6667070"/>
    <n v="3623402"/>
    <n v="1.76"/>
    <n v="6021954"/>
    <n v="3427395"/>
    <n v="1.94"/>
    <n v="5840144"/>
    <n v="3005144"/>
    <n v="1.63"/>
    <n v="6858046"/>
    <n v="4205925"/>
  </r>
  <r>
    <x v="45"/>
    <n v="4"/>
    <n v="44766"/>
    <n v="171849"/>
    <n v="171849"/>
    <n v="171849"/>
    <n v="559569"/>
    <n v="0.307"/>
    <n v="0.307"/>
    <n v="0.307"/>
    <n v="2E-3"/>
    <n v="7.3999999999999996E-2"/>
    <n v="7.5999999999999998E-2"/>
    <n v="9.1999999999999998E-2"/>
    <n v="0.114"/>
    <n v="0.114"/>
    <n v="1501316"/>
    <n v="1.52"/>
    <n v="502235"/>
    <n v="330276"/>
    <n v="1.4"/>
    <n v="309236"/>
    <n v="220497"/>
    <n v="1.4"/>
    <n v="261151"/>
    <n v="187187"/>
    <n v="1.85"/>
    <n v="424866"/>
    <n v="229815"/>
    <n v="1.77"/>
    <n v="846144"/>
    <n v="477908"/>
  </r>
  <r>
    <x v="46"/>
    <n v="4"/>
    <n v="68031"/>
    <n v="170159"/>
    <n v="120159"/>
    <n v="170159"/>
    <n v="850389"/>
    <n v="0.14099999999999999"/>
    <n v="0.2"/>
    <n v="0.2"/>
    <n v="1E-3"/>
    <n v="7.3999999999999996E-2"/>
    <n v="7.4999999999999997E-2"/>
    <n v="9.0999999999999998E-2"/>
    <n v="0.113"/>
    <n v="4.5999999999999999E-2"/>
    <n v="3664970"/>
    <n v="1.79"/>
    <n v="371255"/>
    <n v="207384"/>
    <n v="2.44"/>
    <n v="481447"/>
    <n v="197576"/>
    <n v="1.56"/>
    <n v="375511"/>
    <n v="240393"/>
    <n v="1.96"/>
    <n v="331411"/>
    <n v="169100"/>
    <n v="1.08"/>
    <n v="1767718"/>
    <n v="1641595"/>
  </r>
  <r>
    <x v="47"/>
    <n v="3"/>
    <n v="1165801"/>
    <n v="2777665"/>
    <n v="2746300"/>
    <n v="2746300"/>
    <n v="14572514"/>
    <n v="0.188"/>
    <n v="0.188"/>
    <n v="0.191"/>
    <n v="1.2999999999999999E-2"/>
    <n v="7.8E-2"/>
    <n v="9.0999999999999998E-2"/>
    <n v="0.109"/>
    <n v="0.13300000000000001"/>
    <n v="7.8E-2"/>
    <n v="35391057"/>
    <n v="1.5"/>
    <n v="7319759"/>
    <n v="4864162"/>
    <n v="1.47"/>
    <n v="6501538"/>
    <n v="4418575"/>
    <n v="1.45"/>
    <n v="6231592"/>
    <n v="4287588"/>
    <n v="1.31"/>
    <n v="5335609"/>
    <n v="4058479"/>
    <n v="1.46"/>
    <n v="27059163"/>
    <n v="18594799"/>
  </r>
  <r>
    <x v="48"/>
    <n v="3"/>
    <n v="1939218"/>
    <n v="4528979"/>
    <n v="4312199"/>
    <n v="4447122"/>
    <n v="24240222"/>
    <n v="0.17799999999999999"/>
    <n v="0.183"/>
    <n v="0.187"/>
    <n v="0.01"/>
    <n v="7.8E-2"/>
    <n v="8.7999999999999995E-2"/>
    <n v="0.106"/>
    <n v="0.13"/>
    <n v="7.1999999999999995E-2"/>
    <n v="61408162"/>
    <n v="1.65"/>
    <n v="8906360"/>
    <n v="5397757"/>
    <n v="1.67"/>
    <n v="9213218"/>
    <n v="5518551"/>
    <n v="1.55"/>
    <n v="8310241"/>
    <n v="5364253"/>
    <n v="1.4"/>
    <n v="7699771"/>
    <n v="5501150"/>
    <n v="1.23"/>
    <n v="37212445"/>
    <n v="30238486"/>
  </r>
  <r>
    <x v="49"/>
    <n v="5"/>
    <n v="18218"/>
    <n v="140188"/>
    <n v="140162"/>
    <n v="140162"/>
    <n v="227720"/>
    <n v="0.61499999999999999"/>
    <n v="0.61499999999999999"/>
    <n v="0.61599999999999999"/>
    <n v="0"/>
    <n v="7.0000000000000007E-2"/>
    <n v="7.0000000000000007E-2"/>
    <n v="8.5000000000000006E-2"/>
    <n v="0.105"/>
    <n v="0.17399999999999999"/>
    <n v="803431"/>
    <n v="1.64"/>
    <n v="158580"/>
    <n v="96647"/>
    <n v="2.66"/>
    <n v="250449"/>
    <n v="94322"/>
    <n v="2.09"/>
    <n v="162736"/>
    <n v="77694"/>
    <n v="1.76"/>
    <n v="140879"/>
    <n v="80242"/>
    <n v="1.43"/>
    <n v="466967"/>
    <n v="326778"/>
  </r>
  <r>
    <x v="50"/>
    <n v="5"/>
    <n v="14224"/>
    <n v="40364"/>
    <n v="40364"/>
    <n v="40364"/>
    <n v="177797"/>
    <n v="0.22700000000000001"/>
    <n v="0.22700000000000001"/>
    <n v="0.22700000000000001"/>
    <n v="0"/>
    <n v="7.0000000000000007E-2"/>
    <n v="7.0000000000000007E-2"/>
    <n v="8.5000000000000006E-2"/>
    <n v="0.105"/>
    <n v="6.7000000000000004E-2"/>
    <n v="599650"/>
    <n v="1.95"/>
    <n v="113237"/>
    <n v="58169"/>
    <n v="1.83"/>
    <n v="108731"/>
    <n v="59497"/>
    <n v="2.17"/>
    <n v="104674"/>
    <n v="48279"/>
    <n v="2.0099999999999998"/>
    <n v="84463"/>
    <n v="42041"/>
    <n v="2.2200000000000002"/>
    <n v="377225"/>
    <n v="169693"/>
  </r>
  <r>
    <x v="51"/>
    <n v="3"/>
    <n v="1278027"/>
    <n v="3127005"/>
    <n v="2767304"/>
    <n v="2767304"/>
    <n v="15975333"/>
    <n v="0.17299999999999999"/>
    <n v="0.17299999999999999"/>
    <n v="0.19600000000000001"/>
    <n v="1.4E-2"/>
    <n v="7.8E-2"/>
    <n v="9.1999999999999998E-2"/>
    <n v="0.11"/>
    <n v="0.13400000000000001"/>
    <n v="6.7000000000000004E-2"/>
    <n v="41339705"/>
    <n v="2.04"/>
    <n v="9005419"/>
    <n v="4407216"/>
    <n v="2.0499999999999998"/>
    <n v="8912655"/>
    <n v="4357620"/>
    <n v="2.0099999999999998"/>
    <n v="8667628"/>
    <n v="4316655"/>
    <n v="1.95"/>
    <n v="7949233"/>
    <n v="4080496"/>
    <n v="1.55"/>
    <n v="34005912"/>
    <n v="21916273"/>
  </r>
  <r>
    <x v="52"/>
    <n v="4"/>
    <n v="61532"/>
    <n v="141181"/>
    <n v="138696"/>
    <n v="138696"/>
    <n v="769148"/>
    <n v="0.18"/>
    <n v="0.18"/>
    <n v="0.184"/>
    <n v="1.6E-2"/>
    <n v="7.3999999999999996E-2"/>
    <n v="0.09"/>
    <n v="0.106"/>
    <n v="0.128"/>
    <n v="0.08"/>
    <n v="1734054"/>
    <n v="2.0299999999999998"/>
    <n v="150580"/>
    <n v="74100"/>
    <n v="2.2599999999999998"/>
    <n v="142439"/>
    <n v="63079"/>
    <n v="2.17"/>
    <n v="139475"/>
    <n v="64347"/>
    <n v="2.4500000000000002"/>
    <n v="133193"/>
    <n v="54436"/>
    <n v="1.28"/>
    <n v="1452432"/>
    <n v="1138987"/>
  </r>
  <r>
    <x v="53"/>
    <n v="5"/>
    <n v="1225"/>
    <n v="43479"/>
    <n v="43479"/>
    <n v="43479"/>
    <n v="15316"/>
    <n v="2.839"/>
    <n v="2.839"/>
    <n v="2.839"/>
    <n v="0"/>
    <n v="7.0000000000000007E-2"/>
    <n v="7.0000000000000007E-2"/>
    <n v="8.5000000000000006E-2"/>
    <n v="0.105"/>
    <n v="0.95499999999999996"/>
    <n v="45540"/>
    <s v="2)"/>
    <s v="2)"/>
    <s v="2)"/>
    <s v="2)"/>
    <s v="2)"/>
    <s v="2)"/>
    <s v="2)"/>
    <s v="2)"/>
    <s v="2)"/>
    <s v="2)"/>
    <s v="2)"/>
    <s v="2)"/>
    <n v="2.34"/>
    <n v="60000"/>
    <n v="25597"/>
  </r>
  <r>
    <x v="54"/>
    <n v="4"/>
    <n v="330785"/>
    <n v="1092684"/>
    <n v="1092684"/>
    <n v="1092684"/>
    <n v="4134814"/>
    <n v="0.26400000000000001"/>
    <n v="0.26400000000000001"/>
    <n v="0.26400000000000001"/>
    <n v="1E-3"/>
    <n v="7.3999999999999996E-2"/>
    <n v="7.4999999999999997E-2"/>
    <n v="9.0999999999999998E-2"/>
    <n v="0.113"/>
    <n v="6.6000000000000003E-2"/>
    <n v="16473256"/>
    <n v="1.31"/>
    <n v="6807832"/>
    <n v="5200284"/>
    <n v="1.21"/>
    <n v="7263939"/>
    <n v="6009877"/>
    <n v="1.39"/>
    <n v="6799479"/>
    <n v="4881481"/>
    <n v="1.7"/>
    <n v="5918382"/>
    <n v="3486032"/>
    <n v="1.1100000000000001"/>
    <n v="6223322"/>
    <n v="5611419"/>
  </r>
  <r>
    <x v="55"/>
    <n v="5"/>
    <n v="6603"/>
    <n v="32396"/>
    <n v="32396"/>
    <n v="32396"/>
    <n v="82532"/>
    <n v="0.39300000000000002"/>
    <n v="0.39300000000000002"/>
    <n v="0.39300000000000002"/>
    <n v="0"/>
    <n v="7.0000000000000007E-2"/>
    <n v="7.0000000000000007E-2"/>
    <n v="8.5000000000000006E-2"/>
    <n v="0.105"/>
    <n v="7.6999999999999999E-2"/>
    <n v="420276"/>
    <n v="3.52"/>
    <n v="177108"/>
    <n v="50315"/>
    <n v="5.65"/>
    <n v="220937"/>
    <n v="39079"/>
    <n v="6.71"/>
    <n v="252307"/>
    <n v="37620"/>
    <n v="8.41"/>
    <n v="248364"/>
    <n v="29547"/>
    <n v="6.25"/>
    <n v="248601"/>
    <n v="39779"/>
  </r>
  <r>
    <x v="56"/>
    <n v="3"/>
    <n v="621932"/>
    <n v="1869912"/>
    <n v="1538962"/>
    <n v="1538962"/>
    <n v="7774146"/>
    <n v="0.19800000000000001"/>
    <n v="0.19800000000000001"/>
    <n v="0.24099999999999999"/>
    <n v="0"/>
    <n v="7.8E-2"/>
    <n v="7.8E-2"/>
    <n v="9.6000000000000002E-2"/>
    <n v="0.12"/>
    <n v="7.5999999999999998E-2"/>
    <n v="20254458"/>
    <n v="1.9"/>
    <n v="6124300"/>
    <n v="3223730"/>
    <n v="1.79"/>
    <n v="6281152"/>
    <n v="3506607"/>
    <n v="1.63"/>
    <n v="6218870"/>
    <n v="3824168"/>
    <n v="2.4900000000000002"/>
    <n v="5595741"/>
    <n v="2248390"/>
    <n v="1.1100000000000001"/>
    <n v="7503125"/>
    <n v="6776839"/>
  </r>
  <r>
    <x v="57"/>
    <n v="5"/>
    <n v="3485"/>
    <n v="9562"/>
    <n v="8192"/>
    <n v="8192"/>
    <n v="43561"/>
    <n v="0.188"/>
    <n v="0.188"/>
    <n v="0.219"/>
    <n v="2.5000000000000001E-2"/>
    <n v="7.0000000000000007E-2"/>
    <n v="9.5000000000000001E-2"/>
    <n v="0.11"/>
    <n v="0.13"/>
    <n v="6.7000000000000004E-2"/>
    <n v="121385"/>
    <n v="2.73"/>
    <n v="26319"/>
    <n v="9624"/>
    <n v="2.5499999999999998"/>
    <n v="24254"/>
    <n v="9506"/>
    <n v="2.58"/>
    <n v="25188"/>
    <n v="9763"/>
    <n v="2.57"/>
    <n v="25222"/>
    <n v="9817"/>
    <n v="1.9"/>
    <n v="112656"/>
    <n v="59356"/>
  </r>
  <r>
    <x v="58"/>
    <n v="5"/>
    <n v="22746"/>
    <n v="56269"/>
    <n v="50769"/>
    <n v="50769"/>
    <n v="284326"/>
    <n v="0.17899999999999999"/>
    <n v="0.17899999999999999"/>
    <n v="0.19800000000000001"/>
    <n v="1.6E-2"/>
    <n v="6.9999999999999993E-2"/>
    <n v="8.5999999999999993E-2"/>
    <n v="0.10100000000000001"/>
    <n v="0.121"/>
    <n v="8.3000000000000004E-2"/>
    <n v="613886"/>
    <n v="11.58"/>
    <n v="97296"/>
    <n v="8405"/>
    <n v="10.73"/>
    <n v="92552"/>
    <n v="8622"/>
    <n v="6.07"/>
    <n v="77397"/>
    <n v="12750"/>
    <n v="4.6500000000000004"/>
    <n v="47009"/>
    <n v="10109"/>
    <n v="1.51"/>
    <n v="557896"/>
    <n v="370355"/>
  </r>
  <r>
    <x v="59"/>
    <n v="4"/>
    <n v="65161"/>
    <n v="350575"/>
    <n v="350575"/>
    <n v="350575"/>
    <n v="814516"/>
    <n v="0.43"/>
    <n v="0.43"/>
    <n v="0.43"/>
    <n v="1E-3"/>
    <n v="7.3999999999999996E-2"/>
    <n v="7.4999999999999997E-2"/>
    <n v="9.0999999999999998E-2"/>
    <n v="0.113"/>
    <n v="7.4999999999999997E-2"/>
    <n v="4682669"/>
    <n v="4.74"/>
    <n v="1331719"/>
    <n v="280711"/>
    <n v="4.45"/>
    <n v="1443501"/>
    <n v="324329"/>
    <n v="7.34"/>
    <n v="1876029"/>
    <n v="255417"/>
    <n v="7.88"/>
    <n v="2390860"/>
    <n v="303446"/>
    <n v="3.71"/>
    <n v="3264565"/>
    <n v="880782"/>
  </r>
  <r>
    <x v="60"/>
    <n v="4"/>
    <n v="487206"/>
    <n v="1049346"/>
    <n v="896011"/>
    <n v="1046011"/>
    <n v="6090070"/>
    <n v="0.14699999999999999"/>
    <n v="0.17199999999999999"/>
    <n v="0.17199999999999999"/>
    <n v="0"/>
    <n v="7.3999999999999996E-2"/>
    <n v="7.3999999999999996E-2"/>
    <n v="0.09"/>
    <n v="0.112"/>
    <n v="0.126"/>
    <n v="8331291"/>
    <n v="3.88"/>
    <n v="687327"/>
    <n v="177077"/>
    <n v="2.17"/>
    <n v="653130"/>
    <n v="301601"/>
    <n v="5.18"/>
    <n v="736508"/>
    <n v="142266"/>
    <n v="3.48"/>
    <n v="808894"/>
    <n v="232532"/>
    <n v="1.1299999999999999"/>
    <n v="6265971"/>
    <n v="5537270"/>
  </r>
  <r>
    <x v="61"/>
    <n v="5"/>
    <n v="35671"/>
    <n v="107412"/>
    <n v="106371"/>
    <n v="106371"/>
    <n v="445893"/>
    <n v="0.23899999999999999"/>
    <n v="0.23899999999999999"/>
    <n v="0.24099999999999999"/>
    <n v="0"/>
    <n v="7.0000000000000007E-2"/>
    <n v="7.0000000000000007E-2"/>
    <n v="8.5000000000000006E-2"/>
    <n v="0.105"/>
    <n v="0.06"/>
    <n v="1765694"/>
    <n v="3.86"/>
    <n v="1571080"/>
    <n v="406648"/>
    <n v="4.16"/>
    <n v="1352883"/>
    <n v="325476"/>
    <n v="4"/>
    <n v="1287925"/>
    <n v="321829"/>
    <n v="4.5599999999999996"/>
    <n v="1150200"/>
    <n v="252140"/>
    <n v="3.16"/>
    <n v="1146691"/>
    <n v="363354"/>
  </r>
  <r>
    <x v="62"/>
    <n v="5"/>
    <n v="10899"/>
    <n v="24237"/>
    <n v="24237"/>
    <n v="24237"/>
    <n v="136244"/>
    <n v="0.17799999999999999"/>
    <n v="0.17799999999999999"/>
    <n v="0.17799999999999999"/>
    <n v="0"/>
    <n v="7.0000000000000007E-2"/>
    <n v="7.0000000000000007E-2"/>
    <n v="8.5000000000000006E-2"/>
    <n v="0.105"/>
    <n v="7.8E-2"/>
    <n v="311862"/>
    <n v="3.1"/>
    <n v="229109"/>
    <n v="74014"/>
    <n v="2.82"/>
    <n v="175241"/>
    <n v="62195"/>
    <n v="2.58"/>
    <n v="127141"/>
    <n v="49187"/>
    <n v="3.09"/>
    <n v="98747"/>
    <n v="31932"/>
    <n v="2.46"/>
    <n v="203696"/>
    <n v="82875"/>
  </r>
  <r>
    <x v="63"/>
    <n v="4"/>
    <n v="511740"/>
    <n v="1316020"/>
    <n v="1302961"/>
    <n v="1302961"/>
    <n v="6396755"/>
    <n v="0.20399999999999999"/>
    <n v="0.20399999999999999"/>
    <n v="0.20599999999999999"/>
    <n v="1.4E-2"/>
    <n v="7.3999999999999996E-2"/>
    <n v="8.7999999999999995E-2"/>
    <n v="0.104"/>
    <n v="0.126"/>
    <n v="9.0999999999999998E-2"/>
    <n v="14392693"/>
    <n v="1.45"/>
    <n v="1475161"/>
    <n v="1018677"/>
    <n v="1.69"/>
    <n v="1448179"/>
    <n v="857350"/>
    <n v="1.57"/>
    <n v="1560513"/>
    <n v="996322"/>
    <n v="1.58"/>
    <n v="1454749"/>
    <n v="922207"/>
    <n v="1.28"/>
    <n v="12383195"/>
    <n v="9680134"/>
  </r>
  <r>
    <x v="64"/>
    <n v="4"/>
    <n v="368544"/>
    <n v="1135593"/>
    <n v="1135593"/>
    <n v="1135593"/>
    <n v="4606795"/>
    <n v="0.247"/>
    <n v="0.247"/>
    <n v="0.247"/>
    <n v="3.0000000000000001E-3"/>
    <n v="7.3999999999999996E-2"/>
    <n v="7.6999999999999999E-2"/>
    <n v="9.2999999999999999E-2"/>
    <n v="0.115"/>
    <n v="0.14000000000000001"/>
    <n v="8138851"/>
    <n v="1.86"/>
    <n v="1811948"/>
    <n v="971972"/>
    <n v="1.79"/>
    <n v="1551413"/>
    <n v="869115"/>
    <n v="1.96"/>
    <n v="1592573"/>
    <n v="814310"/>
    <n v="2.25"/>
    <n v="1566967"/>
    <n v="697281"/>
    <n v="1.53"/>
    <n v="5004595"/>
    <n v="3272642"/>
  </r>
  <r>
    <x v="65"/>
    <n v="4"/>
    <n v="191961"/>
    <n v="440809"/>
    <n v="440809"/>
    <n v="440809"/>
    <n v="2399511"/>
    <n v="0.184"/>
    <n v="0.184"/>
    <n v="0.184"/>
    <n v="1.6E-2"/>
    <n v="7.3999999999999996E-2"/>
    <n v="0.09"/>
    <n v="0.106"/>
    <n v="0.128"/>
    <n v="6.8000000000000005E-2"/>
    <n v="6511876"/>
    <n v="1.59"/>
    <n v="472153"/>
    <n v="296288"/>
    <n v="1.48"/>
    <n v="409050"/>
    <n v="275665"/>
    <n v="1.58"/>
    <n v="386018"/>
    <n v="243830"/>
    <n v="1.61"/>
    <n v="485460"/>
    <n v="301022"/>
    <n v="1.1200000000000001"/>
    <n v="4962336"/>
    <n v="4448640"/>
  </r>
  <r>
    <x v="66"/>
    <n v="5"/>
    <n v="38322"/>
    <n v="134544"/>
    <n v="134544"/>
    <n v="134544"/>
    <n v="479030"/>
    <n v="0.28100000000000003"/>
    <n v="0.28100000000000003"/>
    <n v="0.28100000000000003"/>
    <n v="0"/>
    <n v="7.0000000000000007E-2"/>
    <n v="7.0000000000000007E-2"/>
    <n v="8.5000000000000006E-2"/>
    <n v="0.105"/>
    <n v="0.2"/>
    <n v="672690"/>
    <n v="2.79"/>
    <n v="93192"/>
    <n v="33407"/>
    <n v="2.75"/>
    <n v="130487"/>
    <n v="47451"/>
    <n v="2.14"/>
    <n v="78462"/>
    <n v="36676"/>
    <n v="2.78"/>
    <n v="121994"/>
    <n v="43941"/>
    <n v="1.48"/>
    <n v="297207"/>
    <n v="201078"/>
  </r>
  <r>
    <x v="67"/>
    <n v="5"/>
    <n v="10569"/>
    <n v="44046"/>
    <n v="44046"/>
    <n v="44046"/>
    <n v="132112"/>
    <n v="0.33300000000000002"/>
    <n v="0.33300000000000002"/>
    <n v="0.33300000000000002"/>
    <n v="0"/>
    <n v="7.0000000000000007E-2"/>
    <n v="7.0000000000000007E-2"/>
    <n v="8.5000000000000006E-2"/>
    <n v="0.105"/>
    <n v="0.76600000000000001"/>
    <n v="57469"/>
    <s v="2)"/>
    <s v="2)"/>
    <s v="2)"/>
    <s v="2)"/>
    <s v="2)"/>
    <s v="2)"/>
    <s v="2)"/>
    <s v="2)"/>
    <s v="2)"/>
    <s v="2)"/>
    <s v="2)"/>
    <s v="2)"/>
    <n v="1.4"/>
    <n v="51747"/>
    <n v="37047"/>
  </r>
  <r>
    <x v="68"/>
    <n v="5"/>
    <n v="992"/>
    <n v="6929"/>
    <n v="6929"/>
    <n v="6929"/>
    <n v="12394"/>
    <n v="0.55900000000000005"/>
    <n v="0.55900000000000005"/>
    <n v="0.55900000000000005"/>
    <n v="0"/>
    <n v="7.0000000000000007E-2"/>
    <n v="7.0000000000000007E-2"/>
    <n v="8.5000000000000006E-2"/>
    <n v="0.105"/>
    <n v="0.255"/>
    <n v="27192"/>
    <n v="8.3000000000000007"/>
    <n v="6390"/>
    <n v="770"/>
    <n v="10.42"/>
    <n v="8208"/>
    <n v="788"/>
    <n v="12.5"/>
    <n v="11423"/>
    <n v="914"/>
    <n v="16.75"/>
    <n v="17548"/>
    <n v="1048"/>
    <n v="11.85"/>
    <n v="20815"/>
    <n v="1757"/>
  </r>
  <r>
    <x v="69"/>
    <n v="4"/>
    <n v="221217"/>
    <n v="636506"/>
    <n v="584204"/>
    <n v="584204"/>
    <n v="2765210"/>
    <n v="0.21099999999999999"/>
    <n v="0.21099999999999999"/>
    <n v="0.23"/>
    <n v="0"/>
    <n v="7.3999999999999996E-2"/>
    <n v="7.3999999999999996E-2"/>
    <n v="0.09"/>
    <n v="0.112"/>
    <n v="7.8E-2"/>
    <n v="7473274"/>
    <n v="2"/>
    <n v="1042579"/>
    <n v="520140"/>
    <n v="1.98"/>
    <n v="983131"/>
    <n v="496267"/>
    <n v="2.2200000000000002"/>
    <n v="1011240"/>
    <n v="455911"/>
    <n v="2.29"/>
    <n v="1085393"/>
    <n v="473064"/>
    <n v="1.1000000000000001"/>
    <n v="3414096"/>
    <n v="3114497"/>
  </r>
  <r>
    <x v="70"/>
    <n v="4"/>
    <n v="164615"/>
    <n v="571429"/>
    <n v="571429"/>
    <n v="571429"/>
    <n v="2057692"/>
    <n v="0.27800000000000002"/>
    <n v="0.27800000000000002"/>
    <n v="0.27800000000000002"/>
    <n v="2E-3"/>
    <n v="7.3999999999999996E-2"/>
    <n v="7.5999999999999998E-2"/>
    <n v="9.1999999999999998E-2"/>
    <n v="0.114"/>
    <n v="0.27400000000000002"/>
    <n v="2082900"/>
    <n v="3.22"/>
    <n v="471560"/>
    <n v="146647"/>
    <n v="3.41"/>
    <n v="484045"/>
    <n v="141742"/>
    <n v="1.95"/>
    <n v="337131"/>
    <n v="172655"/>
    <n v="2.85"/>
    <n v="419686"/>
    <n v="147075"/>
    <n v="1.19"/>
    <n v="1269803"/>
    <n v="1066727"/>
  </r>
  <r>
    <x v="71"/>
    <n v="5"/>
    <n v="12241"/>
    <n v="56393"/>
    <n v="56393"/>
    <n v="56393"/>
    <n v="153018"/>
    <n v="0.36899999999999999"/>
    <n v="0.36899999999999999"/>
    <n v="0.36899999999999999"/>
    <n v="0"/>
    <n v="7.0000000000000007E-2"/>
    <n v="7.0000000000000007E-2"/>
    <n v="8.5000000000000006E-2"/>
    <n v="0.105"/>
    <n v="0.26800000000000002"/>
    <n v="210589"/>
    <n v="17.73"/>
    <n v="88113"/>
    <n v="4969"/>
    <n v="18.760000000000002"/>
    <n v="90267"/>
    <n v="4811"/>
    <n v="19.399999999999999"/>
    <n v="91102"/>
    <n v="4697"/>
    <n v="17.61"/>
    <n v="95774"/>
    <n v="5438"/>
    <n v="7.35"/>
    <n v="176497"/>
    <n v="24012"/>
  </r>
  <r>
    <x v="72"/>
    <n v="5"/>
    <n v="21406"/>
    <n v="182270"/>
    <n v="182270"/>
    <n v="182270"/>
    <n v="267575"/>
    <n v="0.68100000000000005"/>
    <n v="0.68100000000000005"/>
    <n v="0.68100000000000005"/>
    <n v="0"/>
    <n v="7.0000000000000007E-2"/>
    <n v="7.0000000000000007E-2"/>
    <n v="8.5000000000000006E-2"/>
    <n v="0.105"/>
    <n v="0.224"/>
    <n v="815035"/>
    <n v="2.2000000000000002"/>
    <n v="415449"/>
    <n v="188743"/>
    <n v="2.37"/>
    <n v="418460"/>
    <n v="176487"/>
    <n v="2.89"/>
    <n v="389396"/>
    <n v="134620"/>
    <n v="2.41"/>
    <n v="370461"/>
    <n v="153507"/>
    <n v="2.34"/>
    <n v="588773"/>
    <n v="251826"/>
  </r>
  <r>
    <x v="73"/>
    <n v="3"/>
    <n v="435493"/>
    <n v="1154764"/>
    <n v="1135318"/>
    <n v="1135318"/>
    <n v="5443657"/>
    <n v="0.20899999999999999"/>
    <n v="0.21199999999999999"/>
    <n v="0.21199999999999999"/>
    <n v="0"/>
    <n v="7.8E-2"/>
    <n v="7.8E-2"/>
    <n v="9.6000000000000002E-2"/>
    <n v="0.12"/>
    <n v="6.6000000000000003E-2"/>
    <n v="17132185"/>
    <n v="1.79"/>
    <n v="8126218"/>
    <n v="4545446"/>
    <n v="2.04"/>
    <n v="7649019"/>
    <n v="3755290"/>
    <n v="2.15"/>
    <n v="7347762"/>
    <n v="3423120"/>
    <n v="2.2599999999999998"/>
    <n v="7072169"/>
    <n v="3132419"/>
    <n v="1.95"/>
    <n v="10026027"/>
    <n v="5144733"/>
  </r>
  <r>
    <x v="74"/>
    <n v="3"/>
    <n v="463380"/>
    <n v="1095783"/>
    <n v="1026337"/>
    <n v="1076337"/>
    <n v="5792254"/>
    <n v="0.17699999999999999"/>
    <n v="0.186"/>
    <n v="0.189"/>
    <n v="0"/>
    <n v="7.8E-2"/>
    <n v="7.8E-2"/>
    <n v="9.6000000000000002E-2"/>
    <n v="0.12"/>
    <n v="6.3E-2"/>
    <n v="17101815"/>
    <n v="1.81"/>
    <n v="8126218"/>
    <n v="4486050"/>
    <n v="2.0499999999999998"/>
    <n v="7649021"/>
    <n v="3740262"/>
    <n v="2.16"/>
    <n v="7348153"/>
    <n v="3407439"/>
    <n v="2.25"/>
    <n v="7072171"/>
    <n v="3145542"/>
    <n v="1.94"/>
    <n v="9945191"/>
    <n v="5119509"/>
  </r>
  <r>
    <x v="75"/>
    <n v="3"/>
    <n v="471464"/>
    <n v="1161161"/>
    <n v="891888"/>
    <n v="1161161"/>
    <n v="5893304"/>
    <n v="0.151"/>
    <n v="0.19700000000000001"/>
    <n v="0.19700000000000001"/>
    <n v="1E-3"/>
    <n v="7.8E-2"/>
    <n v="7.9000000000000001E-2"/>
    <n v="9.7000000000000003E-2"/>
    <n v="0.121"/>
    <n v="4.3999999999999997E-2"/>
    <n v="26100249"/>
    <n v="1.43"/>
    <n v="7485190"/>
    <n v="5235092"/>
    <n v="1.51"/>
    <n v="7473700"/>
    <n v="4934964"/>
    <n v="1.39"/>
    <n v="5835447"/>
    <n v="4207220"/>
    <n v="1.55"/>
    <n v="5270849"/>
    <n v="3396369"/>
    <n v="1.49"/>
    <n v="13767382"/>
    <n v="9212885"/>
  </r>
  <r>
    <x v="76"/>
    <n v="3"/>
    <n v="678339"/>
    <n v="1651498"/>
    <n v="1339852"/>
    <n v="1522880"/>
    <n v="8479232"/>
    <n v="0.158"/>
    <n v="0.18"/>
    <n v="0.19500000000000001"/>
    <n v="1E-3"/>
    <n v="7.8E-2"/>
    <n v="7.9000000000000001E-2"/>
    <n v="9.7000000000000003E-2"/>
    <n v="0.121"/>
    <n v="3.9E-2"/>
    <n v="38807508"/>
    <n v="2.08"/>
    <n v="14803586"/>
    <n v="7126696"/>
    <n v="2.06"/>
    <n v="14498897"/>
    <n v="7027132"/>
    <n v="1.99"/>
    <n v="12633014"/>
    <n v="6348603"/>
    <n v="2.2599999999999998"/>
    <n v="12785193"/>
    <n v="5654491"/>
    <n v="1.92"/>
    <n v="24050815"/>
    <n v="12539713"/>
  </r>
  <r>
    <x v="77"/>
    <n v="3"/>
    <n v="689337"/>
    <n v="1798399"/>
    <n v="1447375"/>
    <n v="1798399"/>
    <n v="8616710"/>
    <n v="0.16800000000000001"/>
    <n v="0.20899999999999999"/>
    <n v="0.20899999999999999"/>
    <n v="1E-3"/>
    <n v="7.8E-2"/>
    <n v="7.9000000000000001E-2"/>
    <n v="9.7000000000000003E-2"/>
    <n v="0.121"/>
    <n v="4.5999999999999999E-2"/>
    <n v="38846094"/>
    <n v="2.0499999999999998"/>
    <n v="14643124"/>
    <n v="7126551"/>
    <n v="2.04"/>
    <n v="14346639"/>
    <n v="7046052"/>
    <n v="1.94"/>
    <n v="12528153"/>
    <n v="6450703"/>
    <n v="2.19"/>
    <n v="12679064"/>
    <n v="5800694"/>
    <n v="1.87"/>
    <n v="24031677"/>
    <n v="12866733"/>
  </r>
  <r>
    <x v="78"/>
    <n v="5"/>
    <n v="42729"/>
    <n v="250283"/>
    <n v="223553"/>
    <n v="223553"/>
    <n v="534113"/>
    <n v="0.41899999999999998"/>
    <n v="0.41899999999999998"/>
    <n v="0.46899999999999997"/>
    <n v="0"/>
    <n v="7.0000000000000007E-2"/>
    <n v="7.0000000000000007E-2"/>
    <n v="8.5000000000000006E-2"/>
    <n v="0.105"/>
    <n v="7.3999999999999996E-2"/>
    <n v="3034548"/>
    <n v="1.04"/>
    <n v="11831980"/>
    <n v="11365767"/>
    <n v="1.05"/>
    <n v="11325319"/>
    <n v="10809549"/>
    <n v="1.03"/>
    <n v="10925082"/>
    <n v="10578518"/>
    <n v="1.05"/>
    <n v="10408280"/>
    <n v="9915333"/>
    <n v="4.9000000000000004"/>
    <n v="926375"/>
    <n v="188896"/>
  </r>
  <r>
    <x v="79"/>
    <n v="5"/>
    <n v="17429"/>
    <n v="31696"/>
    <n v="30612"/>
    <n v="30612"/>
    <n v="217867"/>
    <n v="0.14099999999999999"/>
    <n v="0.14099999999999999"/>
    <n v="0.14499999999999999"/>
    <n v="1.0999999999999999E-2"/>
    <n v="7.0000000000000007E-2"/>
    <n v="8.1000000000000003E-2"/>
    <n v="9.6000000000000002E-2"/>
    <n v="0.11600000000000001"/>
    <n v="7.3999999999999996E-2"/>
    <n v="413101"/>
    <n v="1.27"/>
    <n v="19404"/>
    <n v="15273"/>
    <n v="1.41"/>
    <n v="20978"/>
    <n v="14926"/>
    <n v="1.39"/>
    <n v="19386"/>
    <n v="13985"/>
    <n v="1.3"/>
    <n v="20323"/>
    <n v="15638"/>
    <n v="1.0900000000000001"/>
    <n v="320871"/>
    <n v="293515"/>
  </r>
  <r>
    <x v="80"/>
    <n v="5"/>
    <n v="46496"/>
    <n v="107664"/>
    <n v="107664"/>
    <n v="107664"/>
    <n v="581198"/>
    <n v="0.185"/>
    <n v="0.185"/>
    <n v="0.185"/>
    <n v="0"/>
    <n v="7.0000000000000007E-2"/>
    <n v="7.0000000000000007E-2"/>
    <n v="8.5000000000000006E-2"/>
    <n v="0.105"/>
    <n v="0.13500000000000001"/>
    <n v="795526"/>
    <n v="2.62"/>
    <n v="253436"/>
    <n v="96884"/>
    <n v="3.68"/>
    <n v="259693"/>
    <n v="70656"/>
    <n v="2.65"/>
    <n v="189003"/>
    <n v="71353"/>
    <n v="2.42"/>
    <n v="155855"/>
    <n v="64322"/>
    <n v="1.37"/>
    <n v="409590"/>
    <n v="299317"/>
  </r>
  <r>
    <x v="81"/>
    <n v="5"/>
    <n v="686"/>
    <n v="1786"/>
    <n v="1786"/>
    <n v="1786"/>
    <n v="8569"/>
    <n v="0.20799999999999999"/>
    <n v="0.20799999999999999"/>
    <n v="0.20799999999999999"/>
    <n v="0"/>
    <n v="7.0000000000000007E-2"/>
    <n v="7.0000000000000007E-2"/>
    <n v="8.5000000000000006E-2"/>
    <n v="0.105"/>
    <n v="0.112"/>
    <n v="15892"/>
    <n v="18.41"/>
    <n v="12187"/>
    <n v="662"/>
    <n v="17.09"/>
    <n v="12232"/>
    <n v="716"/>
    <n v="16.52"/>
    <n v="12503"/>
    <n v="757"/>
    <n v="16.95"/>
    <n v="10956"/>
    <n v="647"/>
    <n v="2.4300000000000002"/>
    <n v="13144"/>
    <n v="5399"/>
  </r>
  <r>
    <x v="82"/>
    <n v="4"/>
    <n v="62240"/>
    <n v="178575"/>
    <n v="178575"/>
    <n v="178575"/>
    <n v="777996"/>
    <n v="0.23"/>
    <n v="0.23"/>
    <n v="0.23"/>
    <n v="1E-3"/>
    <n v="7.3999999999999996E-2"/>
    <n v="7.4999999999999997E-2"/>
    <n v="9.0999999999999998E-2"/>
    <n v="0.113"/>
    <n v="0.109"/>
    <n v="1637675"/>
    <n v="1.67"/>
    <n v="502235"/>
    <n v="301155"/>
    <n v="1.59"/>
    <n v="309236"/>
    <n v="194793"/>
    <n v="1.4"/>
    <n v="261151"/>
    <n v="185930"/>
    <n v="1.87"/>
    <n v="424866"/>
    <n v="226652"/>
    <n v="1.61"/>
    <n v="890151"/>
    <n v="551392"/>
  </r>
  <r>
    <x v="83"/>
    <n v="5"/>
    <s v="4)"/>
    <s v="4)"/>
    <s v="4)"/>
    <s v="4)"/>
    <s v="4)"/>
    <s v="4)"/>
    <s v="4)"/>
    <s v="4)"/>
    <s v="4)"/>
    <e v="#VALUE!"/>
    <s v="4)"/>
    <s v="4)"/>
    <s v="4)"/>
    <s v="4)"/>
    <s v="4)"/>
    <s v="4)"/>
    <s v="4)"/>
    <s v="4)"/>
    <s v="4)"/>
    <s v="4)"/>
    <s v="4)"/>
    <s v="4)"/>
    <s v="4)"/>
    <s v="4)"/>
    <s v="4)"/>
    <s v="4)"/>
    <s v="4)"/>
    <s v="4)"/>
    <s v="4)"/>
    <s v="4)"/>
  </r>
  <r>
    <x v="84"/>
    <n v="4"/>
    <n v="23475"/>
    <n v="113128"/>
    <n v="113128"/>
    <n v="113128"/>
    <n v="293438"/>
    <n v="0.38600000000000001"/>
    <n v="0.38600000000000001"/>
    <n v="0.38600000000000001"/>
    <n v="2E-3"/>
    <n v="7.3999999999999996E-2"/>
    <n v="7.5999999999999998E-2"/>
    <n v="9.1999999999999998E-2"/>
    <n v="0.114"/>
    <n v="0.129"/>
    <n v="877054"/>
    <n v="1.22"/>
    <n v="311891"/>
    <n v="255034"/>
    <n v="1.39"/>
    <n v="290501"/>
    <n v="209663"/>
    <n v="1.37"/>
    <n v="271141"/>
    <n v="196685"/>
    <n v="1.88"/>
    <n v="322188"/>
    <n v="171059"/>
    <n v="1.23"/>
    <n v="410468"/>
    <n v="332817"/>
  </r>
  <r>
    <x v="85"/>
    <n v="5"/>
    <n v="17050"/>
    <n v="26988"/>
    <n v="25065"/>
    <n v="25815"/>
    <n v="213124"/>
    <n v="0.11799999999999999"/>
    <n v="0.121"/>
    <n v="0.127"/>
    <n v="0.01"/>
    <n v="7.0000000000000007E-2"/>
    <n v="0.08"/>
    <n v="9.5000000000000001E-2"/>
    <n v="0.115"/>
    <n v="6.6000000000000003E-2"/>
    <n v="393841"/>
    <n v="2.56"/>
    <n v="69320"/>
    <n v="27035"/>
    <n v="2.41"/>
    <n v="64660"/>
    <n v="26842"/>
    <n v="2.0299999999999998"/>
    <n v="52854"/>
    <n v="26002"/>
    <n v="1.73"/>
    <n v="44114"/>
    <n v="25495"/>
    <n v="1.37"/>
    <n v="357875"/>
    <n v="261957"/>
  </r>
  <r>
    <x v="86"/>
    <n v="4"/>
    <n v="289640"/>
    <n v="671088"/>
    <n v="412396"/>
    <n v="512396"/>
    <n v="3620506"/>
    <n v="0.114"/>
    <n v="0.14199999999999999"/>
    <n v="0.185"/>
    <n v="1.2999999999999999E-2"/>
    <n v="7.3999999999999996E-2"/>
    <n v="8.6999999999999994E-2"/>
    <n v="0.10299999999999999"/>
    <n v="0.125"/>
    <n v="5.7000000000000002E-2"/>
    <n v="8955645"/>
    <n v="1.89"/>
    <n v="2094350"/>
    <n v="1109301"/>
    <n v="1.73"/>
    <n v="1771716"/>
    <n v="1026121"/>
    <n v="2.21"/>
    <n v="2072971"/>
    <n v="938370"/>
    <n v="1.79"/>
    <n v="1953973"/>
    <n v="1090379"/>
    <n v="1.46"/>
    <n v="6309317"/>
    <n v="4321979"/>
  </r>
  <r>
    <x v="87"/>
    <n v="5"/>
    <n v="12569"/>
    <n v="42838"/>
    <n v="29259"/>
    <n v="36259"/>
    <n v="157108"/>
    <n v="0.186"/>
    <n v="0.23100000000000001"/>
    <n v="0.27300000000000002"/>
    <n v="1E-3"/>
    <n v="6.9999999999999993E-2"/>
    <n v="7.0999999999999994E-2"/>
    <n v="8.5999999999999993E-2"/>
    <n v="0.106"/>
    <n v="5.2999999999999999E-2"/>
    <n v="689828"/>
    <n v="3.37"/>
    <n v="444639"/>
    <n v="132087"/>
    <n v="3.45"/>
    <n v="516351"/>
    <n v="149693"/>
    <n v="3.06"/>
    <n v="453524"/>
    <n v="148117"/>
    <n v="3.8"/>
    <n v="377385"/>
    <n v="99389"/>
    <n v="3.81"/>
    <n v="470785"/>
    <n v="123519"/>
  </r>
  <r>
    <x v="88"/>
    <n v="3"/>
    <n v="1168768"/>
    <n v="2728715"/>
    <n v="2728715"/>
    <n v="2728715"/>
    <n v="14609603"/>
    <n v="0.187"/>
    <n v="0.187"/>
    <n v="0.187"/>
    <n v="1.0999999999999999E-2"/>
    <n v="7.8E-2"/>
    <n v="8.8999999999999996E-2"/>
    <n v="0.107"/>
    <n v="0.13100000000000001"/>
    <n v="8.1000000000000003E-2"/>
    <n v="33633678"/>
    <n v="1.5"/>
    <n v="7795858"/>
    <n v="5182845"/>
    <n v="1.85"/>
    <n v="6438249"/>
    <n v="3487014"/>
    <n v="1.42"/>
    <n v="5486373"/>
    <n v="3863519"/>
    <n v="1.61"/>
    <n v="6155504"/>
    <n v="3813995"/>
    <n v="1.34"/>
    <n v="24675959"/>
    <n v="18379154"/>
  </r>
  <r>
    <x v="89"/>
    <n v="5"/>
    <n v="27869"/>
    <n v="64813"/>
    <n v="64813"/>
    <n v="64813"/>
    <n v="348362"/>
    <n v="0.186"/>
    <n v="0.186"/>
    <n v="0.186"/>
    <n v="1.6E-2"/>
    <n v="6.9999999999999993E-2"/>
    <n v="8.5999999999999993E-2"/>
    <n v="0.10100000000000001"/>
    <n v="0.121"/>
    <n v="8.1000000000000003E-2"/>
    <n v="801571"/>
    <n v="1.66"/>
    <n v="65946"/>
    <n v="39613"/>
    <n v="1.75"/>
    <n v="63976"/>
    <n v="36497"/>
    <n v="1.87"/>
    <n v="66360"/>
    <n v="35536"/>
    <n v="1.85"/>
    <n v="65432"/>
    <n v="35441"/>
    <n v="1.34"/>
    <n v="720463"/>
    <n v="536924"/>
  </r>
  <r>
    <x v="90"/>
    <n v="5"/>
    <n v="12576"/>
    <n v="18496"/>
    <n v="18496"/>
    <n v="18496"/>
    <n v="157205"/>
    <n v="0.11799999999999999"/>
    <n v="0.11799999999999999"/>
    <n v="0.11799999999999999"/>
    <n v="0"/>
    <n v="7.0000000000000007E-2"/>
    <n v="7.0000000000000007E-2"/>
    <n v="8.5000000000000006E-2"/>
    <n v="0.105"/>
    <n v="7.2999999999999995E-2"/>
    <n v="251885"/>
    <n v="1.47"/>
    <n v="19591"/>
    <n v="13325"/>
    <n v="1.78"/>
    <n v="21211"/>
    <n v="11901"/>
    <n v="1.83"/>
    <n v="21737"/>
    <n v="11858"/>
    <n v="1.71"/>
    <n v="21636"/>
    <n v="12676"/>
    <n v="2.15"/>
    <n v="219781"/>
    <n v="102217"/>
  </r>
  <r>
    <x v="91"/>
    <n v="4"/>
    <n v="84067"/>
    <n v="216259"/>
    <n v="216259"/>
    <n v="216259"/>
    <n v="1050835"/>
    <n v="0.20599999999999999"/>
    <n v="0.20599999999999999"/>
    <n v="0.20599999999999999"/>
    <n v="0"/>
    <n v="7.3999999999999996E-2"/>
    <n v="7.3999999999999996E-2"/>
    <n v="0.09"/>
    <n v="0.112"/>
    <n v="9.5000000000000001E-2"/>
    <n v="2280474"/>
    <n v="1.73"/>
    <n v="1533214"/>
    <n v="884303"/>
    <n v="1.49"/>
    <n v="1167775"/>
    <n v="784358"/>
    <n v="1.48"/>
    <n v="949676"/>
    <n v="641248"/>
    <n v="1.79"/>
    <n v="975637"/>
    <n v="545293"/>
    <n v="1.67"/>
    <n v="1143291"/>
    <n v="685399"/>
  </r>
  <r>
    <x v="92"/>
    <n v="3"/>
    <n v="973668"/>
    <n v="3526865"/>
    <n v="3496865"/>
    <n v="3526865"/>
    <n v="12170844"/>
    <n v="0.28699999999999998"/>
    <n v="0.28999999999999998"/>
    <n v="0.28999999999999998"/>
    <n v="0"/>
    <n v="7.8E-2"/>
    <n v="7.8E-2"/>
    <n v="9.6000000000000002E-2"/>
    <n v="0.12"/>
    <n v="7.6999999999999999E-2"/>
    <n v="45572117"/>
    <n v="1.82"/>
    <n v="23290972"/>
    <n v="12785195"/>
    <n v="1.78"/>
    <n v="22760609"/>
    <n v="12764584"/>
    <n v="1.82"/>
    <n v="21213036"/>
    <n v="11678084"/>
    <n v="1.95"/>
    <n v="21893706"/>
    <n v="11234735"/>
    <n v="2.0499999999999998"/>
    <n v="18783421"/>
    <n v="9163304"/>
  </r>
  <r>
    <x v="93"/>
    <n v="4"/>
    <n v="512530"/>
    <n v="1219102"/>
    <n v="1166996"/>
    <n v="1166996"/>
    <n v="6406628"/>
    <n v="0.182"/>
    <n v="0.182"/>
    <n v="0.19"/>
    <n v="0"/>
    <n v="7.3999999999999996E-2"/>
    <n v="7.3999999999999996E-2"/>
    <n v="0.09"/>
    <n v="0.112"/>
    <n v="9.6000000000000002E-2"/>
    <n v="12158528"/>
    <n v="1.37"/>
    <n v="2557626"/>
    <n v="1864306"/>
    <n v="1.22"/>
    <n v="2232676"/>
    <n v="1823677"/>
    <n v="1.1299999999999999"/>
    <n v="2063824"/>
    <n v="1825666"/>
    <n v="1.2"/>
    <n v="1986907"/>
    <n v="1648977"/>
    <n v="1.87"/>
    <n v="7941710"/>
    <n v="4257940"/>
  </r>
  <r>
    <x v="94"/>
    <n v="5"/>
    <n v="18743"/>
    <n v="62645"/>
    <n v="62645"/>
    <n v="62645"/>
    <n v="234284"/>
    <n v="0.26700000000000002"/>
    <n v="0.26700000000000002"/>
    <n v="0.26700000000000002"/>
    <n v="3.0000000000000001E-3"/>
    <n v="6.9999999999999993E-2"/>
    <n v="7.2999999999999995E-2"/>
    <n v="8.7999999999999995E-2"/>
    <n v="0.108"/>
    <n v="7.4999999999999997E-2"/>
    <n v="837606"/>
    <n v="2.61"/>
    <n v="111408"/>
    <n v="42624"/>
    <n v="3.13"/>
    <n v="140878"/>
    <n v="44981"/>
    <n v="3.53"/>
    <n v="131524"/>
    <n v="37279"/>
    <n v="3.76"/>
    <n v="131825"/>
    <n v="35064"/>
    <n v="1.92"/>
    <n v="400165"/>
    <n v="208009"/>
  </r>
  <r>
    <x v="95"/>
    <n v="5"/>
    <n v="11210"/>
    <n v="34667"/>
    <n v="16667"/>
    <n v="34667"/>
    <n v="140124"/>
    <n v="0.11899999999999999"/>
    <n v="0.247"/>
    <n v="0.247"/>
    <n v="0"/>
    <n v="7.0000000000000007E-2"/>
    <n v="7.0000000000000007E-2"/>
    <n v="8.5000000000000006E-2"/>
    <n v="0.105"/>
    <n v="0.151"/>
    <n v="229932"/>
    <n v="3.22"/>
    <n v="43517"/>
    <n v="13520"/>
    <n v="2.14"/>
    <n v="32486"/>
    <n v="15152"/>
    <n v="1.95"/>
    <n v="22683"/>
    <n v="11646"/>
    <n v="2.4900000000000002"/>
    <n v="27451"/>
    <n v="11037"/>
    <n v="1.35"/>
    <n v="143413"/>
    <n v="106055"/>
  </r>
  <r>
    <x v="96"/>
    <n v="3"/>
    <n v="394554"/>
    <n v="1134889"/>
    <n v="925177"/>
    <n v="925177"/>
    <n v="4931923"/>
    <n v="0.188"/>
    <n v="0.188"/>
    <n v="0.23"/>
    <n v="0"/>
    <n v="7.8E-2"/>
    <n v="7.8E-2"/>
    <n v="9.6000000000000002E-2"/>
    <n v="0.12"/>
    <n v="0.04"/>
    <n v="23289888"/>
    <n v="2.38"/>
    <n v="4279408"/>
    <n v="1795056"/>
    <n v="2.56"/>
    <n v="3939236"/>
    <n v="1539807"/>
    <n v="2.2000000000000002"/>
    <n v="6982496"/>
    <n v="3178662"/>
    <n v="1.91"/>
    <n v="6081126"/>
    <n v="3192142"/>
    <n v="1.42"/>
    <n v="10177361"/>
    <n v="7180470"/>
  </r>
  <r>
    <x v="97"/>
    <n v="5"/>
    <n v="16719"/>
    <n v="76897"/>
    <n v="76897"/>
    <n v="76897"/>
    <n v="208983"/>
    <n v="0.36799999999999999"/>
    <n v="0.36799999999999999"/>
    <n v="0.36799999999999999"/>
    <n v="0"/>
    <n v="7.0000000000000007E-2"/>
    <n v="7.0000000000000007E-2"/>
    <n v="8.5000000000000006E-2"/>
    <n v="0.105"/>
    <n v="0.105"/>
    <n v="733981"/>
    <n v="2.1"/>
    <n v="307909"/>
    <n v="146859"/>
    <n v="1.7"/>
    <n v="231275"/>
    <n v="135805"/>
    <n v="1.55"/>
    <n v="181130"/>
    <n v="117174"/>
    <n v="1.62"/>
    <n v="97597"/>
    <n v="60387"/>
    <n v="1.48"/>
    <n v="479836"/>
    <n v="324648"/>
  </r>
  <r>
    <x v="98"/>
    <n v="4"/>
    <n v="248136"/>
    <n v="567907"/>
    <n v="523338"/>
    <n v="523338"/>
    <n v="3101698"/>
    <n v="0.16900000000000001"/>
    <n v="0.16900000000000001"/>
    <n v="0.183"/>
    <n v="1.2E-2"/>
    <n v="7.3999999999999996E-2"/>
    <n v="8.5999999999999993E-2"/>
    <n v="0.10199999999999999"/>
    <n v="0.124"/>
    <n v="7.3999999999999996E-2"/>
    <n v="7074641"/>
    <n v="2.1800000000000002"/>
    <n v="1395967"/>
    <n v="641547"/>
    <n v="2.35"/>
    <n v="1339568"/>
    <n v="570891"/>
    <n v="2.36"/>
    <n v="1316367"/>
    <n v="557105"/>
    <n v="2.2000000000000002"/>
    <n v="1242602"/>
    <n v="564089"/>
    <n v="1.51"/>
    <n v="5955637"/>
    <n v="3955350"/>
  </r>
  <r>
    <x v="99"/>
    <n v="5"/>
    <n v="7771"/>
    <n v="29617"/>
    <n v="29617"/>
    <n v="29617"/>
    <n v="97140"/>
    <n v="0.30499999999999999"/>
    <n v="0.30499999999999999"/>
    <n v="0.30499999999999999"/>
    <n v="0"/>
    <n v="7.0000000000000007E-2"/>
    <n v="7.0000000000000007E-2"/>
    <n v="8.5000000000000006E-2"/>
    <n v="0.105"/>
    <n v="8.6999999999999994E-2"/>
    <n v="341037"/>
    <n v="1.41"/>
    <n v="219925"/>
    <n v="156423"/>
    <n v="1.23"/>
    <n v="260278"/>
    <n v="211037"/>
    <n v="1.26"/>
    <n v="211271"/>
    <n v="167929"/>
    <n v="1.3"/>
    <n v="199785"/>
    <n v="153937"/>
    <n v="2.23"/>
    <n v="61852"/>
    <n v="27780"/>
  </r>
  <r>
    <x v="100"/>
    <n v="5"/>
    <n v="4170"/>
    <n v="6707"/>
    <n v="6707"/>
    <n v="6707"/>
    <n v="52123"/>
    <n v="0.129"/>
    <n v="0.129"/>
    <n v="0.129"/>
    <n v="0"/>
    <n v="7.0000000000000007E-2"/>
    <n v="7.0000000000000007E-2"/>
    <n v="8.5000000000000006E-2"/>
    <n v="0.105"/>
    <n v="0.05"/>
    <n v="133825"/>
    <n v="1.08"/>
    <n v="119880"/>
    <n v="111318"/>
    <n v="1.1000000000000001"/>
    <n v="115393"/>
    <n v="105027"/>
    <n v="1.1200000000000001"/>
    <n v="111801"/>
    <n v="99689"/>
    <n v="1.1299999999999999"/>
    <n v="100881"/>
    <n v="89643"/>
    <n v="1.37"/>
    <n v="29811"/>
    <n v="21710"/>
  </r>
  <r>
    <x v="101"/>
    <n v="5"/>
    <n v="4237"/>
    <n v="6610"/>
    <n v="6610"/>
    <n v="6610"/>
    <n v="52731"/>
    <n v="0.125"/>
    <n v="0.125"/>
    <n v="0.125"/>
    <n v="0"/>
    <n v="7.0000000000000007E-2"/>
    <n v="7.0000000000000007E-2"/>
    <n v="8.5000000000000006E-2"/>
    <n v="0.105"/>
    <n v="4.9000000000000002E-2"/>
    <n v="133583"/>
    <n v="1.07"/>
    <n v="119880"/>
    <n v="112080"/>
    <n v="1.0900000000000001"/>
    <n v="115393"/>
    <n v="106274"/>
    <n v="1.1100000000000001"/>
    <n v="111801"/>
    <n v="100952"/>
    <n v="1.1100000000000001"/>
    <n v="100881"/>
    <n v="91234"/>
    <n v="1.35"/>
    <n v="26681"/>
    <n v="19802"/>
  </r>
  <r>
    <x v="102"/>
    <n v="3"/>
    <n v="976988"/>
    <n v="5811207"/>
    <n v="5743912"/>
    <n v="5743912"/>
    <n v="12212351"/>
    <n v="0.47"/>
    <n v="0.47"/>
    <n v="0.47599999999999998"/>
    <n v="0"/>
    <n v="7.8E-2"/>
    <n v="7.8E-2"/>
    <n v="9.6000000000000002E-2"/>
    <n v="0.12"/>
    <n v="0.126"/>
    <n v="45574220"/>
    <n v="2.1"/>
    <n v="19573946"/>
    <n v="9325223"/>
    <n v="2.48"/>
    <n v="19950237"/>
    <n v="8039663"/>
    <n v="2.71"/>
    <n v="20265445"/>
    <n v="7484152"/>
    <n v="2.86"/>
    <n v="21314943"/>
    <n v="7461252"/>
    <n v="2.15"/>
    <n v="27563023"/>
    <n v="12817185"/>
  </r>
  <r>
    <x v="103"/>
    <n v="4"/>
    <n v="297848"/>
    <n v="1065605"/>
    <n v="1065605"/>
    <n v="1065605"/>
    <n v="3723102"/>
    <n v="0.28599999999999998"/>
    <n v="0.28599999999999998"/>
    <n v="0.28599999999999998"/>
    <n v="0"/>
    <n v="7.3999999999999996E-2"/>
    <n v="7.3999999999999996E-2"/>
    <n v="0.09"/>
    <n v="0.112"/>
    <n v="0.105"/>
    <n v="10195275"/>
    <n v="3.23"/>
    <n v="1489384"/>
    <n v="461201"/>
    <n v="3.16"/>
    <n v="1386435"/>
    <n v="439238"/>
    <n v="3.59"/>
    <n v="1280396"/>
    <n v="356267"/>
    <n v="3.53"/>
    <n v="1230901"/>
    <n v="348391"/>
    <n v="1.3"/>
    <n v="4771308"/>
    <n v="3660651"/>
  </r>
  <r>
    <x v="104"/>
    <n v="3"/>
    <n v="1624992"/>
    <n v="4877855"/>
    <n v="2961828"/>
    <n v="4792407"/>
    <n v="20312400"/>
    <n v="0.14599999999999999"/>
    <n v="0.23599999999999999"/>
    <n v="0.24"/>
    <n v="2E-3"/>
    <n v="7.8E-2"/>
    <n v="0.08"/>
    <n v="9.8000000000000004E-2"/>
    <n v="0.122"/>
    <n v="4.9000000000000002E-2"/>
    <n v="97662183"/>
    <n v="2.61"/>
    <n v="24468966"/>
    <n v="9362609"/>
    <n v="3.24"/>
    <n v="26162877"/>
    <n v="8086134"/>
    <n v="3.25"/>
    <n v="24637442"/>
    <n v="7575980"/>
    <n v="3.19"/>
    <n v="21737488"/>
    <n v="6820674"/>
    <n v="1.38"/>
    <n v="57209174"/>
    <n v="41394212"/>
  </r>
  <r>
    <x v="105"/>
    <n v="5"/>
    <n v="3523"/>
    <n v="11637"/>
    <n v="11637"/>
    <n v="11637"/>
    <n v="44040"/>
    <n v="0.26400000000000001"/>
    <n v="0.26400000000000001"/>
    <n v="0.26400000000000001"/>
    <n v="4.0000000000000001E-3"/>
    <n v="6.9999999999999993E-2"/>
    <n v="7.3999999999999996E-2"/>
    <n v="8.8999999999999996E-2"/>
    <n v="0.109"/>
    <n v="8.1000000000000003E-2"/>
    <n v="144467"/>
    <s v="88%5)"/>
    <n v="56798"/>
    <n v="64785"/>
    <s v="93%5)"/>
    <n v="49249"/>
    <n v="52715"/>
    <s v="82%5)"/>
    <n v="48673"/>
    <n v="59360"/>
    <s v="94%5)"/>
    <n v="33047"/>
    <n v="35119"/>
    <n v="1.41"/>
    <n v="85008"/>
    <n v="60228"/>
  </r>
  <r>
    <x v="106"/>
    <n v="3"/>
    <n v="200440"/>
    <n v="696304"/>
    <n v="696304"/>
    <n v="696304"/>
    <n v="2505506"/>
    <n v="0.27800000000000002"/>
    <n v="0.27800000000000002"/>
    <n v="0.27800000000000002"/>
    <n v="5.0000000000000001E-3"/>
    <n v="7.8E-2"/>
    <n v="8.3000000000000004E-2"/>
    <n v="0.10100000000000001"/>
    <n v="0.125"/>
    <n v="9.9000000000000005E-2"/>
    <n v="7055717"/>
    <n v="3.15"/>
    <n v="1194534"/>
    <n v="379376"/>
    <n v="3.61"/>
    <n v="1191555"/>
    <n v="330076"/>
    <n v="3.78"/>
    <n v="1195604"/>
    <n v="316444"/>
    <n v="3.26"/>
    <n v="1022264"/>
    <n v="313702"/>
    <n v="1.79"/>
    <n v="4510635"/>
    <n v="2514072"/>
  </r>
  <r>
    <x v="107"/>
    <n v="4"/>
    <n v="51716"/>
    <n v="165747"/>
    <n v="165747"/>
    <n v="165747"/>
    <n v="646445"/>
    <n v="0.25600000000000001"/>
    <n v="0.25600000000000001"/>
    <n v="0.25600000000000001"/>
    <n v="0.01"/>
    <n v="7.400000000000001E-2"/>
    <n v="8.4000000000000005E-2"/>
    <n v="0.1"/>
    <n v="0.122"/>
    <n v="0.11700000000000001"/>
    <n v="1421199"/>
    <n v="1.28"/>
    <n v="164645"/>
    <n v="128199"/>
    <n v="1.99"/>
    <n v="262428"/>
    <n v="131862"/>
    <n v="1.81"/>
    <n v="257376"/>
    <n v="142515"/>
    <n v="1.82"/>
    <n v="258989"/>
    <n v="142407"/>
    <n v="1.45"/>
    <n v="1053935"/>
    <n v="727211"/>
  </r>
  <r>
    <x v="108"/>
    <n v="4"/>
    <n v="300116"/>
    <n v="605286"/>
    <n v="605286"/>
    <n v="605286"/>
    <n v="3751454"/>
    <n v="0.161"/>
    <n v="0.161"/>
    <n v="0.161"/>
    <n v="1.2999999999999999E-2"/>
    <n v="7.3999999999999996E-2"/>
    <n v="8.6999999999999994E-2"/>
    <n v="0.10299999999999999"/>
    <n v="0.125"/>
    <n v="7.0000000000000007E-2"/>
    <n v="8673845"/>
    <n v="1.35"/>
    <n v="1358833"/>
    <n v="1005048"/>
    <n v="1.35"/>
    <n v="1143288"/>
    <n v="848619"/>
    <n v="1.34"/>
    <n v="1000880"/>
    <n v="746722"/>
    <n v="1.4"/>
    <n v="1141991"/>
    <n v="814890"/>
    <n v="1.18"/>
    <n v="6342489"/>
    <n v="5377316"/>
  </r>
  <r>
    <x v="109"/>
    <n v="3"/>
    <n v="2226684"/>
    <n v="5007304"/>
    <n v="3717248"/>
    <n v="4527248"/>
    <n v="27833554"/>
    <n v="0.13400000000000001"/>
    <n v="0.16300000000000001"/>
    <n v="0.18"/>
    <n v="0.01"/>
    <n v="7.8E-2"/>
    <n v="8.7999999999999995E-2"/>
    <n v="0.106"/>
    <n v="0.13"/>
    <n v="7.5999999999999998E-2"/>
    <n v="59560871"/>
    <n v="1.49"/>
    <n v="9988622"/>
    <n v="6703347"/>
    <n v="1.62"/>
    <n v="10172041"/>
    <n v="6284860"/>
    <n v="1.56"/>
    <n v="8477577"/>
    <n v="5447453"/>
    <n v="1.6"/>
    <n v="7705789"/>
    <n v="4805046"/>
    <n v="1.32"/>
    <n v="40717483"/>
    <n v="30905943"/>
  </r>
  <r>
    <x v="110"/>
    <n v="5"/>
    <n v="21799"/>
    <n v="93472"/>
    <n v="67295"/>
    <n v="83995"/>
    <n v="272491"/>
    <n v="0.247"/>
    <n v="0.308"/>
    <n v="0.34300000000000003"/>
    <n v="5.0000000000000001E-3"/>
    <n v="6.9999999999999993E-2"/>
    <n v="7.4999999999999997E-2"/>
    <n v="0.09"/>
    <n v="0.11"/>
    <n v="0.109"/>
    <n v="770554"/>
    <n v="2.75"/>
    <n v="415096"/>
    <n v="150787"/>
    <n v="2.35"/>
    <n v="415821"/>
    <n v="176694"/>
    <n v="2.2000000000000002"/>
    <n v="359924"/>
    <n v="163837"/>
    <n v="1.98"/>
    <n v="316891"/>
    <n v="160255"/>
    <n v="2.0099999999999998"/>
    <n v="547476"/>
    <n v="272469"/>
  </r>
  <r>
    <x v="111"/>
    <n v="5"/>
    <n v="6962"/>
    <n v="45797"/>
    <n v="45056"/>
    <n v="45056"/>
    <n v="87030"/>
    <n v="0.51800000000000002"/>
    <n v="0.51800000000000002"/>
    <n v="0.52600000000000002"/>
    <n v="0"/>
    <n v="7.0000000000000007E-2"/>
    <n v="7.0000000000000007E-2"/>
    <n v="8.5000000000000006E-2"/>
    <n v="0.105"/>
    <n v="0.06"/>
    <n v="752496"/>
    <n v="5.57"/>
    <n v="280648"/>
    <n v="50372"/>
    <n v="5.17"/>
    <n v="354808"/>
    <n v="68617"/>
    <n v="4.29"/>
    <n v="456350"/>
    <n v="106430"/>
    <n v="7.51"/>
    <n v="472189"/>
    <n v="62895"/>
    <n v="4.37"/>
    <n v="499242"/>
    <n v="114347"/>
  </r>
  <r>
    <x v="112"/>
    <n v="5"/>
    <n v="5728"/>
    <n v="33629"/>
    <n v="33629"/>
    <n v="33629"/>
    <n v="71599"/>
    <n v="0.47"/>
    <n v="0.47"/>
    <n v="0.47"/>
    <n v="0"/>
    <n v="7.0000000000000007E-2"/>
    <n v="7.0000000000000007E-2"/>
    <n v="8.5000000000000006E-2"/>
    <n v="0.105"/>
    <n v="0.20799999999999999"/>
    <n v="161860"/>
    <n v="1.33"/>
    <n v="28089"/>
    <n v="21090"/>
    <n v="1.54"/>
    <n v="28174"/>
    <n v="18285"/>
    <n v="1.31"/>
    <n v="27436"/>
    <n v="20983"/>
    <n v="1.55"/>
    <n v="27465"/>
    <n v="17773"/>
    <n v="1.59"/>
    <n v="122011"/>
    <n v="76718"/>
  </r>
  <r>
    <x v="113"/>
    <n v="3"/>
    <n v="1916849"/>
    <n v="4887026"/>
    <n v="4887026"/>
    <n v="4887026"/>
    <n v="23960609"/>
    <n v="0.20399999999999999"/>
    <n v="0.20399999999999999"/>
    <n v="0.20399999999999999"/>
    <n v="1.7000000000000001E-2"/>
    <n v="7.8E-2"/>
    <n v="9.5000000000000001E-2"/>
    <n v="0.113"/>
    <n v="0.13700000000000001"/>
    <n v="8.1000000000000003E-2"/>
    <n v="59966319"/>
    <n v="1.4"/>
    <n v="8033455"/>
    <n v="5746524"/>
    <n v="1.49"/>
    <n v="7715744"/>
    <n v="5189308"/>
    <n v="1.43"/>
    <n v="7541236"/>
    <n v="5267716"/>
    <n v="1.4"/>
    <n v="7270871"/>
    <n v="5209013"/>
    <n v="1.47"/>
    <n v="50102212"/>
    <n v="34054339"/>
  </r>
  <r>
    <x v="114"/>
    <n v="5"/>
    <n v="19663"/>
    <n v="158361"/>
    <n v="113361"/>
    <n v="158361"/>
    <n v="245787"/>
    <n v="0.46100000000000002"/>
    <n v="0.64400000000000002"/>
    <n v="0.64400000000000002"/>
    <n v="0"/>
    <n v="7.0000000000000007E-2"/>
    <n v="7.0000000000000007E-2"/>
    <n v="8.5000000000000006E-2"/>
    <n v="0.105"/>
    <n v="0.22"/>
    <n v="721140"/>
    <n v="2.21"/>
    <n v="101803"/>
    <n v="46127"/>
    <n v="2.57"/>
    <n v="121713"/>
    <n v="47295"/>
    <n v="2.11"/>
    <n v="112860"/>
    <n v="53406"/>
    <n v="2.14"/>
    <n v="119747"/>
    <n v="56074"/>
    <n v="1.25"/>
    <n v="303746"/>
    <n v="243768"/>
  </r>
  <r>
    <x v="115"/>
    <n v="5"/>
    <n v="15610"/>
    <n v="73794"/>
    <n v="73794"/>
    <n v="73794"/>
    <n v="195127"/>
    <n v="0.378"/>
    <n v="0.378"/>
    <n v="0.378"/>
    <n v="1E-3"/>
    <n v="6.9999999999999993E-2"/>
    <n v="7.0999999999999994E-2"/>
    <n v="8.5999999999999993E-2"/>
    <n v="0.106"/>
    <n v="0.25"/>
    <n v="295219"/>
    <n v="1.71"/>
    <n v="56443"/>
    <n v="33003"/>
    <n v="1.98"/>
    <n v="56232"/>
    <n v="28381"/>
    <n v="1.48"/>
    <n v="37873"/>
    <n v="25514"/>
    <n v="1.65"/>
    <n v="35467"/>
    <n v="21485"/>
    <n v="1.62"/>
    <n v="194523"/>
    <n v="120189"/>
  </r>
  <r>
    <x v="116"/>
    <n v="4"/>
    <n v="219147"/>
    <n v="524685"/>
    <n v="524685"/>
    <n v="524685"/>
    <n v="2739340"/>
    <n v="0.192"/>
    <n v="0.192"/>
    <n v="0.192"/>
    <n v="1.4E-2"/>
    <n v="7.3999999999999996E-2"/>
    <n v="8.7999999999999995E-2"/>
    <n v="0.104"/>
    <n v="0.126"/>
    <n v="8.1000000000000003E-2"/>
    <n v="6489891"/>
    <n v="1.8"/>
    <n v="982521"/>
    <n v="544659"/>
    <n v="2.15"/>
    <n v="1022826"/>
    <n v="476634"/>
    <n v="2.09"/>
    <n v="985307"/>
    <n v="472089"/>
    <n v="1.89"/>
    <n v="948144"/>
    <n v="501015"/>
    <n v="1.26"/>
    <n v="5302973"/>
    <n v="4217425"/>
  </r>
  <r>
    <x v="117"/>
    <n v="5"/>
    <n v="4220"/>
    <n v="28152"/>
    <n v="28152"/>
    <n v="28152"/>
    <n v="52752"/>
    <n v="0.53400000000000003"/>
    <n v="0.53400000000000003"/>
    <n v="0.53400000000000003"/>
    <n v="0"/>
    <n v="7.0000000000000007E-2"/>
    <n v="7.0000000000000007E-2"/>
    <n v="8.5000000000000006E-2"/>
    <n v="0.105"/>
    <n v="0.219"/>
    <n v="128698"/>
    <n v="2.67"/>
    <n v="86185"/>
    <n v="32302"/>
    <n v="2.8"/>
    <n v="72483"/>
    <n v="25872"/>
    <n v="2.85"/>
    <n v="43539"/>
    <n v="15289"/>
    <n v="3.42"/>
    <n v="35287"/>
    <n v="10323"/>
    <n v="2.1"/>
    <n v="93012"/>
    <n v="44233"/>
  </r>
  <r>
    <x v="118"/>
    <n v="4"/>
    <n v="243504"/>
    <n v="545392"/>
    <n v="533405"/>
    <n v="533405"/>
    <n v="3043800"/>
    <n v="0.17499999999999999"/>
    <n v="0.17499999999999999"/>
    <n v="0.17899999999999999"/>
    <n v="8.9999999999999993E-3"/>
    <n v="7.400000000000001E-2"/>
    <n v="8.3000000000000004E-2"/>
    <n v="9.9000000000000005E-2"/>
    <n v="0.121"/>
    <n v="8.6999999999999994E-2"/>
    <n v="6158098"/>
    <n v="1.55"/>
    <n v="985331"/>
    <n v="635665"/>
    <n v="1.89"/>
    <n v="1054617"/>
    <n v="556552"/>
    <n v="2.42"/>
    <n v="1302198"/>
    <n v="537418"/>
    <n v="1.95"/>
    <n v="1131559"/>
    <n v="579387"/>
    <n v="1.35"/>
    <n v="4932436"/>
    <n v="3659626"/>
  </r>
  <r>
    <x v="119"/>
    <n v="5"/>
    <n v="15373"/>
    <n v="62112"/>
    <n v="62112"/>
    <n v="62112"/>
    <n v="192167"/>
    <n v="0.32300000000000001"/>
    <n v="0.32300000000000001"/>
    <n v="0.32300000000000001"/>
    <n v="0"/>
    <n v="7.0000000000000007E-2"/>
    <n v="7.0000000000000007E-2"/>
    <n v="8.5000000000000006E-2"/>
    <n v="0.105"/>
    <n v="0.11799999999999999"/>
    <n v="525169"/>
    <n v="2.02"/>
    <n v="104925"/>
    <n v="52017"/>
    <n v="2.33"/>
    <n v="119342"/>
    <n v="51162"/>
    <n v="3.05"/>
    <n v="122695"/>
    <n v="40188"/>
    <n v="2.81"/>
    <n v="102386"/>
    <n v="36403"/>
    <n v="2.44"/>
    <n v="336263"/>
    <n v="137743"/>
  </r>
  <r>
    <x v="120"/>
    <n v="5"/>
    <n v="13723"/>
    <n v="43267"/>
    <n v="41712"/>
    <n v="41712"/>
    <n v="171537"/>
    <n v="0.24299999999999999"/>
    <n v="0.24299999999999999"/>
    <n v="0.252"/>
    <n v="1E-3"/>
    <n v="6.9999999999999993E-2"/>
    <n v="7.0999999999999994E-2"/>
    <n v="8.5999999999999993E-2"/>
    <n v="0.106"/>
    <n v="7.8E-2"/>
    <n v="530919"/>
    <n v="3.52"/>
    <n v="196562"/>
    <n v="55834"/>
    <n v="3.75"/>
    <n v="210146"/>
    <n v="56004"/>
    <n v="3.7"/>
    <n v="179176"/>
    <n v="48417"/>
    <n v="4.41"/>
    <n v="185402"/>
    <n v="42027"/>
    <n v="2.2599999999999998"/>
    <n v="349649"/>
    <n v="154765"/>
  </r>
  <r>
    <x v="121"/>
    <n v="4"/>
    <n v="36787"/>
    <n v="76868"/>
    <n v="76868"/>
    <n v="76868"/>
    <n v="459833"/>
    <n v="0.16700000000000001"/>
    <n v="0.16700000000000001"/>
    <n v="0.16700000000000001"/>
    <n v="1.2E-2"/>
    <n v="7.3999999999999996E-2"/>
    <n v="8.5999999999999993E-2"/>
    <n v="0.10199999999999999"/>
    <n v="0.124"/>
    <n v="5.8999999999999997E-2"/>
    <n v="1295989"/>
    <n v="1.3"/>
    <n v="254125"/>
    <n v="195723"/>
    <n v="1.46"/>
    <n v="269535"/>
    <n v="185195"/>
    <n v="1.76"/>
    <n v="247639"/>
    <n v="140393"/>
    <n v="2.19"/>
    <n v="267180"/>
    <n v="121848"/>
    <n v="1.44"/>
    <n v="817348"/>
    <n v="566288"/>
  </r>
  <r>
    <x v="122"/>
    <n v="4"/>
    <n v="99062"/>
    <n v="390525"/>
    <n v="390525"/>
    <n v="390525"/>
    <n v="1238279"/>
    <n v="0.315"/>
    <n v="0.315"/>
    <n v="0.315"/>
    <n v="3.0000000000000001E-3"/>
    <n v="7.3999999999999996E-2"/>
    <n v="7.6999999999999999E-2"/>
    <n v="9.2999999999999999E-2"/>
    <n v="0.115"/>
    <n v="0.14699999999999999"/>
    <n v="2654003"/>
    <n v="1.54"/>
    <n v="612211"/>
    <n v="398354"/>
    <n v="1.54"/>
    <n v="580583"/>
    <n v="376020"/>
    <n v="1.79"/>
    <n v="589072"/>
    <n v="329890"/>
    <n v="1.95"/>
    <n v="595849"/>
    <n v="304965"/>
    <n v="1.46"/>
    <n v="1861957"/>
    <n v="1271287"/>
  </r>
  <r>
    <x v="123"/>
    <n v="5"/>
    <n v="10763"/>
    <n v="59381"/>
    <n v="59381"/>
    <n v="59381"/>
    <n v="134542"/>
    <n v="0.441"/>
    <n v="0.441"/>
    <n v="0.441"/>
    <n v="0"/>
    <n v="7.0000000000000007E-2"/>
    <n v="7.0000000000000007E-2"/>
    <n v="8.5000000000000006E-2"/>
    <n v="0.105"/>
    <n v="0.127"/>
    <n v="467198"/>
    <n v="5.25"/>
    <n v="179664"/>
    <n v="34230"/>
    <n v="5.37"/>
    <n v="191818"/>
    <n v="35715"/>
    <n v="6.29"/>
    <n v="197595"/>
    <n v="31437"/>
    <n v="6.57"/>
    <n v="196434"/>
    <n v="29887"/>
    <n v="4.92"/>
    <n v="329006"/>
    <n v="66850"/>
  </r>
  <r>
    <x v="124"/>
    <n v="5"/>
    <n v="39758"/>
    <n v="106180"/>
    <n v="105212"/>
    <n v="105212"/>
    <n v="496971"/>
    <n v="0.21199999999999999"/>
    <n v="0.21199999999999999"/>
    <n v="0.214"/>
    <n v="8.9999999999999993E-3"/>
    <n v="7.0000000000000007E-2"/>
    <n v="7.9000000000000001E-2"/>
    <n v="9.4E-2"/>
    <n v="0.114"/>
    <n v="9.2999999999999999E-2"/>
    <n v="1133596"/>
    <n v="1.52"/>
    <n v="447398"/>
    <n v="295118"/>
    <n v="1.54"/>
    <n v="424982"/>
    <n v="275813"/>
    <n v="1.45"/>
    <n v="322534"/>
    <n v="222542"/>
    <n v="1.28"/>
    <n v="285643"/>
    <n v="222516"/>
    <n v="1.1200000000000001"/>
    <n v="654722"/>
    <n v="585458"/>
  </r>
  <r>
    <x v="125"/>
    <n v="5"/>
    <n v="33816"/>
    <n v="174139"/>
    <n v="154139"/>
    <n v="154139"/>
    <n v="422699"/>
    <n v="0.36499999999999999"/>
    <n v="0.36499999999999999"/>
    <n v="0.41199999999999998"/>
    <n v="0"/>
    <n v="7.0000000000000007E-2"/>
    <n v="7.0000000000000007E-2"/>
    <n v="8.5000000000000006E-2"/>
    <n v="0.105"/>
    <n v="0.185"/>
    <n v="831579"/>
    <n v="7.93"/>
    <n v="46518"/>
    <n v="5867"/>
    <n v="11.82"/>
    <n v="65692"/>
    <n v="5558"/>
    <n v="11.72"/>
    <n v="58667"/>
    <n v="5007"/>
    <n v="11.06"/>
    <n v="57688"/>
    <n v="5216"/>
    <n v="1.1299999999999999"/>
    <n v="497127"/>
    <n v="441290"/>
  </r>
  <r>
    <x v="126"/>
    <n v="5"/>
    <n v="1370"/>
    <n v="3121"/>
    <n v="3121"/>
    <n v="3121"/>
    <n v="17127"/>
    <n v="0.182"/>
    <n v="0.182"/>
    <n v="0.182"/>
    <n v="0"/>
    <n v="7.0000000000000007E-2"/>
    <n v="7.0000000000000007E-2"/>
    <n v="8.5000000000000006E-2"/>
    <n v="0.105"/>
    <n v="0.78300000000000003"/>
    <n v="3988"/>
    <n v="18.75"/>
    <n v="302"/>
    <n v="16"/>
    <n v="4.7"/>
    <n v="102"/>
    <n v="22"/>
    <n v="6.89"/>
    <n v="102"/>
    <n v="15"/>
    <n v="10.87"/>
    <n v="103"/>
    <n v="9"/>
    <n v="1.39"/>
    <n v="3477"/>
    <n v="2497"/>
  </r>
  <r>
    <x v="127"/>
    <n v="5"/>
    <n v="6886"/>
    <n v="60208"/>
    <n v="60208"/>
    <n v="60208"/>
    <n v="86074"/>
    <n v="0.69899999999999995"/>
    <n v="0.69899999999999995"/>
    <n v="0.69899999999999995"/>
    <n v="0"/>
    <n v="7.0000000000000007E-2"/>
    <n v="7.0000000000000007E-2"/>
    <n v="8.5000000000000006E-2"/>
    <n v="0.105"/>
    <n v="0.25600000000000001"/>
    <n v="235065"/>
    <n v="1.85"/>
    <n v="76101"/>
    <n v="41088"/>
    <n v="1.93"/>
    <n v="88417"/>
    <n v="45849"/>
    <n v="1.29"/>
    <n v="69964"/>
    <n v="54343"/>
    <n v="1.43"/>
    <n v="65578"/>
    <n v="45765"/>
    <n v="1.49"/>
    <n v="147447"/>
    <n v="98726"/>
  </r>
  <r>
    <x v="128"/>
    <n v="5"/>
    <n v="2393"/>
    <n v="35400"/>
    <n v="35400"/>
    <n v="35400"/>
    <n v="29918"/>
    <n v="1.1830000000000001"/>
    <n v="1.1830000000000001"/>
    <n v="1.1830000000000001"/>
    <n v="0"/>
    <n v="7.0000000000000007E-2"/>
    <n v="7.0000000000000007E-2"/>
    <n v="8.5000000000000006E-2"/>
    <n v="0.105"/>
    <n v="0.57099999999999995"/>
    <n v="61943"/>
    <s v="2)"/>
    <s v="2)"/>
    <s v="2)"/>
    <s v="2)"/>
    <s v="2)"/>
    <s v="2)"/>
    <s v="2)"/>
    <s v="2)"/>
    <s v="2)"/>
    <s v="2)"/>
    <s v="2)"/>
    <s v="2)"/>
    <s v="2)"/>
    <s v="2)"/>
    <s v="2)"/>
  </r>
  <r>
    <x v="129"/>
    <n v="4"/>
    <n v="134423"/>
    <n v="284001"/>
    <n v="271383"/>
    <n v="271383"/>
    <n v="1680287"/>
    <n v="0.16200000000000001"/>
    <n v="0.16200000000000001"/>
    <n v="0.16900000000000001"/>
    <n v="1.2E-2"/>
    <n v="7.3999999999999996E-2"/>
    <n v="8.5999999999999993E-2"/>
    <n v="0.10199999999999999"/>
    <n v="0.124"/>
    <n v="7.9000000000000001E-2"/>
    <n v="3422152"/>
    <n v="1.44"/>
    <n v="461824"/>
    <n v="321277"/>
    <n v="1.69"/>
    <n v="470594"/>
    <n v="278511"/>
    <n v="1.77"/>
    <n v="458097"/>
    <n v="258785"/>
    <n v="1.77"/>
    <n v="439513"/>
    <n v="248744"/>
    <n v="1.31"/>
    <n v="2903211"/>
    <n v="2208089"/>
  </r>
  <r>
    <x v="130"/>
    <n v="5"/>
    <n v="1302"/>
    <n v="4289"/>
    <n v="4289"/>
    <n v="4289"/>
    <n v="16273"/>
    <n v="0.26400000000000001"/>
    <n v="0.26400000000000001"/>
    <n v="0.26400000000000001"/>
    <n v="0"/>
    <n v="7.0000000000000007E-2"/>
    <n v="7.0000000000000007E-2"/>
    <n v="8.5000000000000006E-2"/>
    <n v="0.105"/>
    <n v="0.13600000000000001"/>
    <n v="31525"/>
    <n v="1.43"/>
    <n v="13124"/>
    <n v="9193"/>
    <n v="1.68"/>
    <n v="15505"/>
    <n v="9226"/>
    <n v="1.91"/>
    <n v="18198"/>
    <n v="9513"/>
    <n v="2.1800000000000002"/>
    <n v="18623"/>
    <n v="8532"/>
    <n v="2.13"/>
    <n v="14509"/>
    <n v="6824"/>
  </r>
  <r>
    <x v="131"/>
    <n v="4"/>
    <n v="83219"/>
    <n v="176518"/>
    <n v="151408"/>
    <n v="176518"/>
    <n v="1040238"/>
    <n v="0.14599999999999999"/>
    <n v="0.17"/>
    <n v="0.17"/>
    <n v="0"/>
    <n v="7.3999999999999996E-2"/>
    <n v="7.3999999999999996E-2"/>
    <n v="0.09"/>
    <n v="0.112"/>
    <n v="7.1999999999999995E-2"/>
    <n v="2435466"/>
    <n v="1.69"/>
    <n v="549917"/>
    <n v="325604"/>
    <n v="1.99"/>
    <n v="464621"/>
    <n v="233992"/>
    <n v="1.72"/>
    <n v="349371"/>
    <n v="203402"/>
    <n v="1.62"/>
    <n v="334501"/>
    <n v="206968"/>
    <n v="1.18"/>
    <n v="1179468"/>
    <n v="1000657"/>
  </r>
  <r>
    <x v="132"/>
    <n v="4"/>
    <n v="73365"/>
    <n v="253901"/>
    <n v="253901"/>
    <n v="253901"/>
    <n v="917061"/>
    <n v="0.27700000000000002"/>
    <n v="0.27700000000000002"/>
    <n v="0.27700000000000002"/>
    <n v="1E-3"/>
    <n v="7.3999999999999996E-2"/>
    <n v="7.4999999999999997E-2"/>
    <n v="9.0999999999999998E-2"/>
    <n v="0.113"/>
    <n v="5.2999999999999999E-2"/>
    <n v="4811615"/>
    <n v="1.34"/>
    <n v="2335308"/>
    <n v="1746862"/>
    <n v="1.58"/>
    <n v="2116007"/>
    <n v="1341361"/>
    <n v="1.5"/>
    <n v="2052197"/>
    <n v="1370321"/>
    <n v="1.4"/>
    <n v="2583692"/>
    <n v="1843618"/>
    <n v="1.62"/>
    <n v="1662506"/>
    <n v="1025588"/>
  </r>
  <r>
    <x v="133"/>
    <n v="5"/>
    <n v="13666"/>
    <n v="56551"/>
    <n v="56551"/>
    <n v="56551"/>
    <n v="170822"/>
    <n v="0.33100000000000002"/>
    <n v="0.33100000000000002"/>
    <n v="0.33100000000000002"/>
    <n v="0"/>
    <n v="7.0000000000000007E-2"/>
    <n v="7.0000000000000007E-2"/>
    <n v="8.5000000000000006E-2"/>
    <n v="0.105"/>
    <n v="0.24299999999999999"/>
    <n v="233061"/>
    <s v="2)"/>
    <s v="2)"/>
    <s v="2)"/>
    <s v="2)"/>
    <s v="2)"/>
    <s v="2)"/>
    <s v="2)"/>
    <s v="2)"/>
    <s v="2)"/>
    <s v="2)"/>
    <s v="2)"/>
    <s v="2)"/>
    <s v="2)"/>
    <s v="2)"/>
    <s v="2)"/>
  </r>
  <r>
    <x v="134"/>
    <n v="5"/>
    <n v="12743"/>
    <n v="43877"/>
    <n v="43877"/>
    <n v="43877"/>
    <n v="159289"/>
    <n v="0.27500000000000002"/>
    <n v="0.27500000000000002"/>
    <n v="0.27500000000000002"/>
    <n v="0"/>
    <n v="7.0000000000000007E-2"/>
    <n v="7.0000000000000007E-2"/>
    <n v="8.5000000000000006E-2"/>
    <n v="0.105"/>
    <n v="8.1000000000000003E-2"/>
    <n v="541499"/>
    <n v="1.77"/>
    <n v="475708"/>
    <n v="269300"/>
    <n v="1.73"/>
    <n v="461941"/>
    <n v="266820"/>
    <n v="1.85"/>
    <n v="444640"/>
    <n v="240159"/>
    <n v="2.21"/>
    <n v="354545"/>
    <n v="160285"/>
    <n v="3.5"/>
    <n v="248500"/>
    <n v="70991"/>
  </r>
  <r>
    <x v="135"/>
    <n v="4"/>
    <n v="56465"/>
    <n v="147254"/>
    <n v="147254"/>
    <n v="147254"/>
    <n v="705811"/>
    <n v="0.20899999999999999"/>
    <n v="0.20899999999999999"/>
    <n v="0.20899999999999999"/>
    <n v="1.4999999999999999E-2"/>
    <n v="7.3999999999999996E-2"/>
    <n v="8.8999999999999996E-2"/>
    <n v="0.105"/>
    <n v="0.127"/>
    <n v="0.08"/>
    <n v="1849436"/>
    <n v="1.66"/>
    <n v="355327"/>
    <n v="213725"/>
    <n v="1.77"/>
    <n v="388541"/>
    <n v="219212"/>
    <n v="1.81"/>
    <n v="390700"/>
    <n v="215308"/>
    <n v="1.69"/>
    <n v="348116"/>
    <n v="205650"/>
    <n v="1.45"/>
    <n v="1545618"/>
    <n v="1062877"/>
  </r>
  <r>
    <x v="136"/>
    <n v="4"/>
    <n v="362008"/>
    <n v="1162472"/>
    <n v="1144624"/>
    <n v="1144624"/>
    <n v="4525103"/>
    <n v="0.253"/>
    <n v="0.253"/>
    <n v="0.25700000000000001"/>
    <n v="1.2999999999999999E-2"/>
    <n v="7.3999999999999996E-2"/>
    <n v="8.6999999999999994E-2"/>
    <n v="0.10299999999999999"/>
    <n v="0.125"/>
    <n v="0.11899999999999999"/>
    <n v="9651146"/>
    <n v="1.31"/>
    <n v="1427488"/>
    <n v="1088175"/>
    <n v="1.34"/>
    <n v="1275026"/>
    <n v="950362"/>
    <n v="1.24"/>
    <n v="1140722"/>
    <n v="923566"/>
    <n v="1.43"/>
    <n v="1082724"/>
    <n v="755939"/>
    <n v="1.21"/>
    <n v="7127749"/>
    <n v="5877174"/>
  </r>
  <r>
    <x v="137"/>
    <n v="5"/>
    <n v="27863"/>
    <n v="159956"/>
    <n v="159956"/>
    <n v="159956"/>
    <n v="348283"/>
    <n v="0.45900000000000002"/>
    <n v="0.45900000000000002"/>
    <n v="0.45900000000000002"/>
    <n v="0"/>
    <n v="7.0000000000000007E-2"/>
    <n v="7.0000000000000007E-2"/>
    <n v="8.5000000000000006E-2"/>
    <n v="0.105"/>
    <n v="0.26"/>
    <n v="616046"/>
    <n v="6.49"/>
    <n v="412678"/>
    <n v="63633"/>
    <n v="4.7"/>
    <n v="394963"/>
    <n v="84076"/>
    <n v="3.98"/>
    <n v="343165"/>
    <n v="86169"/>
    <n v="4.3"/>
    <n v="341716"/>
    <n v="79427"/>
    <n v="2.25"/>
    <n v="468129"/>
    <n v="207696"/>
  </r>
  <r>
    <x v="138"/>
    <n v="3"/>
    <n v="766683"/>
    <n v="2313057"/>
    <n v="2201658"/>
    <n v="2201658"/>
    <n v="9583539"/>
    <n v="0.23"/>
    <n v="0.23"/>
    <n v="0.24099999999999999"/>
    <n v="1.4E-2"/>
    <n v="7.8E-2"/>
    <n v="9.1999999999999998E-2"/>
    <n v="0.11"/>
    <n v="0.13400000000000001"/>
    <n v="9.1999999999999998E-2"/>
    <n v="23885718"/>
    <n v="1.46"/>
    <n v="4836563"/>
    <n v="3308590"/>
    <n v="1.56"/>
    <n v="4249546"/>
    <n v="2720800"/>
    <n v="1.42"/>
    <n v="3823314"/>
    <n v="2692637"/>
    <n v="1.32"/>
    <n v="3311956"/>
    <n v="2513916"/>
    <n v="1.45"/>
    <n v="17623343"/>
    <n v="12149396"/>
  </r>
  <r>
    <x v="139"/>
    <n v="5"/>
    <n v="10899"/>
    <n v="118112"/>
    <n v="108462"/>
    <n v="108462"/>
    <n v="136232"/>
    <n v="0.79600000000000004"/>
    <n v="0.79600000000000004"/>
    <n v="0.86699999999999999"/>
    <n v="0"/>
    <n v="7.0000000000000007E-2"/>
    <n v="7.0000000000000007E-2"/>
    <n v="8.5000000000000006E-2"/>
    <n v="0.105"/>
    <n v="0.124"/>
    <n v="871529"/>
    <n v="10.46"/>
    <n v="678434"/>
    <n v="64841"/>
    <n v="9.41"/>
    <n v="877171"/>
    <n v="93185"/>
    <n v="11.01"/>
    <n v="763958"/>
    <n v="69383"/>
    <n v="11.06"/>
    <n v="636003"/>
    <n v="57528"/>
    <n v="7.05"/>
    <n v="707571"/>
    <n v="100300"/>
  </r>
  <r>
    <x v="140"/>
    <n v="5"/>
    <n v="48618"/>
    <n v="106883"/>
    <n v="105683"/>
    <n v="105683"/>
    <n v="607726"/>
    <n v="0.17399999999999999"/>
    <n v="0.17399999999999999"/>
    <n v="0.17599999999999999"/>
    <n v="1.7000000000000001E-2"/>
    <n v="6.9999999999999993E-2"/>
    <n v="8.6999999999999994E-2"/>
    <n v="0.10199999999999999"/>
    <n v="0.122"/>
    <n v="7.0999999999999994E-2"/>
    <n v="1479328"/>
    <s v="2)"/>
    <s v="2)"/>
    <s v="2)"/>
    <s v="2)"/>
    <s v="2)"/>
    <s v="2)"/>
    <s v="2)"/>
    <s v="2)"/>
    <s v="2)"/>
    <s v="2)"/>
    <s v="2)"/>
    <s v="2)"/>
    <s v="2)"/>
    <s v="2)"/>
    <s v="2)"/>
  </r>
  <r>
    <x v="141"/>
    <n v="5"/>
    <n v="815"/>
    <n v="2709"/>
    <n v="2709"/>
    <n v="2709"/>
    <n v="10183"/>
    <n v="0.26600000000000001"/>
    <n v="0.26600000000000001"/>
    <n v="0.26600000000000001"/>
    <n v="0"/>
    <n v="7.0000000000000007E-2"/>
    <n v="7.0000000000000007E-2"/>
    <n v="8.5000000000000006E-2"/>
    <n v="0.105"/>
    <n v="9.1999999999999998E-2"/>
    <n v="29455"/>
    <n v="1.99"/>
    <n v="7067"/>
    <n v="3551"/>
    <n v="1.77"/>
    <n v="7651"/>
    <n v="4334"/>
    <n v="1.96"/>
    <n v="7137"/>
    <n v="3638"/>
    <n v="1.51"/>
    <n v="8161"/>
    <n v="5392"/>
    <n v="1.58"/>
    <n v="11096"/>
    <n v="7031"/>
  </r>
  <r>
    <x v="142"/>
    <n v="5"/>
    <n v="8755"/>
    <n v="23709"/>
    <n v="23709"/>
    <n v="23709"/>
    <n v="109437"/>
    <n v="0.217"/>
    <n v="0.217"/>
    <n v="0.217"/>
    <n v="0"/>
    <n v="7.0000000000000007E-2"/>
    <n v="7.0000000000000007E-2"/>
    <n v="8.5000000000000006E-2"/>
    <n v="0.105"/>
    <n v="6.8000000000000005E-2"/>
    <n v="346476"/>
    <s v="2)"/>
    <s v="2)"/>
    <s v="2)"/>
    <s v="2)"/>
    <s v="2)"/>
    <s v="2)"/>
    <s v="2)"/>
    <s v="2)"/>
    <s v="2)"/>
    <s v="2)"/>
    <s v="2)"/>
    <s v="2)"/>
    <s v="2)"/>
    <s v="2)"/>
    <s v="2)"/>
  </r>
  <r>
    <x v="143"/>
    <n v="4"/>
    <n v="113559"/>
    <n v="447536"/>
    <n v="447536"/>
    <n v="447536"/>
    <n v="1419484"/>
    <n v="0.315"/>
    <n v="0.315"/>
    <n v="0.315"/>
    <n v="2E-3"/>
    <n v="7.3999999999999996E-2"/>
    <n v="7.5999999999999998E-2"/>
    <n v="9.1999999999999998E-2"/>
    <n v="0.114"/>
    <n v="0.107"/>
    <n v="4198633"/>
    <n v="1.86"/>
    <n v="849626"/>
    <n v="456014"/>
    <n v="1.87"/>
    <n v="768933"/>
    <n v="411027"/>
    <n v="1.9"/>
    <n v="808998"/>
    <n v="425742"/>
    <n v="1.52"/>
    <n v="810588"/>
    <n v="533882"/>
    <n v="1.1000000000000001"/>
    <n v="1851035"/>
    <n v="1675634"/>
  </r>
  <r>
    <x v="144"/>
    <n v="5"/>
    <n v="24989"/>
    <n v="70914"/>
    <n v="70914"/>
    <n v="70914"/>
    <n v="312366"/>
    <n v="0.22700000000000001"/>
    <n v="0.22700000000000001"/>
    <n v="0.22700000000000001"/>
    <n v="1.2999999999999999E-2"/>
    <n v="7.0000000000000007E-2"/>
    <n v="8.3000000000000004E-2"/>
    <n v="9.8000000000000004E-2"/>
    <n v="0.11799999999999999"/>
    <n v="0.107"/>
    <n v="661871"/>
    <n v="1.8"/>
    <n v="65544"/>
    <n v="36422"/>
    <n v="1.75"/>
    <n v="61618"/>
    <n v="35112"/>
    <n v="1.94"/>
    <n v="65826"/>
    <n v="33912"/>
    <n v="2.0099999999999998"/>
    <n v="65464"/>
    <n v="32582"/>
    <n v="1.3"/>
    <n v="575565"/>
    <n v="442310"/>
  </r>
  <r>
    <x v="145"/>
    <n v="5"/>
    <n v="24641"/>
    <n v="53966"/>
    <n v="53966"/>
    <n v="53966"/>
    <n v="308012"/>
    <n v="0.17499999999999999"/>
    <n v="0.17499999999999999"/>
    <n v="0.17499999999999999"/>
    <n v="1.2E-2"/>
    <n v="7.0000000000000007E-2"/>
    <n v="8.2000000000000003E-2"/>
    <n v="9.7000000000000003E-2"/>
    <n v="0.11700000000000001"/>
    <n v="7.0999999999999994E-2"/>
    <n v="764076"/>
    <n v="1.1499999999999999"/>
    <n v="80790"/>
    <n v="70425"/>
    <n v="1.42"/>
    <n v="82417"/>
    <n v="58085"/>
    <n v="1.89"/>
    <n v="89580"/>
    <n v="47349"/>
    <n v="2.2000000000000002"/>
    <n v="105691"/>
    <n v="48054"/>
    <n v="1.29"/>
    <n v="657158"/>
    <n v="508697"/>
  </r>
  <r>
    <x v="146"/>
    <n v="5"/>
    <n v="35524"/>
    <n v="77290"/>
    <n v="77290"/>
    <n v="77290"/>
    <n v="444047"/>
    <n v="0.17399999999999999"/>
    <n v="0.17399999999999999"/>
    <n v="0.17399999999999999"/>
    <n v="8.0000000000000002E-3"/>
    <n v="7.0000000000000007E-2"/>
    <n v="7.8E-2"/>
    <n v="9.2999999999999999E-2"/>
    <n v="0.113"/>
    <n v="8.6999999999999994E-2"/>
    <n v="890800"/>
    <s v="2)"/>
    <s v="2)"/>
    <s v="2)"/>
    <s v="2)"/>
    <s v="2)"/>
    <s v="2)"/>
    <s v="2)"/>
    <s v="2)"/>
    <s v="2)"/>
    <s v="2)"/>
    <s v="2)"/>
    <s v="2)"/>
    <s v="2)"/>
    <s v="2)"/>
    <s v="2)"/>
  </r>
  <r>
    <x v="147"/>
    <n v="3"/>
    <n v="1447170"/>
    <n v="2985172"/>
    <n v="2783571"/>
    <n v="2883571"/>
    <n v="18089630"/>
    <n v="0.154"/>
    <n v="0.159"/>
    <n v="0.16500000000000001"/>
    <n v="1.2E-2"/>
    <n v="7.8E-2"/>
    <n v="0.09"/>
    <n v="0.108"/>
    <n v="0.13200000000000001"/>
    <n v="6.7000000000000004E-2"/>
    <n v="42964021"/>
    <n v="1.28"/>
    <n v="8151187"/>
    <n v="6375548"/>
    <n v="1.32"/>
    <n v="7749935"/>
    <n v="5870184"/>
    <n v="1.26"/>
    <n v="6766369"/>
    <n v="5373571"/>
    <n v="1.32"/>
    <n v="6595309"/>
    <n v="4981922"/>
    <n v="1.28"/>
    <n v="31178921"/>
    <n v="24440016"/>
  </r>
  <r>
    <x v="148"/>
    <n v="5"/>
    <n v="14778"/>
    <n v="34300"/>
    <n v="34300"/>
    <n v="34300"/>
    <n v="184720"/>
    <n v="0.186"/>
    <n v="0.186"/>
    <n v="0.186"/>
    <n v="0"/>
    <n v="7.0000000000000007E-2"/>
    <n v="7.0000000000000007E-2"/>
    <n v="8.5000000000000006E-2"/>
    <n v="0.105"/>
    <n v="9.4E-2"/>
    <n v="364046"/>
    <n v="2.82"/>
    <n v="105835"/>
    <n v="37553"/>
    <n v="2.73"/>
    <n v="109390"/>
    <n v="40005"/>
    <n v="3.31"/>
    <n v="109236"/>
    <n v="33012"/>
    <n v="3.45"/>
    <n v="108224"/>
    <n v="31396"/>
    <n v="1.91"/>
    <n v="317318"/>
    <n v="165712"/>
  </r>
  <r>
    <x v="149"/>
    <n v="4"/>
    <n v="215505"/>
    <n v="622555"/>
    <n v="622295"/>
    <n v="622295"/>
    <n v="2693817"/>
    <n v="0.23100000000000001"/>
    <n v="0.23100000000000001"/>
    <n v="0.23100000000000001"/>
    <n v="0"/>
    <n v="7.3999999999999996E-2"/>
    <n v="7.3999999999999996E-2"/>
    <n v="0.09"/>
    <n v="0.112"/>
    <n v="6.7000000000000004E-2"/>
    <n v="9345664"/>
    <n v="3.41"/>
    <n v="5170610"/>
    <n v="1515562"/>
    <n v="3.78"/>
    <n v="5516676"/>
    <n v="1461224"/>
    <n v="3.73"/>
    <n v="5301393"/>
    <n v="1421093"/>
    <n v="4.0199999999999996"/>
    <n v="5000256"/>
    <n v="1244966"/>
    <n v="2.77"/>
    <n v="6920117"/>
    <n v="2496351"/>
  </r>
  <r>
    <x v="150"/>
    <n v="4"/>
    <n v="246551"/>
    <n v="774464"/>
    <n v="772724"/>
    <n v="772724"/>
    <n v="3081890"/>
    <n v="0.251"/>
    <n v="0.251"/>
    <n v="0.251"/>
    <n v="0"/>
    <n v="7.3999999999999996E-2"/>
    <n v="7.3999999999999996E-2"/>
    <n v="0.09"/>
    <n v="0.112"/>
    <n v="7.6999999999999999E-2"/>
    <n v="10094794"/>
    <n v="4.2699999999999996"/>
    <n v="5370919"/>
    <n v="1257940"/>
    <n v="4.13"/>
    <n v="5679964"/>
    <n v="1375229"/>
    <n v="3.92"/>
    <n v="5481473"/>
    <n v="1398027"/>
    <n v="4.6500000000000004"/>
    <n v="5204499"/>
    <n v="1119697"/>
    <s v="2)"/>
    <s v="2)"/>
    <s v="2)"/>
  </r>
  <r>
    <x v="151"/>
    <n v="5"/>
    <n v="46089"/>
    <n v="98904"/>
    <n v="98904"/>
    <n v="98904"/>
    <n v="576107"/>
    <n v="0.17199999999999999"/>
    <n v="0.17199999999999999"/>
    <n v="0.17199999999999999"/>
    <n v="0"/>
    <n v="7.0000000000000007E-2"/>
    <n v="7.0000000000000007E-2"/>
    <n v="8.5000000000000006E-2"/>
    <n v="0.105"/>
    <n v="0.13100000000000001"/>
    <n v="752635"/>
    <n v="3.61"/>
    <n v="242436"/>
    <n v="67087"/>
    <n v="3.74"/>
    <n v="193750"/>
    <n v="51864"/>
    <n v="3.67"/>
    <n v="196765"/>
    <n v="53677"/>
    <n v="3.53"/>
    <n v="171284"/>
    <n v="48547"/>
    <n v="2.1"/>
    <n v="452083"/>
    <n v="215003"/>
  </r>
  <r>
    <x v="152"/>
    <n v="5"/>
    <n v="2351"/>
    <n v="63056"/>
    <n v="63056"/>
    <n v="63056"/>
    <n v="29384"/>
    <n v="2.1459999999999999"/>
    <n v="2.1459999999999999"/>
    <n v="2.1459999999999999"/>
    <n v="0"/>
    <n v="7.0000000000000007E-2"/>
    <n v="7.0000000000000007E-2"/>
    <n v="8.5000000000000006E-2"/>
    <n v="0.105"/>
    <n v="0.93400000000000005"/>
    <n v="67483"/>
    <n v="46.99"/>
    <n v="21269"/>
    <n v="453"/>
    <n v="123.29"/>
    <n v="56219"/>
    <n v="456"/>
    <n v="148.80000000000001"/>
    <n v="56447"/>
    <n v="379"/>
    <n v="71.86"/>
    <n v="56720"/>
    <n v="789"/>
    <n v="15.21"/>
    <n v="63645"/>
    <n v="4184"/>
  </r>
  <r>
    <x v="153"/>
    <n v="5"/>
    <n v="13566"/>
    <n v="31001"/>
    <n v="31001"/>
    <n v="31001"/>
    <n v="169581"/>
    <n v="0.183"/>
    <n v="0.183"/>
    <n v="0.183"/>
    <n v="4.0000000000000001E-3"/>
    <n v="6.9999999999999993E-2"/>
    <n v="7.3999999999999996E-2"/>
    <n v="8.8999999999999996E-2"/>
    <n v="0.109"/>
    <n v="0.112"/>
    <n v="277353"/>
    <n v="4.13"/>
    <n v="50995"/>
    <n v="12362"/>
    <n v="4.28"/>
    <n v="58037"/>
    <n v="13563"/>
    <n v="4"/>
    <n v="53772"/>
    <n v="13444"/>
    <n v="4.49"/>
    <n v="65324"/>
    <n v="14539"/>
    <n v="1.63"/>
    <n v="160587"/>
    <n v="98393"/>
  </r>
  <r>
    <x v="154"/>
    <n v="3"/>
    <n v="1109472"/>
    <n v="2678375"/>
    <n v="2625369"/>
    <n v="2625369"/>
    <n v="13868401"/>
    <n v="0.189"/>
    <n v="0.189"/>
    <n v="0.193"/>
    <n v="1.2999999999999999E-2"/>
    <n v="7.8E-2"/>
    <n v="9.0999999999999998E-2"/>
    <n v="0.109"/>
    <n v="0.13300000000000001"/>
    <n v="7.8E-2"/>
    <n v="33609290"/>
    <n v="1.4"/>
    <n v="6739739"/>
    <n v="4823048"/>
    <n v="1.51"/>
    <n v="6017995"/>
    <n v="3987277"/>
    <n v="1.43"/>
    <n v="5278504"/>
    <n v="3700317"/>
    <n v="1.41"/>
    <n v="4843072"/>
    <n v="3441052"/>
    <n v="1.33"/>
    <n v="26026758"/>
    <n v="19554429"/>
  </r>
  <r>
    <x v="155"/>
    <n v="5"/>
    <n v="38207"/>
    <n v="503195"/>
    <n v="503195"/>
    <n v="503195"/>
    <n v="477591"/>
    <n v="1.054"/>
    <n v="1.054"/>
    <n v="1.054"/>
    <n v="0"/>
    <n v="7.0000000000000007E-2"/>
    <n v="7.0000000000000007E-2"/>
    <n v="8.5000000000000006E-2"/>
    <n v="0.105"/>
    <n v="0.745"/>
    <n v="675235"/>
    <n v="4.2300000000000004"/>
    <n v="351358"/>
    <n v="83030"/>
    <n v="3.53"/>
    <n v="311008"/>
    <n v="88022"/>
    <n v="4.2699999999999996"/>
    <n v="293446"/>
    <n v="68771"/>
    <n v="5.63"/>
    <n v="299610"/>
    <n v="53221"/>
    <n v="2.2999999999999998"/>
    <n v="632104"/>
    <n v="275335"/>
  </r>
  <r>
    <x v="156"/>
    <n v="3"/>
    <n v="646537"/>
    <n v="2334419"/>
    <n v="2330419"/>
    <n v="2330419"/>
    <n v="8081714"/>
    <n v="0.28799999999999998"/>
    <n v="0.28799999999999998"/>
    <n v="0.28899999999999998"/>
    <n v="0"/>
    <n v="7.8E-2"/>
    <n v="7.8E-2"/>
    <n v="9.6000000000000002E-2"/>
    <n v="0.12"/>
    <n v="6.2E-2"/>
    <n v="37371048"/>
    <n v="3.07"/>
    <n v="13096191"/>
    <n v="4269402"/>
    <n v="2.79"/>
    <n v="12992094"/>
    <n v="4655302"/>
    <n v="2.85"/>
    <n v="13230023"/>
    <n v="4642498"/>
    <n v="3.21"/>
    <n v="13610559"/>
    <n v="4234474"/>
    <n v="1.87"/>
    <n v="21104125"/>
    <n v="11276655"/>
  </r>
  <r>
    <x v="157"/>
    <n v="4"/>
    <n v="139718"/>
    <n v="349356"/>
    <n v="342071"/>
    <n v="342071"/>
    <n v="1746470"/>
    <n v="0.19600000000000001"/>
    <n v="0.19600000000000001"/>
    <n v="0.2"/>
    <n v="1.2E-2"/>
    <n v="7.3999999999999996E-2"/>
    <n v="8.5999999999999993E-2"/>
    <n v="0.10199999999999999"/>
    <n v="0.124"/>
    <n v="9.2999999999999999E-2"/>
    <n v="3663827"/>
    <n v="1.61"/>
    <n v="457423"/>
    <n v="283276"/>
    <n v="1.59"/>
    <n v="410534"/>
    <n v="258694"/>
    <n v="1.41"/>
    <n v="366923"/>
    <n v="260475"/>
    <n v="1.39"/>
    <n v="334260"/>
    <n v="240708"/>
    <n v="1.24"/>
    <n v="3032477"/>
    <n v="2446331"/>
  </r>
  <r>
    <x v="158"/>
    <n v="3"/>
    <n v="1211208"/>
    <n v="2419041"/>
    <n v="2418253"/>
    <n v="2418253"/>
    <n v="15140095"/>
    <n v="0.16"/>
    <n v="0.16"/>
    <n v="0.16"/>
    <n v="1.6E-2"/>
    <n v="7.8E-2"/>
    <n v="9.4E-2"/>
    <n v="0.112"/>
    <n v="0.13600000000000001"/>
    <n v="6.6000000000000003E-2"/>
    <n v="36574340"/>
    <n v="1.31"/>
    <n v="6813279"/>
    <n v="5200871"/>
    <n v="1.36"/>
    <n v="5966618"/>
    <n v="4397288"/>
    <n v="1.34"/>
    <n v="5828799"/>
    <n v="4360426"/>
    <n v="1.35"/>
    <n v="5335663"/>
    <n v="3944614"/>
    <n v="1.1200000000000001"/>
    <n v="28664209"/>
    <n v="25563438"/>
  </r>
  <r>
    <x v="159"/>
    <n v="3"/>
    <n v="1221471"/>
    <n v="2484583"/>
    <n v="2483795"/>
    <n v="2483795"/>
    <n v="15268390"/>
    <n v="0.16300000000000001"/>
    <n v="0.16300000000000001"/>
    <n v="0.16300000000000001"/>
    <n v="1.6E-2"/>
    <n v="7.8E-2"/>
    <n v="9.4E-2"/>
    <n v="0.112"/>
    <n v="0.13600000000000001"/>
    <n v="6.5000000000000002E-2"/>
    <n v="38174275"/>
    <s v="2)"/>
    <s v="2)"/>
    <s v="2)"/>
    <s v="2)"/>
    <s v="2)"/>
    <s v="2)"/>
    <s v="2)"/>
    <s v="2)"/>
    <s v="2)"/>
    <s v="2)"/>
    <s v="2)"/>
    <s v="2)"/>
    <s v="2)"/>
    <s v="2)"/>
    <s v="2)"/>
  </r>
  <r>
    <x v="160"/>
    <n v="5"/>
    <n v="6099"/>
    <n v="27077"/>
    <n v="27077"/>
    <n v="27077"/>
    <n v="76237"/>
    <n v="0.35499999999999998"/>
    <n v="0.35499999999999998"/>
    <n v="0.35499999999999998"/>
    <n v="0"/>
    <n v="7.0000000000000007E-2"/>
    <n v="7.0000000000000007E-2"/>
    <n v="8.5000000000000006E-2"/>
    <n v="0.105"/>
    <n v="6.9000000000000006E-2"/>
    <n v="393535"/>
    <n v="2.67"/>
    <n v="59063"/>
    <n v="22097"/>
    <n v="2.99"/>
    <n v="59223"/>
    <n v="19838"/>
    <n v="2.52"/>
    <n v="59702"/>
    <n v="23645"/>
    <n v="2.84"/>
    <n v="62733"/>
    <n v="22097"/>
    <n v="1.23"/>
    <n v="127404"/>
    <n v="103952"/>
  </r>
  <r>
    <x v="161"/>
    <n v="3"/>
    <n v="521912"/>
    <n v="1552333"/>
    <n v="1220136"/>
    <n v="1552333"/>
    <n v="6523903"/>
    <n v="0.187"/>
    <n v="0.23799999999999999"/>
    <n v="0.23799999999999999"/>
    <n v="2E-3"/>
    <n v="7.8E-2"/>
    <n v="0.08"/>
    <n v="9.8000000000000004E-2"/>
    <n v="0.122"/>
    <n v="5.3999999999999999E-2"/>
    <n v="28931873"/>
    <n v="1.78"/>
    <n v="9899019"/>
    <n v="5576004"/>
    <n v="1.79"/>
    <n v="9613360"/>
    <n v="5366717"/>
    <n v="1.99"/>
    <n v="9768761"/>
    <n v="4897240"/>
    <n v="2.1800000000000002"/>
    <n v="9670106"/>
    <n v="4426009"/>
    <n v="1.1399999999999999"/>
    <n v="14136395"/>
    <n v="12404092"/>
  </r>
  <r>
    <x v="162"/>
    <n v="4"/>
    <n v="29329"/>
    <n v="119550"/>
    <n v="119550"/>
    <n v="119550"/>
    <n v="366612"/>
    <n v="0.32600000000000001"/>
    <n v="0.32600000000000001"/>
    <n v="0.32600000000000001"/>
    <n v="0"/>
    <n v="7.3999999999999996E-2"/>
    <n v="7.3999999999999996E-2"/>
    <n v="0.09"/>
    <n v="0.112"/>
    <n v="8.5999999999999993E-2"/>
    <n v="1383994"/>
    <n v="2.36"/>
    <n v="309877"/>
    <n v="131099"/>
    <n v="2.5299999999999998"/>
    <n v="287277"/>
    <n v="113626"/>
    <n v="2.59"/>
    <n v="287903"/>
    <n v="110998"/>
    <n v="3.4"/>
    <n v="347601"/>
    <n v="102323"/>
    <n v="2.6"/>
    <n v="883583"/>
    <n v="340053"/>
  </r>
  <r>
    <x v="163"/>
    <n v="4"/>
    <n v="188268"/>
    <n v="547180"/>
    <n v="547180"/>
    <n v="547180"/>
    <n v="2353355"/>
    <n v="0.23300000000000001"/>
    <n v="0.23300000000000001"/>
    <n v="0.23300000000000001"/>
    <n v="1.4E-2"/>
    <n v="7.3999999999999996E-2"/>
    <n v="8.7999999999999995E-2"/>
    <n v="0.104"/>
    <n v="0.126"/>
    <n v="8.7999999999999995E-2"/>
    <n v="6190602"/>
    <n v="1.79"/>
    <n v="1325591"/>
    <n v="739253"/>
    <n v="2.0699999999999998"/>
    <n v="1448303"/>
    <n v="700030"/>
    <n v="2.35"/>
    <n v="1495320"/>
    <n v="636927"/>
    <n v="2.33"/>
    <n v="1471132"/>
    <n v="630283"/>
    <n v="1.64"/>
    <n v="5082361"/>
    <n v="3095264"/>
  </r>
  <r>
    <x v="164"/>
    <n v="4"/>
    <n v="239770"/>
    <n v="700470"/>
    <n v="700470"/>
    <n v="700470"/>
    <n v="2997122"/>
    <n v="0.23400000000000001"/>
    <n v="0.23400000000000001"/>
    <n v="0.23400000000000001"/>
    <n v="1.0999999999999999E-2"/>
    <n v="7.400000000000001E-2"/>
    <n v="8.5000000000000006E-2"/>
    <n v="0.10100000000000001"/>
    <n v="0.123"/>
    <n v="0.107"/>
    <n v="6546424"/>
    <s v="2)"/>
    <s v="2)"/>
    <s v="2)"/>
    <s v="2)"/>
    <s v="2)"/>
    <s v="2)"/>
    <s v="2)"/>
    <s v="2)"/>
    <s v="2)"/>
    <s v="2)"/>
    <s v="2)"/>
    <s v="2)"/>
    <s v="2)"/>
    <s v="2)"/>
    <s v="2)"/>
  </r>
  <r>
    <x v="165"/>
    <n v="4"/>
    <n v="299481"/>
    <n v="576549"/>
    <n v="558921"/>
    <n v="558921"/>
    <n v="3743515"/>
    <n v="0.14899999999999999"/>
    <n v="0.14899999999999999"/>
    <n v="0.154"/>
    <n v="0.01"/>
    <n v="7.400000000000001E-2"/>
    <n v="8.4000000000000005E-2"/>
    <n v="0.1"/>
    <n v="0.122"/>
    <n v="8.8999999999999996E-2"/>
    <n v="6270018"/>
    <n v="1.9"/>
    <n v="477077"/>
    <n v="251308"/>
    <n v="2.0099999999999998"/>
    <n v="610590"/>
    <n v="303237"/>
    <n v="1.91"/>
    <n v="501768"/>
    <n v="262853"/>
    <n v="1.71"/>
    <n v="400606"/>
    <n v="233700"/>
    <n v="1.1499999999999999"/>
    <n v="4692431"/>
    <n v="4096811"/>
  </r>
  <r>
    <x v="166"/>
    <n v="3"/>
    <n v="638178"/>
    <n v="1448751"/>
    <n v="1385524"/>
    <n v="1385524"/>
    <n v="7977229"/>
    <n v="0.17399999999999999"/>
    <n v="0.17399999999999999"/>
    <n v="0.182"/>
    <n v="1.4E-2"/>
    <n v="7.8E-2"/>
    <n v="9.1999999999999998E-2"/>
    <n v="0.11"/>
    <n v="0.13400000000000001"/>
    <n v="7.1999999999999995E-2"/>
    <n v="19211388"/>
    <n v="1.58"/>
    <n v="4178210"/>
    <n v="2643712"/>
    <n v="1.92"/>
    <n v="4426133"/>
    <n v="2300325"/>
    <n v="1.84"/>
    <n v="4278642"/>
    <n v="2329157"/>
    <n v="1.62"/>
    <n v="3555163"/>
    <n v="2192454"/>
    <n v="1.47"/>
    <n v="15878179"/>
    <n v="10817008"/>
  </r>
  <r>
    <x v="167"/>
    <n v="5"/>
    <n v="36791"/>
    <n v="76016"/>
    <n v="71128"/>
    <n v="71128"/>
    <n v="459890"/>
    <n v="0.155"/>
    <n v="0.155"/>
    <n v="0.16500000000000001"/>
    <n v="1.4E-2"/>
    <n v="7.0000000000000007E-2"/>
    <n v="8.4000000000000005E-2"/>
    <n v="9.9000000000000005E-2"/>
    <n v="0.11899999999999999"/>
    <n v="6.9000000000000006E-2"/>
    <n v="1037897"/>
    <n v="1.85"/>
    <n v="107075"/>
    <n v="57880"/>
    <n v="1.64"/>
    <n v="98414"/>
    <n v="59859"/>
    <n v="1.89"/>
    <n v="94416"/>
    <n v="49875"/>
    <n v="1.59"/>
    <n v="90856"/>
    <n v="57288"/>
    <n v="1.41"/>
    <n v="937030"/>
    <n v="6629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928789-35E1-954B-95CE-3CCADB3682ED}" name="PivotTable2" cacheId="7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28" firstHeaderRow="1" firstDataRow="1" firstDataCol="1"/>
  <pivotFields count="32">
    <pivotField axis="axisRow" showAll="0">
      <items count="169"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x="13"/>
        <item h="1" x="14"/>
        <item h="1" x="15"/>
        <item h="1" x="16"/>
        <item h="1" x="17"/>
        <item h="1" x="18"/>
        <item h="1" x="19"/>
        <item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x="31"/>
        <item x="32"/>
        <item h="1" x="33"/>
        <item x="34"/>
        <item x="35"/>
        <item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x="47"/>
        <item x="48"/>
        <item h="1" x="49"/>
        <item h="1" x="50"/>
        <item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x="63"/>
        <item h="1" x="64"/>
        <item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x="86"/>
        <item h="1" x="87"/>
        <item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x="108"/>
        <item x="109"/>
        <item h="1" x="110"/>
        <item h="1" x="111"/>
        <item h="1" x="112"/>
        <item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x="136"/>
        <item h="1" x="137"/>
        <item x="138"/>
        <item h="1" x="139"/>
        <item h="1" x="140"/>
        <item h="1" x="141"/>
        <item h="1" x="142"/>
        <item h="1" x="143"/>
        <item h="1" x="1"/>
        <item h="1" x="144"/>
        <item h="1" x="145"/>
        <item h="1" x="146"/>
        <item x="147"/>
        <item h="1" x="148"/>
        <item h="1" x="149"/>
        <item h="1" x="150"/>
        <item h="1" x="151"/>
        <item h="1" x="152"/>
        <item h="1" x="153"/>
        <item x="154"/>
        <item h="1" x="155"/>
        <item h="1" x="156"/>
        <item h="1" x="157"/>
        <item x="158"/>
        <item h="1" x="159"/>
        <item h="1" x="160"/>
        <item h="1" x="161"/>
        <item h="1" x="162"/>
        <item h="1" x="163"/>
        <item h="1" x="164"/>
        <item h="1" x="165"/>
        <item x="166"/>
        <item h="1" x="167"/>
        <item h="1"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5">
    <i>
      <x/>
    </i>
    <i>
      <x v="11"/>
    </i>
    <i>
      <x v="18"/>
    </i>
    <i>
      <x v="29"/>
    </i>
    <i>
      <x v="30"/>
    </i>
    <i>
      <x v="32"/>
    </i>
    <i>
      <x v="33"/>
    </i>
    <i>
      <x v="34"/>
    </i>
    <i>
      <x v="45"/>
    </i>
    <i>
      <x v="46"/>
    </i>
    <i>
      <x v="49"/>
    </i>
    <i>
      <x v="61"/>
    </i>
    <i>
      <x v="63"/>
    </i>
    <i>
      <x v="84"/>
    </i>
    <i>
      <x v="86"/>
    </i>
    <i>
      <x v="106"/>
    </i>
    <i>
      <x v="107"/>
    </i>
    <i>
      <x v="111"/>
    </i>
    <i>
      <x v="134"/>
    </i>
    <i>
      <x v="136"/>
    </i>
    <i>
      <x v="146"/>
    </i>
    <i>
      <x v="153"/>
    </i>
    <i>
      <x v="157"/>
    </i>
    <i>
      <x v="165"/>
    </i>
    <i t="grand">
      <x/>
    </i>
  </rowItems>
  <colItems count="1">
    <i/>
  </colItems>
  <dataFields count="1">
    <dataField name="Summe von Risiko-gewichtete Aktiven (RWA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E5C339-D799-4B04-9B23-421523957A97}" name="Tabelle1" displayName="Tabelle1" ref="A8:AF174" totalsRowShown="0" headerRowDxfId="34" dataDxfId="33" tableBorderDxfId="32">
  <autoFilter ref="A8:AF174" xr:uid="{75E5C339-D799-4B04-9B23-421523957A97}"/>
  <tableColumns count="32">
    <tableColumn id="1" xr3:uid="{3E6E46ED-7F52-4A3B-AEA3-4350774DC935}" name="Spalte1" dataDxfId="31"/>
    <tableColumn id="2" xr3:uid="{73CB96A1-988D-4AD8-8297-85B81A8E88FF}" name="Spalte2" dataDxfId="30"/>
    <tableColumn id="3" xr3:uid="{F0EC3DC1-90BE-4937-B3EC-A521CDE0E7DA}" name="Spalte3" dataDxfId="29"/>
    <tableColumn id="4" xr3:uid="{E162FA33-96D9-447C-993E-B7541A541A19}" name="Spalte4" dataDxfId="28"/>
    <tableColumn id="5" xr3:uid="{07DE1E89-0071-4D38-BB2C-70D1C81CF42C}" name="Spalte5" dataDxfId="27"/>
    <tableColumn id="6" xr3:uid="{25581C72-61E6-49FD-93EB-8CDE0218E763}" name="Spalte6" dataDxfId="26"/>
    <tableColumn id="7" xr3:uid="{CA32E940-21FF-4DCA-83BE-963315FF8C10}" name="Spalte7" dataDxfId="25"/>
    <tableColumn id="8" xr3:uid="{956935D4-3DA1-4824-8471-DB2DE9CDF58B}" name="Spalte8" dataDxfId="24"/>
    <tableColumn id="9" xr3:uid="{093A8C00-61F7-4FEA-B5D6-0A7587642AC6}" name="Spalte9" dataDxfId="23"/>
    <tableColumn id="10" xr3:uid="{7D64C363-F762-47E2-A6D7-F80D43061744}" name="Spalte10" dataDxfId="22"/>
    <tableColumn id="11" xr3:uid="{10FE44C8-B977-41D2-AA48-7B1A2A33B18C}" name="Spalte11" dataDxfId="21"/>
    <tableColumn id="32" xr3:uid="{36561E34-ABFA-D548-AC97-BF77D21288C4}" name="Spalte112" dataDxfId="20">
      <calculatedColumnFormula>Tabelle1[[#This Row],[Spalte12]]-Tabelle1[[#This Row],[Spalte11]]</calculatedColumnFormula>
    </tableColumn>
    <tableColumn id="12" xr3:uid="{58F4C18B-5D2F-4BA8-9838-D7732C740582}" name="Spalte12" dataDxfId="19"/>
    <tableColumn id="13" xr3:uid="{5ECF0F37-91A0-4D6F-A29E-6A8AD943D425}" name="Spalte13" dataDxfId="18"/>
    <tableColumn id="14" xr3:uid="{62545A6F-64D7-4EF4-B540-40D490EA263E}" name="Spalte14" dataDxfId="17"/>
    <tableColumn id="15" xr3:uid="{ABBCD274-AD09-4F88-BFE3-11090E1DF55F}" name="Spalte15" dataDxfId="16"/>
    <tableColumn id="16" xr3:uid="{16A28724-9680-41FA-A3DC-DA4ED315E278}" name="Spalte16" dataDxfId="15"/>
    <tableColumn id="17" xr3:uid="{DDF9ED65-9F9C-4158-910F-B04504B8E8E0}" name="Spalte17" dataDxfId="14"/>
    <tableColumn id="18" xr3:uid="{A4C58B49-6ED9-424F-97D0-30D3473C1358}" name="Spalte18" dataDxfId="13"/>
    <tableColumn id="19" xr3:uid="{77239E3D-075F-44C1-8701-30A2B07F15E7}" name="Spalte19" dataDxfId="12"/>
    <tableColumn id="20" xr3:uid="{266C064D-699A-4596-8261-00C0CF989B30}" name="Spalte20" dataDxfId="11"/>
    <tableColumn id="21" xr3:uid="{8CC46B64-CA68-478F-856B-805B949EBED6}" name="Spalte21" dataDxfId="10"/>
    <tableColumn id="22" xr3:uid="{97BEC4C8-19B9-466D-AB15-A042A9395866}" name="Spalte22" dataDxfId="9"/>
    <tableColumn id="23" xr3:uid="{7658EC88-B77B-470F-9715-B2E9B22ACC60}" name="Spalte23" dataDxfId="8"/>
    <tableColumn id="24" xr3:uid="{E788F261-878A-401A-8092-443AEA699AE9}" name="Spalte24" dataDxfId="7"/>
    <tableColumn id="25" xr3:uid="{61CBDFF9-5508-4C25-A6B6-5D2A60B6F109}" name="Spalte25" dataDxfId="6"/>
    <tableColumn id="26" xr3:uid="{629FC6F1-2561-4D75-9EEA-951C18EE0506}" name="Spalte26" dataDxfId="5"/>
    <tableColumn id="27" xr3:uid="{CA0C389C-E56C-496F-9A7C-139201AB6FDC}" name="Spalte27" dataDxfId="4"/>
    <tableColumn id="28" xr3:uid="{F31C2A97-C3EE-44F9-9551-0B25D7FB273F}" name="Spalte28" dataDxfId="3"/>
    <tableColumn id="29" xr3:uid="{FEC0F9F7-DDBA-4597-AE86-C61671ECB765}" name="Spalte29" dataDxfId="2" dataCellStyle="Prozent"/>
    <tableColumn id="30" xr3:uid="{F2EFE624-C858-415B-8BEF-5100B1720A58}" name="Spalte30" dataDxfId="1"/>
    <tableColumn id="31" xr3:uid="{FE70D824-A0A1-4C0B-8838-F847247BCC93}" name="Spalte31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9F8DE-56D3-B544-9F88-7F95708DAC0E}">
  <dimension ref="A3:B28"/>
  <sheetViews>
    <sheetView tabSelected="1" workbookViewId="0">
      <selection activeCell="B7" sqref="B7"/>
    </sheetView>
  </sheetViews>
  <sheetFormatPr baseColWidth="10" defaultRowHeight="13" x14ac:dyDescent="0.15"/>
  <cols>
    <col min="1" max="1" width="30.5" bestFit="1" customWidth="1"/>
    <col min="2" max="2" width="38.6640625" bestFit="1" customWidth="1"/>
  </cols>
  <sheetData>
    <row r="3" spans="1:2" x14ac:dyDescent="0.15">
      <c r="A3" s="75" t="s">
        <v>239</v>
      </c>
      <c r="B3" t="s">
        <v>241</v>
      </c>
    </row>
    <row r="4" spans="1:2" x14ac:dyDescent="0.15">
      <c r="A4" s="76" t="s">
        <v>76</v>
      </c>
      <c r="B4" s="77">
        <v>15616428</v>
      </c>
    </row>
    <row r="5" spans="1:2" x14ac:dyDescent="0.15">
      <c r="A5" s="76" t="s">
        <v>22</v>
      </c>
      <c r="B5" s="77">
        <v>9213751</v>
      </c>
    </row>
    <row r="6" spans="1:2" x14ac:dyDescent="0.15">
      <c r="A6" s="76" t="s">
        <v>51</v>
      </c>
      <c r="B6" s="77">
        <v>7978221</v>
      </c>
    </row>
    <row r="7" spans="1:2" x14ac:dyDescent="0.15">
      <c r="A7" s="76" t="s">
        <v>10</v>
      </c>
      <c r="B7" s="77">
        <v>13309961</v>
      </c>
    </row>
    <row r="8" spans="1:2" x14ac:dyDescent="0.15">
      <c r="A8" s="76" t="s">
        <v>11</v>
      </c>
      <c r="B8" s="77">
        <v>14044154</v>
      </c>
    </row>
    <row r="9" spans="1:2" x14ac:dyDescent="0.15">
      <c r="A9" s="76" t="s">
        <v>16</v>
      </c>
      <c r="B9" s="77">
        <v>8845849</v>
      </c>
    </row>
    <row r="10" spans="1:2" x14ac:dyDescent="0.15">
      <c r="A10" s="76" t="s">
        <v>216</v>
      </c>
      <c r="B10" s="77">
        <v>4855107</v>
      </c>
    </row>
    <row r="11" spans="1:2" x14ac:dyDescent="0.15">
      <c r="A11" s="76" t="s">
        <v>25</v>
      </c>
      <c r="B11" s="77">
        <v>19352364</v>
      </c>
    </row>
    <row r="12" spans="1:2" x14ac:dyDescent="0.15">
      <c r="A12" s="76" t="s">
        <v>13</v>
      </c>
      <c r="B12" s="77">
        <v>14572514</v>
      </c>
    </row>
    <row r="13" spans="1:2" x14ac:dyDescent="0.15">
      <c r="A13" s="76" t="s">
        <v>9</v>
      </c>
      <c r="B13" s="77">
        <v>24240222</v>
      </c>
    </row>
    <row r="14" spans="1:2" x14ac:dyDescent="0.15">
      <c r="A14" s="76" t="s">
        <v>23</v>
      </c>
      <c r="B14" s="77">
        <v>15975333</v>
      </c>
    </row>
    <row r="15" spans="1:2" x14ac:dyDescent="0.15">
      <c r="A15" s="76" t="s">
        <v>104</v>
      </c>
      <c r="B15" s="77">
        <v>6396755</v>
      </c>
    </row>
    <row r="16" spans="1:2" x14ac:dyDescent="0.15">
      <c r="A16" s="76" t="s">
        <v>94</v>
      </c>
      <c r="B16" s="77">
        <v>2399511</v>
      </c>
    </row>
    <row r="17" spans="1:2" x14ac:dyDescent="0.15">
      <c r="A17" s="76" t="s">
        <v>12</v>
      </c>
      <c r="B17" s="77">
        <v>3620506</v>
      </c>
    </row>
    <row r="18" spans="1:2" x14ac:dyDescent="0.15">
      <c r="A18" s="76" t="s">
        <v>24</v>
      </c>
      <c r="B18" s="77">
        <v>14609603</v>
      </c>
    </row>
    <row r="19" spans="1:2" x14ac:dyDescent="0.15">
      <c r="A19" s="76" t="s">
        <v>225</v>
      </c>
      <c r="B19" s="77">
        <v>3751454</v>
      </c>
    </row>
    <row r="20" spans="1:2" x14ac:dyDescent="0.15">
      <c r="A20" s="76" t="s">
        <v>14</v>
      </c>
      <c r="B20" s="77">
        <v>27833554</v>
      </c>
    </row>
    <row r="21" spans="1:2" x14ac:dyDescent="0.15">
      <c r="A21" s="76" t="s">
        <v>60</v>
      </c>
      <c r="B21" s="77">
        <v>23960609</v>
      </c>
    </row>
    <row r="22" spans="1:2" x14ac:dyDescent="0.15">
      <c r="A22" s="76" t="s">
        <v>27</v>
      </c>
      <c r="B22" s="77">
        <v>4525103</v>
      </c>
    </row>
    <row r="23" spans="1:2" x14ac:dyDescent="0.15">
      <c r="A23" s="76" t="s">
        <v>28</v>
      </c>
      <c r="B23" s="77">
        <v>9583539</v>
      </c>
    </row>
    <row r="24" spans="1:2" x14ac:dyDescent="0.15">
      <c r="A24" s="76" t="s">
        <v>26</v>
      </c>
      <c r="B24" s="77">
        <v>18089630</v>
      </c>
    </row>
    <row r="25" spans="1:2" x14ac:dyDescent="0.15">
      <c r="A25" s="76" t="s">
        <v>17</v>
      </c>
      <c r="B25" s="77">
        <v>13868401</v>
      </c>
    </row>
    <row r="26" spans="1:2" x14ac:dyDescent="0.15">
      <c r="A26" s="76" t="s">
        <v>2</v>
      </c>
      <c r="B26" s="77">
        <v>15140095</v>
      </c>
    </row>
    <row r="27" spans="1:2" x14ac:dyDescent="0.15">
      <c r="A27" s="76" t="s">
        <v>29</v>
      </c>
      <c r="B27" s="77">
        <v>7977229</v>
      </c>
    </row>
    <row r="28" spans="1:2" x14ac:dyDescent="0.15">
      <c r="A28" s="76" t="s">
        <v>240</v>
      </c>
      <c r="B28" s="77">
        <v>299759893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180"/>
  <sheetViews>
    <sheetView zoomScale="143" zoomScaleNormal="100" workbookViewId="0">
      <pane ySplit="8" topLeftCell="A9" activePane="bottomLeft" state="frozen"/>
      <selection pane="bottomLeft" activeCell="A6" sqref="A6:AF174"/>
    </sheetView>
  </sheetViews>
  <sheetFormatPr baseColWidth="10" defaultColWidth="11.5" defaultRowHeight="11" x14ac:dyDescent="0.15"/>
  <cols>
    <col min="1" max="1" width="52.83203125" style="2" customWidth="1"/>
    <col min="2" max="2" width="11.1640625" style="2" customWidth="1"/>
    <col min="3" max="3" width="11.1640625" style="3" customWidth="1"/>
    <col min="4" max="4" width="12.33203125" style="3" customWidth="1"/>
    <col min="5" max="5" width="15.33203125" style="3" customWidth="1"/>
    <col min="6" max="6" width="9.83203125" style="3" customWidth="1"/>
    <col min="7" max="7" width="10.6640625" style="3" customWidth="1"/>
    <col min="8" max="8" width="10.1640625" style="4" customWidth="1"/>
    <col min="9" max="9" width="11.33203125" style="4" customWidth="1"/>
    <col min="10" max="10" width="14" style="4" customWidth="1"/>
    <col min="11" max="11" width="12.33203125" style="58" bestFit="1" customWidth="1"/>
    <col min="12" max="12" width="12.33203125" style="4" customWidth="1"/>
    <col min="13" max="13" width="9.83203125" style="4" bestFit="1" customWidth="1"/>
    <col min="14" max="14" width="9.6640625" style="4" customWidth="1"/>
    <col min="15" max="15" width="13.83203125" style="4" customWidth="1"/>
    <col min="16" max="16" width="9.83203125" style="4" bestFit="1" customWidth="1"/>
    <col min="17" max="17" width="11.5" style="3" customWidth="1"/>
    <col min="18" max="18" width="9.83203125" style="5" bestFit="1" customWidth="1"/>
    <col min="19" max="19" width="10" style="3" bestFit="1" customWidth="1"/>
    <col min="20" max="20" width="13.5" style="3" bestFit="1" customWidth="1"/>
    <col min="21" max="21" width="9.83203125" style="5" bestFit="1" customWidth="1"/>
    <col min="22" max="22" width="10" style="3" bestFit="1" customWidth="1"/>
    <col min="23" max="23" width="13.5" style="3" bestFit="1" customWidth="1"/>
    <col min="24" max="24" width="9.83203125" style="5" bestFit="1" customWidth="1"/>
    <col min="25" max="25" width="10" style="3" bestFit="1" customWidth="1"/>
    <col min="26" max="26" width="13.5" style="3" bestFit="1" customWidth="1"/>
    <col min="27" max="27" width="9.83203125" style="5" bestFit="1" customWidth="1"/>
    <col min="28" max="28" width="10" style="3" bestFit="1" customWidth="1"/>
    <col min="29" max="29" width="13.5" style="3" bestFit="1" customWidth="1"/>
    <col min="30" max="32" width="13.5" style="3" customWidth="1"/>
    <col min="33" max="16384" width="11.5" style="2"/>
  </cols>
  <sheetData>
    <row r="1" spans="1:33" ht="25.5" customHeight="1" x14ac:dyDescent="0.15">
      <c r="A1" s="1" t="s">
        <v>218</v>
      </c>
    </row>
    <row r="2" spans="1:33" ht="19.5" customHeight="1" x14ac:dyDescent="0.15">
      <c r="A2" s="6" t="s">
        <v>219</v>
      </c>
      <c r="R2" s="22"/>
    </row>
    <row r="3" spans="1:33" ht="19.5" customHeight="1" x14ac:dyDescent="0.15"/>
    <row r="4" spans="1:33" ht="30" customHeight="1" x14ac:dyDescent="0.15"/>
    <row r="5" spans="1:33" ht="23.25" customHeight="1" x14ac:dyDescent="0.15">
      <c r="C5" s="7"/>
      <c r="D5" s="7"/>
      <c r="E5" s="7"/>
      <c r="F5" s="7"/>
      <c r="G5" s="7"/>
      <c r="H5" s="8"/>
      <c r="I5" s="8"/>
      <c r="J5" s="8"/>
      <c r="K5" s="59"/>
      <c r="L5" s="8"/>
      <c r="M5" s="8"/>
      <c r="N5" s="9"/>
      <c r="O5" s="9"/>
      <c r="P5" s="9"/>
      <c r="Q5" s="7"/>
      <c r="R5" s="69" t="s">
        <v>127</v>
      </c>
      <c r="S5" s="70"/>
      <c r="T5" s="71"/>
      <c r="U5" s="69" t="s">
        <v>128</v>
      </c>
      <c r="V5" s="70"/>
      <c r="W5" s="71"/>
      <c r="X5" s="69" t="s">
        <v>129</v>
      </c>
      <c r="Y5" s="70"/>
      <c r="Z5" s="71"/>
      <c r="AA5" s="69" t="s">
        <v>130</v>
      </c>
      <c r="AB5" s="70"/>
      <c r="AC5" s="71"/>
      <c r="AD5" s="72">
        <v>45291</v>
      </c>
      <c r="AE5" s="73"/>
      <c r="AF5" s="74"/>
    </row>
    <row r="6" spans="1:33" ht="46.5" customHeight="1" x14ac:dyDescent="0.15">
      <c r="A6" s="10" t="s">
        <v>0</v>
      </c>
      <c r="B6" s="11" t="s">
        <v>131</v>
      </c>
      <c r="C6" s="12" t="s">
        <v>174</v>
      </c>
      <c r="D6" s="13" t="s">
        <v>132</v>
      </c>
      <c r="E6" s="14" t="s">
        <v>133</v>
      </c>
      <c r="F6" s="14" t="s">
        <v>134</v>
      </c>
      <c r="G6" s="14" t="s">
        <v>217</v>
      </c>
      <c r="H6" s="14" t="s">
        <v>135</v>
      </c>
      <c r="I6" s="14" t="s">
        <v>136</v>
      </c>
      <c r="J6" s="14" t="s">
        <v>137</v>
      </c>
      <c r="K6" s="60" t="s">
        <v>210</v>
      </c>
      <c r="L6" s="14" t="s">
        <v>238</v>
      </c>
      <c r="M6" s="14" t="s">
        <v>211</v>
      </c>
      <c r="N6" s="14" t="s">
        <v>212</v>
      </c>
      <c r="O6" s="14" t="s">
        <v>213</v>
      </c>
      <c r="P6" s="14" t="s">
        <v>175</v>
      </c>
      <c r="Q6" s="15" t="s">
        <v>176</v>
      </c>
      <c r="R6" s="16" t="s">
        <v>138</v>
      </c>
      <c r="S6" s="15" t="s">
        <v>139</v>
      </c>
      <c r="T6" s="17" t="s">
        <v>140</v>
      </c>
      <c r="U6" s="16" t="s">
        <v>138</v>
      </c>
      <c r="V6" s="15" t="s">
        <v>139</v>
      </c>
      <c r="W6" s="17" t="s">
        <v>140</v>
      </c>
      <c r="X6" s="15" t="s">
        <v>138</v>
      </c>
      <c r="Y6" s="15" t="s">
        <v>139</v>
      </c>
      <c r="Z6" s="15" t="s">
        <v>140</v>
      </c>
      <c r="AA6" s="16" t="s">
        <v>138</v>
      </c>
      <c r="AB6" s="15" t="s">
        <v>139</v>
      </c>
      <c r="AC6" s="17" t="s">
        <v>140</v>
      </c>
      <c r="AD6" s="16" t="s">
        <v>192</v>
      </c>
      <c r="AE6" s="15" t="s">
        <v>193</v>
      </c>
      <c r="AF6" s="17" t="s">
        <v>194</v>
      </c>
    </row>
    <row r="7" spans="1:33" ht="10.5" customHeight="1" x14ac:dyDescent="0.15">
      <c r="C7" s="7" t="s">
        <v>141</v>
      </c>
      <c r="D7" s="7" t="s">
        <v>141</v>
      </c>
      <c r="E7" s="7" t="s">
        <v>141</v>
      </c>
      <c r="F7" s="7" t="s">
        <v>141</v>
      </c>
      <c r="G7" s="7" t="s">
        <v>141</v>
      </c>
      <c r="H7" s="18"/>
      <c r="I7" s="18"/>
      <c r="J7" s="18"/>
      <c r="K7" s="61"/>
      <c r="L7" s="18"/>
      <c r="M7" s="18"/>
      <c r="N7" s="19"/>
      <c r="O7" s="19"/>
      <c r="P7" s="19"/>
      <c r="Q7" s="7" t="s">
        <v>141</v>
      </c>
      <c r="R7" s="20"/>
      <c r="S7" s="7" t="s">
        <v>141</v>
      </c>
      <c r="T7" s="21" t="s">
        <v>141</v>
      </c>
      <c r="U7" s="20"/>
      <c r="V7" s="7" t="s">
        <v>141</v>
      </c>
      <c r="W7" s="21" t="s">
        <v>141</v>
      </c>
      <c r="Y7" s="7" t="s">
        <v>141</v>
      </c>
      <c r="Z7" s="7" t="s">
        <v>141</v>
      </c>
      <c r="AA7" s="20"/>
      <c r="AB7" s="7" t="s">
        <v>141</v>
      </c>
      <c r="AC7" s="21" t="s">
        <v>141</v>
      </c>
      <c r="AD7" s="20"/>
      <c r="AE7" s="7" t="s">
        <v>141</v>
      </c>
      <c r="AF7" s="21" t="s">
        <v>141</v>
      </c>
    </row>
    <row r="8" spans="1:33" ht="14.25" hidden="1" customHeight="1" x14ac:dyDescent="0.15">
      <c r="A8" s="53" t="s">
        <v>142</v>
      </c>
      <c r="B8" s="54" t="s">
        <v>143</v>
      </c>
      <c r="C8" s="55" t="s">
        <v>144</v>
      </c>
      <c r="D8" s="55" t="s">
        <v>145</v>
      </c>
      <c r="E8" s="55" t="s">
        <v>146</v>
      </c>
      <c r="F8" s="55" t="s">
        <v>147</v>
      </c>
      <c r="G8" s="55" t="s">
        <v>148</v>
      </c>
      <c r="H8" s="56" t="s">
        <v>149</v>
      </c>
      <c r="I8" s="56" t="s">
        <v>150</v>
      </c>
      <c r="J8" s="56" t="s">
        <v>151</v>
      </c>
      <c r="K8" s="62" t="s">
        <v>152</v>
      </c>
      <c r="L8" s="56" t="s">
        <v>237</v>
      </c>
      <c r="M8" s="56" t="s">
        <v>153</v>
      </c>
      <c r="N8" s="56" t="s">
        <v>154</v>
      </c>
      <c r="O8" s="56" t="s">
        <v>155</v>
      </c>
      <c r="P8" s="56" t="s">
        <v>156</v>
      </c>
      <c r="Q8" s="55" t="s">
        <v>157</v>
      </c>
      <c r="R8" s="57" t="s">
        <v>158</v>
      </c>
      <c r="S8" s="55" t="s">
        <v>159</v>
      </c>
      <c r="T8" s="55" t="s">
        <v>160</v>
      </c>
      <c r="U8" s="57" t="s">
        <v>161</v>
      </c>
      <c r="V8" s="55" t="s">
        <v>162</v>
      </c>
      <c r="W8" s="55" t="s">
        <v>163</v>
      </c>
      <c r="X8" s="57" t="s">
        <v>164</v>
      </c>
      <c r="Y8" s="55" t="s">
        <v>165</v>
      </c>
      <c r="Z8" s="55" t="s">
        <v>166</v>
      </c>
      <c r="AA8" s="57" t="s">
        <v>167</v>
      </c>
      <c r="AB8" s="55" t="s">
        <v>168</v>
      </c>
      <c r="AC8" s="55" t="s">
        <v>169</v>
      </c>
      <c r="AD8" s="55" t="s">
        <v>189</v>
      </c>
      <c r="AE8" s="55" t="s">
        <v>190</v>
      </c>
      <c r="AF8" s="55" t="s">
        <v>191</v>
      </c>
    </row>
    <row r="9" spans="1:33" ht="10.5" customHeight="1" x14ac:dyDescent="0.15">
      <c r="A9" s="51" t="s">
        <v>76</v>
      </c>
      <c r="B9" s="41">
        <v>3</v>
      </c>
      <c r="C9" s="42">
        <v>1249314</v>
      </c>
      <c r="D9" s="42">
        <v>2945918</v>
      </c>
      <c r="E9" s="42">
        <v>2865036</v>
      </c>
      <c r="F9" s="42">
        <v>2865036</v>
      </c>
      <c r="G9" s="42">
        <v>15616428</v>
      </c>
      <c r="H9" s="43">
        <v>0.183</v>
      </c>
      <c r="I9" s="43">
        <v>0.183</v>
      </c>
      <c r="J9" s="43">
        <v>0.189</v>
      </c>
      <c r="K9" s="63">
        <v>1.2E-2</v>
      </c>
      <c r="L9" s="43">
        <f>Tabelle1[[#This Row],[Spalte12]]-Tabelle1[[#This Row],[Spalte11]]</f>
        <v>7.8E-2</v>
      </c>
      <c r="M9" s="43">
        <v>0.09</v>
      </c>
      <c r="N9" s="43">
        <v>0.108</v>
      </c>
      <c r="O9" s="43">
        <v>0.13200000000000001</v>
      </c>
      <c r="P9" s="43">
        <v>7.6999999999999999E-2</v>
      </c>
      <c r="Q9" s="42">
        <v>37233632</v>
      </c>
      <c r="R9" s="44">
        <v>1.41</v>
      </c>
      <c r="S9" s="42">
        <v>9302561</v>
      </c>
      <c r="T9" s="42">
        <v>6613652</v>
      </c>
      <c r="U9" s="44">
        <v>1.46</v>
      </c>
      <c r="V9" s="42">
        <v>9043013</v>
      </c>
      <c r="W9" s="42">
        <v>6187744</v>
      </c>
      <c r="X9" s="44">
        <v>1.47</v>
      </c>
      <c r="Y9" s="42">
        <v>8590330</v>
      </c>
      <c r="Z9" s="42">
        <v>5853175</v>
      </c>
      <c r="AA9" s="44">
        <v>1.43</v>
      </c>
      <c r="AB9" s="42">
        <v>7563266</v>
      </c>
      <c r="AC9" s="42">
        <v>5298887</v>
      </c>
      <c r="AD9" s="45">
        <v>1.45</v>
      </c>
      <c r="AE9" s="42">
        <v>26870446</v>
      </c>
      <c r="AF9" s="42">
        <v>18508872</v>
      </c>
      <c r="AG9" s="22"/>
    </row>
    <row r="10" spans="1:33" ht="10.5" customHeight="1" x14ac:dyDescent="0.15">
      <c r="A10" s="52" t="s">
        <v>3</v>
      </c>
      <c r="B10" s="46">
        <v>4</v>
      </c>
      <c r="C10" s="47">
        <v>126946</v>
      </c>
      <c r="D10" s="47">
        <v>262868</v>
      </c>
      <c r="E10" s="47">
        <v>262868</v>
      </c>
      <c r="F10" s="47">
        <v>262868</v>
      </c>
      <c r="G10" s="47">
        <v>1586829</v>
      </c>
      <c r="H10" s="48">
        <v>0.16600000000000001</v>
      </c>
      <c r="I10" s="48">
        <v>0.16600000000000001</v>
      </c>
      <c r="J10" s="48">
        <v>0.16600000000000001</v>
      </c>
      <c r="K10" s="64">
        <v>1.2E-2</v>
      </c>
      <c r="L10" s="48">
        <f>Tabelle1[[#This Row],[Spalte12]]-Tabelle1[[#This Row],[Spalte11]]</f>
        <v>7.3999999999999996E-2</v>
      </c>
      <c r="M10" s="48">
        <v>8.5999999999999993E-2</v>
      </c>
      <c r="N10" s="48">
        <v>0.10199999999999999</v>
      </c>
      <c r="O10" s="48">
        <v>0.124</v>
      </c>
      <c r="P10" s="48">
        <v>8.7999999999999995E-2</v>
      </c>
      <c r="Q10" s="47">
        <v>3004775</v>
      </c>
      <c r="R10" s="49">
        <v>1.07</v>
      </c>
      <c r="S10" s="47">
        <v>196581</v>
      </c>
      <c r="T10" s="47">
        <v>183703</v>
      </c>
      <c r="U10" s="49">
        <v>1.28</v>
      </c>
      <c r="V10" s="47">
        <v>233204</v>
      </c>
      <c r="W10" s="47">
        <v>181557</v>
      </c>
      <c r="X10" s="49">
        <v>1.29</v>
      </c>
      <c r="Y10" s="47">
        <v>240274</v>
      </c>
      <c r="Z10" s="47">
        <v>186398</v>
      </c>
      <c r="AA10" s="49">
        <v>1.29</v>
      </c>
      <c r="AB10" s="47">
        <v>261786</v>
      </c>
      <c r="AC10" s="47">
        <v>202385</v>
      </c>
      <c r="AD10" s="50">
        <v>1.21</v>
      </c>
      <c r="AE10" s="47">
        <v>2314591</v>
      </c>
      <c r="AF10" s="47">
        <v>1911238</v>
      </c>
      <c r="AG10" s="22"/>
    </row>
    <row r="11" spans="1:33" ht="10.5" customHeight="1" x14ac:dyDescent="0.15">
      <c r="A11" s="51" t="s">
        <v>196</v>
      </c>
      <c r="B11" s="41">
        <v>5</v>
      </c>
      <c r="C11" s="42">
        <v>2248</v>
      </c>
      <c r="D11" s="42">
        <v>29846</v>
      </c>
      <c r="E11" s="42">
        <v>29846</v>
      </c>
      <c r="F11" s="42">
        <v>29846</v>
      </c>
      <c r="G11" s="42">
        <v>28098</v>
      </c>
      <c r="H11" s="43">
        <v>1.0620000000000001</v>
      </c>
      <c r="I11" s="43">
        <v>1.0620000000000001</v>
      </c>
      <c r="J11" s="43">
        <v>1.0620000000000001</v>
      </c>
      <c r="K11" s="63">
        <v>0</v>
      </c>
      <c r="L11" s="43">
        <f>Tabelle1[[#This Row],[Spalte12]]-Tabelle1[[#This Row],[Spalte11]]</f>
        <v>7.0000000000000007E-2</v>
      </c>
      <c r="M11" s="43">
        <v>7.0000000000000007E-2</v>
      </c>
      <c r="N11" s="43">
        <v>8.5000000000000006E-2</v>
      </c>
      <c r="O11" s="43">
        <v>0.105</v>
      </c>
      <c r="P11" s="43">
        <v>0.437</v>
      </c>
      <c r="Q11" s="42">
        <v>68226</v>
      </c>
      <c r="R11" s="44">
        <v>55.7</v>
      </c>
      <c r="S11" s="42">
        <v>4681</v>
      </c>
      <c r="T11" s="42">
        <v>84</v>
      </c>
      <c r="U11" s="44">
        <v>46.1</v>
      </c>
      <c r="V11" s="42">
        <v>9691</v>
      </c>
      <c r="W11" s="42">
        <v>210</v>
      </c>
      <c r="X11" s="44">
        <v>31.91</v>
      </c>
      <c r="Y11" s="42">
        <v>19702</v>
      </c>
      <c r="Z11" s="42">
        <v>617</v>
      </c>
      <c r="AA11" s="44">
        <v>39.380000000000003</v>
      </c>
      <c r="AB11" s="42">
        <v>38203</v>
      </c>
      <c r="AC11" s="42">
        <v>970</v>
      </c>
      <c r="AD11" s="45">
        <v>1.5</v>
      </c>
      <c r="AE11" s="42">
        <v>119224</v>
      </c>
      <c r="AF11" s="42">
        <v>79284</v>
      </c>
      <c r="AG11" s="22"/>
    </row>
    <row r="12" spans="1:33" ht="10.5" customHeight="1" x14ac:dyDescent="0.15">
      <c r="A12" s="52" t="s">
        <v>220</v>
      </c>
      <c r="B12" s="46">
        <v>5</v>
      </c>
      <c r="C12" s="47">
        <v>13019</v>
      </c>
      <c r="D12" s="47">
        <v>103897</v>
      </c>
      <c r="E12" s="47">
        <v>103897</v>
      </c>
      <c r="F12" s="47">
        <v>103897</v>
      </c>
      <c r="G12" s="47">
        <v>162738</v>
      </c>
      <c r="H12" s="48">
        <v>0.63800000000000001</v>
      </c>
      <c r="I12" s="48">
        <v>0.63800000000000001</v>
      </c>
      <c r="J12" s="48">
        <v>0.63800000000000001</v>
      </c>
      <c r="K12" s="64">
        <v>0</v>
      </c>
      <c r="L12" s="48">
        <f>Tabelle1[[#This Row],[Spalte12]]-Tabelle1[[#This Row],[Spalte11]]</f>
        <v>7.0000000000000007E-2</v>
      </c>
      <c r="M12" s="48">
        <v>7.0000000000000007E-2</v>
      </c>
      <c r="N12" s="48">
        <v>8.5000000000000006E-2</v>
      </c>
      <c r="O12" s="48">
        <v>0.105</v>
      </c>
      <c r="P12" s="48">
        <v>0.35</v>
      </c>
      <c r="Q12" s="47">
        <v>296738</v>
      </c>
      <c r="R12" s="49">
        <v>2.9</v>
      </c>
      <c r="S12" s="47">
        <v>139670</v>
      </c>
      <c r="T12" s="47">
        <v>48219</v>
      </c>
      <c r="U12" s="49">
        <v>1.91</v>
      </c>
      <c r="V12" s="47">
        <v>159443</v>
      </c>
      <c r="W12" s="47">
        <v>83680</v>
      </c>
      <c r="X12" s="49">
        <v>1.94</v>
      </c>
      <c r="Y12" s="47">
        <v>146325</v>
      </c>
      <c r="Z12" s="47">
        <v>75378</v>
      </c>
      <c r="AA12" s="49">
        <v>2</v>
      </c>
      <c r="AB12" s="47">
        <v>131165</v>
      </c>
      <c r="AC12" s="47">
        <v>65569</v>
      </c>
      <c r="AD12" s="50">
        <v>2.31</v>
      </c>
      <c r="AE12" s="47">
        <v>213347</v>
      </c>
      <c r="AF12" s="47">
        <v>92393</v>
      </c>
      <c r="AG12" s="22"/>
    </row>
    <row r="13" spans="1:33" ht="10.5" customHeight="1" x14ac:dyDescent="0.15">
      <c r="A13" s="51" t="s">
        <v>8</v>
      </c>
      <c r="B13" s="41">
        <v>4</v>
      </c>
      <c r="C13" s="42">
        <v>147768</v>
      </c>
      <c r="D13" s="42">
        <v>368699</v>
      </c>
      <c r="E13" s="42">
        <v>368699</v>
      </c>
      <c r="F13" s="42">
        <v>368699</v>
      </c>
      <c r="G13" s="42">
        <v>1847104</v>
      </c>
      <c r="H13" s="43">
        <v>0.2</v>
      </c>
      <c r="I13" s="43">
        <v>0.2</v>
      </c>
      <c r="J13" s="43">
        <v>0.2</v>
      </c>
      <c r="K13" s="63">
        <v>1.4E-2</v>
      </c>
      <c r="L13" s="43">
        <f>Tabelle1[[#This Row],[Spalte12]]-Tabelle1[[#This Row],[Spalte11]]</f>
        <v>7.3999999999999996E-2</v>
      </c>
      <c r="M13" s="43">
        <v>8.7999999999999995E-2</v>
      </c>
      <c r="N13" s="43">
        <v>0.104</v>
      </c>
      <c r="O13" s="43">
        <v>0.126</v>
      </c>
      <c r="P13" s="43">
        <v>8.5999999999999993E-2</v>
      </c>
      <c r="Q13" s="42">
        <v>4264067</v>
      </c>
      <c r="R13" s="44">
        <v>1.31</v>
      </c>
      <c r="S13" s="42">
        <v>505805</v>
      </c>
      <c r="T13" s="42">
        <v>384839</v>
      </c>
      <c r="U13" s="44">
        <v>1.37</v>
      </c>
      <c r="V13" s="42">
        <v>489524</v>
      </c>
      <c r="W13" s="42">
        <v>357038</v>
      </c>
      <c r="X13" s="44">
        <v>1.47</v>
      </c>
      <c r="Y13" s="42">
        <v>511006</v>
      </c>
      <c r="Z13" s="42">
        <v>348234</v>
      </c>
      <c r="AA13" s="44">
        <v>1.49</v>
      </c>
      <c r="AB13" s="42">
        <v>494784</v>
      </c>
      <c r="AC13" s="42">
        <v>332970</v>
      </c>
      <c r="AD13" s="45">
        <v>1.35</v>
      </c>
      <c r="AE13" s="42">
        <v>3606845</v>
      </c>
      <c r="AF13" s="42">
        <v>2669742</v>
      </c>
      <c r="AG13" s="22"/>
    </row>
    <row r="14" spans="1:33" ht="10.5" customHeight="1" x14ac:dyDescent="0.15">
      <c r="A14" s="52" t="s">
        <v>229</v>
      </c>
      <c r="B14" s="46">
        <v>4</v>
      </c>
      <c r="C14" s="47">
        <v>207166</v>
      </c>
      <c r="D14" s="47">
        <v>516489</v>
      </c>
      <c r="E14" s="47">
        <v>510631</v>
      </c>
      <c r="F14" s="47">
        <v>516489</v>
      </c>
      <c r="G14" s="47">
        <v>2589581</v>
      </c>
      <c r="H14" s="48">
        <v>0.19700000000000001</v>
      </c>
      <c r="I14" s="48">
        <v>0.19900000000000001</v>
      </c>
      <c r="J14" s="48">
        <v>0.19900000000000001</v>
      </c>
      <c r="K14" s="64">
        <v>0</v>
      </c>
      <c r="L14" s="48">
        <f>Tabelle1[[#This Row],[Spalte12]]-Tabelle1[[#This Row],[Spalte11]]</f>
        <v>7.3999999999999996E-2</v>
      </c>
      <c r="M14" s="48">
        <v>7.3999999999999996E-2</v>
      </c>
      <c r="N14" s="48">
        <v>0.09</v>
      </c>
      <c r="O14" s="48">
        <v>0.112</v>
      </c>
      <c r="P14" s="48">
        <v>8.8999999999999996E-2</v>
      </c>
      <c r="Q14" s="47">
        <v>5791369</v>
      </c>
      <c r="R14" s="49">
        <v>3.55</v>
      </c>
      <c r="S14" s="47">
        <v>1083739</v>
      </c>
      <c r="T14" s="47">
        <v>305009</v>
      </c>
      <c r="U14" s="49">
        <v>2.68</v>
      </c>
      <c r="V14" s="47">
        <v>1392460</v>
      </c>
      <c r="W14" s="47">
        <v>519427</v>
      </c>
      <c r="X14" s="49">
        <v>3.07</v>
      </c>
      <c r="Y14" s="47">
        <v>1364432</v>
      </c>
      <c r="Z14" s="47">
        <v>444107</v>
      </c>
      <c r="AA14" s="49">
        <v>3.52</v>
      </c>
      <c r="AB14" s="47">
        <v>1533418</v>
      </c>
      <c r="AC14" s="47">
        <v>436171</v>
      </c>
      <c r="AD14" s="50">
        <v>2.04</v>
      </c>
      <c r="AE14" s="47">
        <v>2930813</v>
      </c>
      <c r="AF14" s="47">
        <v>1439477</v>
      </c>
      <c r="AG14" s="22"/>
    </row>
    <row r="15" spans="1:33" ht="10.5" customHeight="1" x14ac:dyDescent="0.15">
      <c r="A15" s="51" t="s">
        <v>83</v>
      </c>
      <c r="B15" s="41">
        <v>4</v>
      </c>
      <c r="C15" s="42">
        <v>21060</v>
      </c>
      <c r="D15" s="42">
        <v>91631</v>
      </c>
      <c r="E15" s="42">
        <v>71631</v>
      </c>
      <c r="F15" s="42">
        <v>91631</v>
      </c>
      <c r="G15" s="42">
        <v>263252</v>
      </c>
      <c r="H15" s="43">
        <v>0.27200000000000002</v>
      </c>
      <c r="I15" s="43">
        <v>0.34799999999999998</v>
      </c>
      <c r="J15" s="43">
        <v>0.34799999999999998</v>
      </c>
      <c r="K15" s="63">
        <v>0</v>
      </c>
      <c r="L15" s="43">
        <f>Tabelle1[[#This Row],[Spalte12]]-Tabelle1[[#This Row],[Spalte11]]</f>
        <v>7.3999999999999996E-2</v>
      </c>
      <c r="M15" s="43">
        <v>7.3999999999999996E-2</v>
      </c>
      <c r="N15" s="43">
        <v>0.09</v>
      </c>
      <c r="O15" s="43">
        <v>0.112</v>
      </c>
      <c r="P15" s="43">
        <v>7.0999999999999994E-2</v>
      </c>
      <c r="Q15" s="42">
        <v>1298402</v>
      </c>
      <c r="R15" s="44">
        <v>4.07</v>
      </c>
      <c r="S15" s="42">
        <v>480612</v>
      </c>
      <c r="T15" s="42">
        <v>118101</v>
      </c>
      <c r="U15" s="44">
        <v>4.45</v>
      </c>
      <c r="V15" s="42">
        <v>527743</v>
      </c>
      <c r="W15" s="42">
        <v>118529</v>
      </c>
      <c r="X15" s="44">
        <v>3.9</v>
      </c>
      <c r="Y15" s="42">
        <v>405432</v>
      </c>
      <c r="Z15" s="42">
        <v>104064</v>
      </c>
      <c r="AA15" s="44">
        <v>4.9000000000000004</v>
      </c>
      <c r="AB15" s="42">
        <v>466163</v>
      </c>
      <c r="AC15" s="42">
        <v>95216</v>
      </c>
      <c r="AD15" s="45">
        <v>3.27</v>
      </c>
      <c r="AE15" s="42">
        <v>844156</v>
      </c>
      <c r="AF15" s="42">
        <v>257852</v>
      </c>
      <c r="AG15" s="22"/>
    </row>
    <row r="16" spans="1:33" ht="10.5" customHeight="1" x14ac:dyDescent="0.15">
      <c r="A16" s="52" t="s">
        <v>197</v>
      </c>
      <c r="B16" s="46">
        <v>4</v>
      </c>
      <c r="C16" s="47">
        <v>279805</v>
      </c>
      <c r="D16" s="47">
        <v>547323</v>
      </c>
      <c r="E16" s="47">
        <v>440968</v>
      </c>
      <c r="F16" s="47">
        <v>480968</v>
      </c>
      <c r="G16" s="47">
        <v>3497567</v>
      </c>
      <c r="H16" s="48">
        <v>0.126</v>
      </c>
      <c r="I16" s="48">
        <v>0.13800000000000001</v>
      </c>
      <c r="J16" s="48">
        <v>0.156</v>
      </c>
      <c r="K16" s="64">
        <v>1.7999999999999999E-2</v>
      </c>
      <c r="L16" s="48">
        <f>Tabelle1[[#This Row],[Spalte12]]-Tabelle1[[#This Row],[Spalte11]]</f>
        <v>7.3999999999999996E-2</v>
      </c>
      <c r="M16" s="48">
        <v>9.1999999999999998E-2</v>
      </c>
      <c r="N16" s="48">
        <v>0.108</v>
      </c>
      <c r="O16" s="48">
        <v>0.13</v>
      </c>
      <c r="P16" s="48">
        <v>5.3999999999999999E-2</v>
      </c>
      <c r="Q16" s="47">
        <v>8882817</v>
      </c>
      <c r="R16" s="49">
        <v>1.84</v>
      </c>
      <c r="S16" s="47">
        <v>1054855</v>
      </c>
      <c r="T16" s="47">
        <v>574243</v>
      </c>
      <c r="U16" s="49">
        <v>2.0699999999999998</v>
      </c>
      <c r="V16" s="47">
        <v>1034380</v>
      </c>
      <c r="W16" s="47">
        <v>500488</v>
      </c>
      <c r="X16" s="49">
        <v>2.04</v>
      </c>
      <c r="Y16" s="47">
        <v>997614</v>
      </c>
      <c r="Z16" s="47">
        <v>489201</v>
      </c>
      <c r="AA16" s="49">
        <v>2.11</v>
      </c>
      <c r="AB16" s="47">
        <v>993469</v>
      </c>
      <c r="AC16" s="47">
        <v>471507</v>
      </c>
      <c r="AD16" s="50">
        <v>1.31</v>
      </c>
      <c r="AE16" s="47">
        <v>7988123</v>
      </c>
      <c r="AF16" s="47">
        <v>6089451</v>
      </c>
      <c r="AG16" s="22"/>
    </row>
    <row r="17" spans="1:33" ht="10.5" customHeight="1" x14ac:dyDescent="0.15">
      <c r="A17" s="51" t="s">
        <v>84</v>
      </c>
      <c r="B17" s="41">
        <v>5</v>
      </c>
      <c r="C17" s="42">
        <v>1784</v>
      </c>
      <c r="D17" s="42">
        <v>26318</v>
      </c>
      <c r="E17" s="42">
        <v>26318</v>
      </c>
      <c r="F17" s="42">
        <v>26318</v>
      </c>
      <c r="G17" s="42">
        <v>22298</v>
      </c>
      <c r="H17" s="43">
        <v>1.18</v>
      </c>
      <c r="I17" s="43">
        <v>1.18</v>
      </c>
      <c r="J17" s="43">
        <v>1.18</v>
      </c>
      <c r="K17" s="63">
        <v>0</v>
      </c>
      <c r="L17" s="43">
        <f>Tabelle1[[#This Row],[Spalte12]]-Tabelle1[[#This Row],[Spalte11]]</f>
        <v>7.0000000000000007E-2</v>
      </c>
      <c r="M17" s="43">
        <v>7.0000000000000007E-2</v>
      </c>
      <c r="N17" s="43">
        <v>8.5000000000000006E-2</v>
      </c>
      <c r="O17" s="43">
        <v>0.105</v>
      </c>
      <c r="P17" s="43">
        <v>0.40500000000000003</v>
      </c>
      <c r="Q17" s="42">
        <v>64994</v>
      </c>
      <c r="R17" s="44">
        <v>1.9</v>
      </c>
      <c r="S17" s="42">
        <v>18952</v>
      </c>
      <c r="T17" s="42">
        <v>9952</v>
      </c>
      <c r="U17" s="44">
        <v>1.23</v>
      </c>
      <c r="V17" s="42">
        <v>7373</v>
      </c>
      <c r="W17" s="42">
        <v>5972</v>
      </c>
      <c r="X17" s="44">
        <v>1.3</v>
      </c>
      <c r="Y17" s="42">
        <v>6057</v>
      </c>
      <c r="Z17" s="42">
        <v>4669</v>
      </c>
      <c r="AA17" s="44">
        <v>1.5</v>
      </c>
      <c r="AB17" s="42">
        <v>5893</v>
      </c>
      <c r="AC17" s="42">
        <v>3936</v>
      </c>
      <c r="AD17" s="45">
        <v>2.75</v>
      </c>
      <c r="AE17" s="42">
        <v>46841</v>
      </c>
      <c r="AF17" s="42">
        <v>17054</v>
      </c>
      <c r="AG17" s="22"/>
    </row>
    <row r="18" spans="1:33" ht="10.5" customHeight="1" x14ac:dyDescent="0.15">
      <c r="A18" s="52" t="s">
        <v>105</v>
      </c>
      <c r="B18" s="46">
        <v>5</v>
      </c>
      <c r="C18" s="47">
        <v>5942</v>
      </c>
      <c r="D18" s="47">
        <v>31301</v>
      </c>
      <c r="E18" s="47">
        <v>31301</v>
      </c>
      <c r="F18" s="47">
        <v>31301</v>
      </c>
      <c r="G18" s="47">
        <v>74278</v>
      </c>
      <c r="H18" s="48">
        <v>0.42099999999999999</v>
      </c>
      <c r="I18" s="48">
        <v>0.42099999999999999</v>
      </c>
      <c r="J18" s="48">
        <v>0.42099999999999999</v>
      </c>
      <c r="K18" s="64">
        <v>2E-3</v>
      </c>
      <c r="L18" s="48">
        <f>Tabelle1[[#This Row],[Spalte12]]-Tabelle1[[#This Row],[Spalte11]]</f>
        <v>6.9999999999999993E-2</v>
      </c>
      <c r="M18" s="48">
        <v>7.1999999999999995E-2</v>
      </c>
      <c r="N18" s="48">
        <v>8.6999999999999994E-2</v>
      </c>
      <c r="O18" s="48">
        <v>0.107</v>
      </c>
      <c r="P18" s="48">
        <v>8.1000000000000003E-2</v>
      </c>
      <c r="Q18" s="47">
        <v>387662</v>
      </c>
      <c r="R18" s="49">
        <v>1.22</v>
      </c>
      <c r="S18" s="47">
        <v>52290</v>
      </c>
      <c r="T18" s="47">
        <v>42706</v>
      </c>
      <c r="U18" s="49">
        <v>1.34</v>
      </c>
      <c r="V18" s="47">
        <v>51482</v>
      </c>
      <c r="W18" s="47">
        <v>38302</v>
      </c>
      <c r="X18" s="49">
        <v>1.18</v>
      </c>
      <c r="Y18" s="47">
        <v>45227</v>
      </c>
      <c r="Z18" s="47">
        <v>38478</v>
      </c>
      <c r="AA18" s="49">
        <v>1.29</v>
      </c>
      <c r="AB18" s="47">
        <v>47037</v>
      </c>
      <c r="AC18" s="47">
        <v>36339</v>
      </c>
      <c r="AD18" s="50">
        <v>1.92</v>
      </c>
      <c r="AE18" s="47">
        <v>190085</v>
      </c>
      <c r="AF18" s="47">
        <v>99136</v>
      </c>
      <c r="AG18" s="22"/>
    </row>
    <row r="19" spans="1:33" ht="10.5" customHeight="1" x14ac:dyDescent="0.15">
      <c r="A19" s="51" t="s">
        <v>43</v>
      </c>
      <c r="B19" s="41">
        <v>5</v>
      </c>
      <c r="C19" s="42">
        <v>34583</v>
      </c>
      <c r="D19" s="42">
        <v>127127</v>
      </c>
      <c r="E19" s="42">
        <v>127127</v>
      </c>
      <c r="F19" s="42">
        <v>127127</v>
      </c>
      <c r="G19" s="42">
        <v>432285</v>
      </c>
      <c r="H19" s="43">
        <v>0.29399999999999998</v>
      </c>
      <c r="I19" s="43">
        <v>0.29399999999999998</v>
      </c>
      <c r="J19" s="43">
        <v>0.29399999999999998</v>
      </c>
      <c r="K19" s="63">
        <v>2E-3</v>
      </c>
      <c r="L19" s="43">
        <f>Tabelle1[[#This Row],[Spalte12]]-Tabelle1[[#This Row],[Spalte11]]</f>
        <v>6.9999999999999993E-2</v>
      </c>
      <c r="M19" s="43">
        <v>7.1999999999999995E-2</v>
      </c>
      <c r="N19" s="43">
        <v>8.6999999999999994E-2</v>
      </c>
      <c r="O19" s="43">
        <v>0.107</v>
      </c>
      <c r="P19" s="43">
        <v>0.16800000000000001</v>
      </c>
      <c r="Q19" s="42">
        <v>755038</v>
      </c>
      <c r="R19" s="44">
        <v>2.19</v>
      </c>
      <c r="S19" s="42">
        <v>104389</v>
      </c>
      <c r="T19" s="42">
        <v>47654</v>
      </c>
      <c r="U19" s="44">
        <v>2.59</v>
      </c>
      <c r="V19" s="42">
        <v>89944</v>
      </c>
      <c r="W19" s="42">
        <v>34709</v>
      </c>
      <c r="X19" s="44">
        <v>2.77</v>
      </c>
      <c r="Y19" s="42">
        <v>80713</v>
      </c>
      <c r="Z19" s="42">
        <v>29086</v>
      </c>
      <c r="AA19" s="44">
        <v>3.03</v>
      </c>
      <c r="AB19" s="42">
        <v>69895</v>
      </c>
      <c r="AC19" s="42">
        <v>23084</v>
      </c>
      <c r="AD19" s="45">
        <v>1.71</v>
      </c>
      <c r="AE19" s="42">
        <v>600705</v>
      </c>
      <c r="AF19" s="42">
        <v>350935</v>
      </c>
      <c r="AG19" s="22"/>
    </row>
    <row r="20" spans="1:33" ht="10.5" customHeight="1" x14ac:dyDescent="0.15">
      <c r="A20" s="52" t="s">
        <v>22</v>
      </c>
      <c r="B20" s="46">
        <v>3</v>
      </c>
      <c r="C20" s="47">
        <v>737100</v>
      </c>
      <c r="D20" s="47">
        <v>1726232</v>
      </c>
      <c r="E20" s="47">
        <v>1434425</v>
      </c>
      <c r="F20" s="47">
        <v>1484425</v>
      </c>
      <c r="G20" s="47">
        <v>9213751</v>
      </c>
      <c r="H20" s="48">
        <v>0.156</v>
      </c>
      <c r="I20" s="48">
        <v>0.161</v>
      </c>
      <c r="J20" s="48">
        <v>0.187</v>
      </c>
      <c r="K20" s="64">
        <v>8.9999999999999993E-3</v>
      </c>
      <c r="L20" s="48">
        <f>Tabelle1[[#This Row],[Spalte12]]-Tabelle1[[#This Row],[Spalte11]]</f>
        <v>7.8E-2</v>
      </c>
      <c r="M20" s="48">
        <v>8.6999999999999994E-2</v>
      </c>
      <c r="N20" s="48">
        <v>0.105</v>
      </c>
      <c r="O20" s="48">
        <v>0.129</v>
      </c>
      <c r="P20" s="48">
        <v>0.08</v>
      </c>
      <c r="Q20" s="47">
        <v>18508530</v>
      </c>
      <c r="R20" s="49">
        <v>1.66</v>
      </c>
      <c r="S20" s="47">
        <v>3622840</v>
      </c>
      <c r="T20" s="47">
        <v>2180935</v>
      </c>
      <c r="U20" s="49">
        <v>1.59</v>
      </c>
      <c r="V20" s="47">
        <v>3224087</v>
      </c>
      <c r="W20" s="47">
        <v>2024530</v>
      </c>
      <c r="X20" s="49">
        <v>1.58</v>
      </c>
      <c r="Y20" s="47">
        <v>2645195</v>
      </c>
      <c r="Z20" s="47">
        <v>1674753</v>
      </c>
      <c r="AA20" s="49">
        <v>1.58</v>
      </c>
      <c r="AB20" s="47">
        <v>2520342</v>
      </c>
      <c r="AC20" s="47">
        <v>1600215</v>
      </c>
      <c r="AD20" s="50">
        <v>1.32</v>
      </c>
      <c r="AE20" s="47">
        <v>14568488</v>
      </c>
      <c r="AF20" s="47">
        <v>11072320</v>
      </c>
      <c r="AG20" s="22"/>
    </row>
    <row r="21" spans="1:33" ht="10.5" customHeight="1" x14ac:dyDescent="0.15">
      <c r="A21" s="51" t="s">
        <v>82</v>
      </c>
      <c r="B21" s="41">
        <v>4</v>
      </c>
      <c r="C21" s="42">
        <v>202444</v>
      </c>
      <c r="D21" s="42">
        <v>463096</v>
      </c>
      <c r="E21" s="42">
        <v>463096</v>
      </c>
      <c r="F21" s="42">
        <v>463096</v>
      </c>
      <c r="G21" s="42">
        <v>2530545</v>
      </c>
      <c r="H21" s="43">
        <v>0.183</v>
      </c>
      <c r="I21" s="43">
        <v>0.183</v>
      </c>
      <c r="J21" s="43">
        <v>0.183</v>
      </c>
      <c r="K21" s="63">
        <v>1.6E-2</v>
      </c>
      <c r="L21" s="43">
        <f>Tabelle1[[#This Row],[Spalte12]]-Tabelle1[[#This Row],[Spalte11]]</f>
        <v>7.3999999999999996E-2</v>
      </c>
      <c r="M21" s="43">
        <v>0.09</v>
      </c>
      <c r="N21" s="43">
        <v>0.106</v>
      </c>
      <c r="O21" s="43">
        <v>0.128</v>
      </c>
      <c r="P21" s="43">
        <v>7.0000000000000007E-2</v>
      </c>
      <c r="Q21" s="42">
        <v>6618597</v>
      </c>
      <c r="R21" s="44">
        <v>1.69</v>
      </c>
      <c r="S21" s="42">
        <v>915188</v>
      </c>
      <c r="T21" s="42">
        <v>542104</v>
      </c>
      <c r="U21" s="44">
        <v>1.61</v>
      </c>
      <c r="V21" s="42">
        <v>911835</v>
      </c>
      <c r="W21" s="42">
        <v>567484</v>
      </c>
      <c r="X21" s="44">
        <v>1.66</v>
      </c>
      <c r="Y21" s="42">
        <v>916096</v>
      </c>
      <c r="Z21" s="42">
        <v>552613</v>
      </c>
      <c r="AA21" s="44">
        <v>1.43</v>
      </c>
      <c r="AB21" s="42">
        <v>728500</v>
      </c>
      <c r="AC21" s="42">
        <v>507921</v>
      </c>
      <c r="AD21" s="45">
        <v>1.18</v>
      </c>
      <c r="AE21" s="42">
        <v>4647112</v>
      </c>
      <c r="AF21" s="42">
        <v>3951767</v>
      </c>
      <c r="AG21" s="22"/>
    </row>
    <row r="22" spans="1:33" ht="10.5" customHeight="1" x14ac:dyDescent="0.15">
      <c r="A22" s="52" t="s">
        <v>96</v>
      </c>
      <c r="B22" s="46">
        <v>5</v>
      </c>
      <c r="C22" s="47">
        <v>15190</v>
      </c>
      <c r="D22" s="47">
        <v>70557</v>
      </c>
      <c r="E22" s="47">
        <v>70557</v>
      </c>
      <c r="F22" s="47">
        <v>70557</v>
      </c>
      <c r="G22" s="47">
        <v>189870</v>
      </c>
      <c r="H22" s="48">
        <v>0.372</v>
      </c>
      <c r="I22" s="48">
        <v>0.372</v>
      </c>
      <c r="J22" s="48">
        <v>0.372</v>
      </c>
      <c r="K22" s="64">
        <v>1E-3</v>
      </c>
      <c r="L22" s="48">
        <f>Tabelle1[[#This Row],[Spalte12]]-Tabelle1[[#This Row],[Spalte11]]</f>
        <v>6.9999999999999993E-2</v>
      </c>
      <c r="M22" s="48">
        <v>7.0999999999999994E-2</v>
      </c>
      <c r="N22" s="48">
        <v>8.5999999999999993E-2</v>
      </c>
      <c r="O22" s="48">
        <v>0.106</v>
      </c>
      <c r="P22" s="48">
        <v>0.23899999999999999</v>
      </c>
      <c r="Q22" s="47">
        <v>294652</v>
      </c>
      <c r="R22" s="49">
        <v>1.68</v>
      </c>
      <c r="S22" s="47">
        <v>56443</v>
      </c>
      <c r="T22" s="47">
        <v>33566</v>
      </c>
      <c r="U22" s="49">
        <v>1.96</v>
      </c>
      <c r="V22" s="47">
        <v>56232</v>
      </c>
      <c r="W22" s="47">
        <v>28693</v>
      </c>
      <c r="X22" s="49">
        <v>1.47</v>
      </c>
      <c r="Y22" s="47">
        <v>37873</v>
      </c>
      <c r="Z22" s="47">
        <v>25815</v>
      </c>
      <c r="AA22" s="49">
        <v>1.63</v>
      </c>
      <c r="AB22" s="47">
        <v>35467</v>
      </c>
      <c r="AC22" s="47">
        <v>21811</v>
      </c>
      <c r="AD22" s="50">
        <v>1.61</v>
      </c>
      <c r="AE22" s="47">
        <v>192867</v>
      </c>
      <c r="AF22" s="47">
        <v>119799</v>
      </c>
      <c r="AG22" s="22"/>
    </row>
    <row r="23" spans="1:33" ht="10.5" customHeight="1" x14ac:dyDescent="0.15">
      <c r="A23" s="51" t="s">
        <v>123</v>
      </c>
      <c r="B23" s="41">
        <v>4</v>
      </c>
      <c r="C23" s="42">
        <v>93031</v>
      </c>
      <c r="D23" s="42">
        <v>1225624</v>
      </c>
      <c r="E23" s="42">
        <v>1224854</v>
      </c>
      <c r="F23" s="42">
        <v>1224854</v>
      </c>
      <c r="G23" s="42">
        <v>1162892</v>
      </c>
      <c r="H23" s="43">
        <v>1.0529999999999999</v>
      </c>
      <c r="I23" s="43">
        <v>1.0529999999999999</v>
      </c>
      <c r="J23" s="43">
        <v>1.054</v>
      </c>
      <c r="K23" s="63">
        <v>0</v>
      </c>
      <c r="L23" s="43">
        <f>Tabelle1[[#This Row],[Spalte12]]-Tabelle1[[#This Row],[Spalte11]]</f>
        <v>7.3999999999999996E-2</v>
      </c>
      <c r="M23" s="43">
        <v>7.3999999999999996E-2</v>
      </c>
      <c r="N23" s="43">
        <v>0.09</v>
      </c>
      <c r="O23" s="43">
        <v>0.112</v>
      </c>
      <c r="P23" s="43">
        <v>0.34799999999999998</v>
      </c>
      <c r="Q23" s="42">
        <v>3522756</v>
      </c>
      <c r="R23" s="44">
        <v>1.93</v>
      </c>
      <c r="S23" s="42">
        <v>924605</v>
      </c>
      <c r="T23" s="42">
        <v>479433</v>
      </c>
      <c r="U23" s="44">
        <v>2.0499999999999998</v>
      </c>
      <c r="V23" s="42">
        <v>783307</v>
      </c>
      <c r="W23" s="42">
        <v>381257</v>
      </c>
      <c r="X23" s="44">
        <v>2.09</v>
      </c>
      <c r="Y23" s="42">
        <v>750798</v>
      </c>
      <c r="Z23" s="42">
        <v>358535</v>
      </c>
      <c r="AA23" s="44">
        <v>3.01</v>
      </c>
      <c r="AB23" s="42">
        <v>932451</v>
      </c>
      <c r="AC23" s="42">
        <v>309459</v>
      </c>
      <c r="AD23" s="45">
        <v>2.0499999999999998</v>
      </c>
      <c r="AE23" s="42">
        <v>2535490</v>
      </c>
      <c r="AF23" s="42">
        <v>1238591</v>
      </c>
      <c r="AG23" s="22"/>
    </row>
    <row r="24" spans="1:33" ht="10.5" customHeight="1" x14ac:dyDescent="0.15">
      <c r="A24" s="52" t="s">
        <v>124</v>
      </c>
      <c r="B24" s="46">
        <v>4</v>
      </c>
      <c r="C24" s="47">
        <v>164754</v>
      </c>
      <c r="D24" s="47">
        <v>335839</v>
      </c>
      <c r="E24" s="47">
        <v>335839</v>
      </c>
      <c r="F24" s="47">
        <v>335839</v>
      </c>
      <c r="G24" s="47">
        <v>2059422</v>
      </c>
      <c r="H24" s="48">
        <v>0.16300000000000001</v>
      </c>
      <c r="I24" s="48">
        <v>0.16300000000000001</v>
      </c>
      <c r="J24" s="48">
        <v>0.16300000000000001</v>
      </c>
      <c r="K24" s="64">
        <v>1.7000000000000001E-2</v>
      </c>
      <c r="L24" s="48">
        <f>Tabelle1[[#This Row],[Spalte12]]-Tabelle1[[#This Row],[Spalte11]]</f>
        <v>7.3999999999999996E-2</v>
      </c>
      <c r="M24" s="48">
        <v>9.0999999999999998E-2</v>
      </c>
      <c r="N24" s="48">
        <v>0.107</v>
      </c>
      <c r="O24" s="48">
        <v>0.129</v>
      </c>
      <c r="P24" s="48">
        <v>6.6000000000000003E-2</v>
      </c>
      <c r="Q24" s="47">
        <v>5112642</v>
      </c>
      <c r="R24" s="49">
        <v>1.55</v>
      </c>
      <c r="S24" s="47">
        <v>447785</v>
      </c>
      <c r="T24" s="47">
        <v>289145</v>
      </c>
      <c r="U24" s="49">
        <v>1.88</v>
      </c>
      <c r="V24" s="47">
        <v>539644</v>
      </c>
      <c r="W24" s="47">
        <v>286722</v>
      </c>
      <c r="X24" s="49">
        <v>1.9</v>
      </c>
      <c r="Y24" s="47">
        <v>555669</v>
      </c>
      <c r="Z24" s="47">
        <v>291902</v>
      </c>
      <c r="AA24" s="49">
        <v>1.89</v>
      </c>
      <c r="AB24" s="47">
        <v>549222</v>
      </c>
      <c r="AC24" s="47">
        <v>290365</v>
      </c>
      <c r="AD24" s="50">
        <v>1.37</v>
      </c>
      <c r="AE24" s="47">
        <v>4487953</v>
      </c>
      <c r="AF24" s="47">
        <v>3279323</v>
      </c>
      <c r="AG24" s="22"/>
    </row>
    <row r="25" spans="1:33" ht="10.5" customHeight="1" x14ac:dyDescent="0.15">
      <c r="A25" s="51" t="s">
        <v>59</v>
      </c>
      <c r="B25" s="41">
        <v>5</v>
      </c>
      <c r="C25" s="42">
        <v>41347</v>
      </c>
      <c r="D25" s="42">
        <v>89206</v>
      </c>
      <c r="E25" s="42">
        <v>89206</v>
      </c>
      <c r="F25" s="42">
        <v>89206</v>
      </c>
      <c r="G25" s="42">
        <v>516834</v>
      </c>
      <c r="H25" s="43">
        <v>0.17299999999999999</v>
      </c>
      <c r="I25" s="43">
        <v>0.17299999999999999</v>
      </c>
      <c r="J25" s="43">
        <v>0.17299999999999999</v>
      </c>
      <c r="K25" s="63">
        <v>1.7000000000000001E-2</v>
      </c>
      <c r="L25" s="43">
        <f>Tabelle1[[#This Row],[Spalte12]]-Tabelle1[[#This Row],[Spalte11]]</f>
        <v>6.9999999999999993E-2</v>
      </c>
      <c r="M25" s="43">
        <v>8.6999999999999994E-2</v>
      </c>
      <c r="N25" s="43">
        <v>0.10199999999999999</v>
      </c>
      <c r="O25" s="43">
        <v>0.122</v>
      </c>
      <c r="P25" s="43">
        <v>7.3999999999999996E-2</v>
      </c>
      <c r="Q25" s="42">
        <v>1206025</v>
      </c>
      <c r="R25" s="44">
        <v>1.55</v>
      </c>
      <c r="S25" s="42">
        <v>92633</v>
      </c>
      <c r="T25" s="42">
        <v>59852</v>
      </c>
      <c r="U25" s="44">
        <v>1.74</v>
      </c>
      <c r="V25" s="42">
        <v>96397</v>
      </c>
      <c r="W25" s="42">
        <v>55358</v>
      </c>
      <c r="X25" s="44">
        <v>1.85</v>
      </c>
      <c r="Y25" s="42">
        <v>104029</v>
      </c>
      <c r="Z25" s="42">
        <v>56115</v>
      </c>
      <c r="AA25" s="44">
        <v>1.77</v>
      </c>
      <c r="AB25" s="42">
        <v>85711</v>
      </c>
      <c r="AC25" s="42">
        <v>48435</v>
      </c>
      <c r="AD25" s="45">
        <v>1.3</v>
      </c>
      <c r="AE25" s="42">
        <v>1108698</v>
      </c>
      <c r="AF25" s="42">
        <v>853668</v>
      </c>
      <c r="AG25" s="22"/>
    </row>
    <row r="26" spans="1:33" ht="10.5" customHeight="1" x14ac:dyDescent="0.15">
      <c r="A26" s="52" t="s">
        <v>66</v>
      </c>
      <c r="B26" s="46">
        <v>4</v>
      </c>
      <c r="C26" s="47">
        <v>465595</v>
      </c>
      <c r="D26" s="47">
        <v>853763</v>
      </c>
      <c r="E26" s="47">
        <v>621080</v>
      </c>
      <c r="F26" s="47">
        <v>711080</v>
      </c>
      <c r="G26" s="47">
        <v>5819934</v>
      </c>
      <c r="H26" s="48">
        <v>0.107</v>
      </c>
      <c r="I26" s="48">
        <v>0.122</v>
      </c>
      <c r="J26" s="48">
        <v>0.14699999999999999</v>
      </c>
      <c r="K26" s="64">
        <v>8.9999999999999993E-3</v>
      </c>
      <c r="L26" s="48">
        <f>Tabelle1[[#This Row],[Spalte12]]-Tabelle1[[#This Row],[Spalte11]]</f>
        <v>7.400000000000001E-2</v>
      </c>
      <c r="M26" s="48">
        <v>8.3000000000000004E-2</v>
      </c>
      <c r="N26" s="48">
        <v>9.9000000000000005E-2</v>
      </c>
      <c r="O26" s="48">
        <v>0.121</v>
      </c>
      <c r="P26" s="48">
        <v>5.3999999999999999E-2</v>
      </c>
      <c r="Q26" s="47">
        <v>13047360</v>
      </c>
      <c r="R26" s="49">
        <v>1.41</v>
      </c>
      <c r="S26" s="47">
        <v>1772853</v>
      </c>
      <c r="T26" s="47">
        <v>1254672</v>
      </c>
      <c r="U26" s="49">
        <v>1.96</v>
      </c>
      <c r="V26" s="47">
        <v>1226207</v>
      </c>
      <c r="W26" s="47">
        <v>625967</v>
      </c>
      <c r="X26" s="49">
        <v>2.3199999999999998</v>
      </c>
      <c r="Y26" s="47">
        <v>1339896</v>
      </c>
      <c r="Z26" s="47">
        <v>576783</v>
      </c>
      <c r="AA26" s="49">
        <v>2.57</v>
      </c>
      <c r="AB26" s="47">
        <v>1781950</v>
      </c>
      <c r="AC26" s="47">
        <v>694258</v>
      </c>
      <c r="AD26" s="50">
        <v>1.1599999999999999</v>
      </c>
      <c r="AE26" s="47">
        <v>7908427</v>
      </c>
      <c r="AF26" s="47">
        <v>6843199</v>
      </c>
      <c r="AG26" s="22"/>
    </row>
    <row r="27" spans="1:33" ht="10.5" customHeight="1" x14ac:dyDescent="0.15">
      <c r="A27" s="51" t="s">
        <v>51</v>
      </c>
      <c r="B27" s="41">
        <v>3</v>
      </c>
      <c r="C27" s="42">
        <v>638258</v>
      </c>
      <c r="D27" s="42">
        <v>1459743</v>
      </c>
      <c r="E27" s="42">
        <v>1349947</v>
      </c>
      <c r="F27" s="42">
        <v>1439947</v>
      </c>
      <c r="G27" s="42">
        <v>7978221</v>
      </c>
      <c r="H27" s="43">
        <v>0.16900000000000001</v>
      </c>
      <c r="I27" s="43">
        <v>0.18</v>
      </c>
      <c r="J27" s="43">
        <v>0.183</v>
      </c>
      <c r="K27" s="63">
        <v>1.7999999999999999E-2</v>
      </c>
      <c r="L27" s="43">
        <f>Tabelle1[[#This Row],[Spalte12]]-Tabelle1[[#This Row],[Spalte11]]</f>
        <v>7.8E-2</v>
      </c>
      <c r="M27" s="43">
        <v>9.6000000000000002E-2</v>
      </c>
      <c r="N27" s="43">
        <v>0.114</v>
      </c>
      <c r="O27" s="43">
        <v>0.13800000000000001</v>
      </c>
      <c r="P27" s="43">
        <v>7.0999999999999994E-2</v>
      </c>
      <c r="Q27" s="42">
        <v>20295270</v>
      </c>
      <c r="R27" s="44">
        <v>1.51</v>
      </c>
      <c r="S27" s="42">
        <v>2439570</v>
      </c>
      <c r="T27" s="42">
        <v>1620388</v>
      </c>
      <c r="U27" s="44">
        <v>1.52</v>
      </c>
      <c r="V27" s="42">
        <v>2527101</v>
      </c>
      <c r="W27" s="42">
        <v>1665708</v>
      </c>
      <c r="X27" s="44">
        <v>1.62</v>
      </c>
      <c r="Y27" s="42">
        <v>2445139</v>
      </c>
      <c r="Z27" s="42">
        <v>1512884</v>
      </c>
      <c r="AA27" s="44">
        <v>1.82</v>
      </c>
      <c r="AB27" s="42">
        <v>2291970</v>
      </c>
      <c r="AC27" s="42">
        <v>1257832</v>
      </c>
      <c r="AD27" s="45">
        <v>1.26</v>
      </c>
      <c r="AE27" s="42">
        <v>16151860</v>
      </c>
      <c r="AF27" s="42">
        <v>12786057</v>
      </c>
      <c r="AG27" s="22"/>
    </row>
    <row r="28" spans="1:33" ht="10.5" customHeight="1" x14ac:dyDescent="0.15">
      <c r="A28" s="52" t="s">
        <v>19</v>
      </c>
      <c r="B28" s="46">
        <v>4</v>
      </c>
      <c r="C28" s="47">
        <v>57951</v>
      </c>
      <c r="D28" s="47">
        <v>134269</v>
      </c>
      <c r="E28" s="47">
        <v>125269</v>
      </c>
      <c r="F28" s="47">
        <v>125269</v>
      </c>
      <c r="G28" s="47">
        <v>724382</v>
      </c>
      <c r="H28" s="48">
        <v>0.17299999999999999</v>
      </c>
      <c r="I28" s="48">
        <v>0.17299999999999999</v>
      </c>
      <c r="J28" s="48">
        <v>0.185</v>
      </c>
      <c r="K28" s="64">
        <v>1.4E-2</v>
      </c>
      <c r="L28" s="48">
        <f>Tabelle1[[#This Row],[Spalte12]]-Tabelle1[[#This Row],[Spalte11]]</f>
        <v>7.3999999999999996E-2</v>
      </c>
      <c r="M28" s="48">
        <v>8.7999999999999995E-2</v>
      </c>
      <c r="N28" s="48">
        <v>0.104</v>
      </c>
      <c r="O28" s="48">
        <v>0.126</v>
      </c>
      <c r="P28" s="48">
        <v>7.5999999999999998E-2</v>
      </c>
      <c r="Q28" s="47">
        <v>1659135</v>
      </c>
      <c r="R28" s="49">
        <v>2.09</v>
      </c>
      <c r="S28" s="47">
        <v>274188</v>
      </c>
      <c r="T28" s="47">
        <v>130925</v>
      </c>
      <c r="U28" s="49">
        <v>2.25</v>
      </c>
      <c r="V28" s="47">
        <v>268892</v>
      </c>
      <c r="W28" s="47">
        <v>119446</v>
      </c>
      <c r="X28" s="49">
        <v>2.2000000000000002</v>
      </c>
      <c r="Y28" s="47">
        <v>268462</v>
      </c>
      <c r="Z28" s="47">
        <v>121802</v>
      </c>
      <c r="AA28" s="49">
        <v>2.11</v>
      </c>
      <c r="AB28" s="47">
        <v>249603</v>
      </c>
      <c r="AC28" s="47">
        <v>118471</v>
      </c>
      <c r="AD28" s="50">
        <v>1.27</v>
      </c>
      <c r="AE28" s="47">
        <v>1336868</v>
      </c>
      <c r="AF28" s="47">
        <v>1056640</v>
      </c>
      <c r="AG28" s="22"/>
    </row>
    <row r="29" spans="1:33" ht="10.5" customHeight="1" x14ac:dyDescent="0.15">
      <c r="A29" s="51" t="s">
        <v>40</v>
      </c>
      <c r="B29" s="41">
        <v>3</v>
      </c>
      <c r="C29" s="42">
        <v>815017</v>
      </c>
      <c r="D29" s="42">
        <v>3056252</v>
      </c>
      <c r="E29" s="42">
        <v>2991748</v>
      </c>
      <c r="F29" s="42">
        <v>2991748</v>
      </c>
      <c r="G29" s="42">
        <v>10187713</v>
      </c>
      <c r="H29" s="43">
        <v>0.29399999999999998</v>
      </c>
      <c r="I29" s="43">
        <v>0.29399999999999998</v>
      </c>
      <c r="J29" s="43">
        <v>0.3</v>
      </c>
      <c r="K29" s="63">
        <v>0</v>
      </c>
      <c r="L29" s="43">
        <f>Tabelle1[[#This Row],[Spalte12]]-Tabelle1[[#This Row],[Spalte11]]</f>
        <v>7.8E-2</v>
      </c>
      <c r="M29" s="43">
        <v>7.8E-2</v>
      </c>
      <c r="N29" s="43">
        <v>9.6000000000000002E-2</v>
      </c>
      <c r="O29" s="43">
        <v>0.12</v>
      </c>
      <c r="P29" s="43">
        <v>7.5999999999999998E-2</v>
      </c>
      <c r="Q29" s="42">
        <v>39132974</v>
      </c>
      <c r="R29" s="44">
        <v>1.69</v>
      </c>
      <c r="S29" s="42">
        <v>14776364</v>
      </c>
      <c r="T29" s="42">
        <v>8742651</v>
      </c>
      <c r="U29" s="44">
        <v>2.2799999999999998</v>
      </c>
      <c r="V29" s="42">
        <v>13602961</v>
      </c>
      <c r="W29" s="42">
        <v>5965108</v>
      </c>
      <c r="X29" s="44">
        <v>2.4</v>
      </c>
      <c r="Y29" s="42">
        <v>14131328</v>
      </c>
      <c r="Z29" s="42">
        <v>5893063</v>
      </c>
      <c r="AA29" s="44">
        <v>1.8</v>
      </c>
      <c r="AB29" s="42">
        <v>17485208</v>
      </c>
      <c r="AC29" s="42">
        <v>9706588</v>
      </c>
      <c r="AD29" s="45">
        <v>1.45</v>
      </c>
      <c r="AE29" s="42">
        <v>16071102</v>
      </c>
      <c r="AF29" s="42">
        <v>11046001</v>
      </c>
      <c r="AG29" s="22"/>
    </row>
    <row r="30" spans="1:33" ht="10.5" customHeight="1" x14ac:dyDescent="0.15">
      <c r="A30" s="52" t="s">
        <v>34</v>
      </c>
      <c r="B30" s="46">
        <v>3</v>
      </c>
      <c r="C30" s="47">
        <v>1548967</v>
      </c>
      <c r="D30" s="47">
        <v>4682629</v>
      </c>
      <c r="E30" s="47">
        <v>3452201</v>
      </c>
      <c r="F30" s="47">
        <v>4599426</v>
      </c>
      <c r="G30" s="47">
        <v>19362091</v>
      </c>
      <c r="H30" s="48">
        <v>0.17799999999999999</v>
      </c>
      <c r="I30" s="48">
        <v>0.23799999999999999</v>
      </c>
      <c r="J30" s="48">
        <v>0.24199999999999999</v>
      </c>
      <c r="K30" s="64">
        <v>2E-3</v>
      </c>
      <c r="L30" s="48">
        <f>Tabelle1[[#This Row],[Spalte12]]-Tabelle1[[#This Row],[Spalte11]]</f>
        <v>7.8E-2</v>
      </c>
      <c r="M30" s="48">
        <v>0.08</v>
      </c>
      <c r="N30" s="48">
        <v>9.8000000000000004E-2</v>
      </c>
      <c r="O30" s="48">
        <v>0.122</v>
      </c>
      <c r="P30" s="48">
        <v>0.05</v>
      </c>
      <c r="Q30" s="47">
        <v>91653350</v>
      </c>
      <c r="R30" s="49">
        <v>2.2400000000000002</v>
      </c>
      <c r="S30" s="47">
        <v>21422586</v>
      </c>
      <c r="T30" s="47">
        <v>9584356</v>
      </c>
      <c r="U30" s="49">
        <v>2.82</v>
      </c>
      <c r="V30" s="47">
        <v>22795286</v>
      </c>
      <c r="W30" s="47">
        <v>8081161</v>
      </c>
      <c r="X30" s="49">
        <v>2.77</v>
      </c>
      <c r="Y30" s="47">
        <v>21448569</v>
      </c>
      <c r="Z30" s="47">
        <v>7749315</v>
      </c>
      <c r="AA30" s="49">
        <v>2.77</v>
      </c>
      <c r="AB30" s="47">
        <v>18861350</v>
      </c>
      <c r="AC30" s="47">
        <v>6815817</v>
      </c>
      <c r="AD30" s="50">
        <v>1.37</v>
      </c>
      <c r="AE30" s="47">
        <v>50685526</v>
      </c>
      <c r="AF30" s="47">
        <v>37074894</v>
      </c>
      <c r="AG30" s="22"/>
    </row>
    <row r="31" spans="1:33" ht="10.5" customHeight="1" x14ac:dyDescent="0.15">
      <c r="A31" s="51" t="s">
        <v>115</v>
      </c>
      <c r="B31" s="41">
        <v>5</v>
      </c>
      <c r="C31" s="42">
        <v>5701</v>
      </c>
      <c r="D31" s="42">
        <v>28421</v>
      </c>
      <c r="E31" s="42">
        <v>28421</v>
      </c>
      <c r="F31" s="42">
        <v>28421</v>
      </c>
      <c r="G31" s="42">
        <v>71268</v>
      </c>
      <c r="H31" s="43">
        <v>0.39900000000000002</v>
      </c>
      <c r="I31" s="43">
        <v>0.39900000000000002</v>
      </c>
      <c r="J31" s="43">
        <v>0.39900000000000002</v>
      </c>
      <c r="K31" s="63">
        <v>0</v>
      </c>
      <c r="L31" s="43">
        <f>Tabelle1[[#This Row],[Spalte12]]-Tabelle1[[#This Row],[Spalte11]]</f>
        <v>7.0000000000000007E-2</v>
      </c>
      <c r="M31" s="43">
        <v>7.0000000000000007E-2</v>
      </c>
      <c r="N31" s="43">
        <v>8.5000000000000006E-2</v>
      </c>
      <c r="O31" s="43">
        <v>0.105</v>
      </c>
      <c r="P31" s="43">
        <v>0.156</v>
      </c>
      <c r="Q31" s="42">
        <v>181749</v>
      </c>
      <c r="R31" s="44">
        <v>2.73</v>
      </c>
      <c r="S31" s="42">
        <v>162219</v>
      </c>
      <c r="T31" s="42">
        <v>59486</v>
      </c>
      <c r="U31" s="44">
        <v>3.25</v>
      </c>
      <c r="V31" s="42">
        <v>100316</v>
      </c>
      <c r="W31" s="42">
        <v>30857</v>
      </c>
      <c r="X31" s="44">
        <v>2.93</v>
      </c>
      <c r="Y31" s="42">
        <v>35806</v>
      </c>
      <c r="Z31" s="42">
        <v>12219</v>
      </c>
      <c r="AA31" s="44">
        <v>3.81</v>
      </c>
      <c r="AB31" s="42">
        <v>39467</v>
      </c>
      <c r="AC31" s="42">
        <v>10368</v>
      </c>
      <c r="AD31" s="45">
        <v>1.76</v>
      </c>
      <c r="AE31" s="42">
        <v>128486</v>
      </c>
      <c r="AF31" s="42">
        <v>72890</v>
      </c>
      <c r="AG31" s="22"/>
    </row>
    <row r="32" spans="1:33" ht="10.5" customHeight="1" x14ac:dyDescent="0.15">
      <c r="A32" s="52" t="s">
        <v>38</v>
      </c>
      <c r="B32" s="46">
        <v>3</v>
      </c>
      <c r="C32" s="47">
        <v>364801</v>
      </c>
      <c r="D32" s="47">
        <v>1141476</v>
      </c>
      <c r="E32" s="47">
        <v>1040111</v>
      </c>
      <c r="F32" s="47">
        <v>1040111</v>
      </c>
      <c r="G32" s="47">
        <v>4560014</v>
      </c>
      <c r="H32" s="48">
        <v>0.22800000000000001</v>
      </c>
      <c r="I32" s="48">
        <v>0.22800000000000001</v>
      </c>
      <c r="J32" s="48">
        <v>0.25</v>
      </c>
      <c r="K32" s="64">
        <v>2E-3</v>
      </c>
      <c r="L32" s="48">
        <f>Tabelle1[[#This Row],[Spalte12]]-Tabelle1[[#This Row],[Spalte11]]</f>
        <v>7.8E-2</v>
      </c>
      <c r="M32" s="48">
        <v>0.08</v>
      </c>
      <c r="N32" s="48">
        <v>9.8000000000000004E-2</v>
      </c>
      <c r="O32" s="48">
        <v>0.122</v>
      </c>
      <c r="P32" s="48">
        <v>5.5E-2</v>
      </c>
      <c r="Q32" s="47">
        <v>18979030</v>
      </c>
      <c r="R32" s="49">
        <v>1.64</v>
      </c>
      <c r="S32" s="47">
        <v>6620439</v>
      </c>
      <c r="T32" s="47">
        <v>4045206</v>
      </c>
      <c r="U32" s="49">
        <v>1.7</v>
      </c>
      <c r="V32" s="47">
        <v>6292449</v>
      </c>
      <c r="W32" s="47">
        <v>3704056</v>
      </c>
      <c r="X32" s="49">
        <v>1.81</v>
      </c>
      <c r="Y32" s="47">
        <v>5518917</v>
      </c>
      <c r="Z32" s="47">
        <v>3055348</v>
      </c>
      <c r="AA32" s="49">
        <v>2.14</v>
      </c>
      <c r="AB32" s="47">
        <v>4831695</v>
      </c>
      <c r="AC32" s="47">
        <v>2253926</v>
      </c>
      <c r="AD32" s="50">
        <v>1.1299999999999999</v>
      </c>
      <c r="AE32" s="47">
        <v>9208160</v>
      </c>
      <c r="AF32" s="47">
        <v>8129200</v>
      </c>
      <c r="AG32" s="22"/>
    </row>
    <row r="33" spans="1:33" ht="10.5" customHeight="1" x14ac:dyDescent="0.15">
      <c r="A33" s="51" t="s">
        <v>18</v>
      </c>
      <c r="B33" s="41">
        <v>5</v>
      </c>
      <c r="C33" s="42">
        <v>47609</v>
      </c>
      <c r="D33" s="42">
        <v>95928</v>
      </c>
      <c r="E33" s="42">
        <v>92497</v>
      </c>
      <c r="F33" s="42">
        <v>92497</v>
      </c>
      <c r="G33" s="42">
        <v>595111</v>
      </c>
      <c r="H33" s="43">
        <v>0.155</v>
      </c>
      <c r="I33" s="43">
        <v>0.155</v>
      </c>
      <c r="J33" s="43">
        <v>0.161</v>
      </c>
      <c r="K33" s="63">
        <v>1.7999999999999999E-2</v>
      </c>
      <c r="L33" s="43">
        <f>Tabelle1[[#This Row],[Spalte12]]-Tabelle1[[#This Row],[Spalte11]]</f>
        <v>6.9999999999999993E-2</v>
      </c>
      <c r="M33" s="43">
        <v>8.7999999999999995E-2</v>
      </c>
      <c r="N33" s="43">
        <v>0.10299999999999999</v>
      </c>
      <c r="O33" s="43">
        <v>0.123</v>
      </c>
      <c r="P33" s="43">
        <v>6.3E-2</v>
      </c>
      <c r="Q33" s="42">
        <v>1472701</v>
      </c>
      <c r="R33" s="44">
        <v>1.56</v>
      </c>
      <c r="S33" s="42">
        <v>161256</v>
      </c>
      <c r="T33" s="42">
        <v>103231</v>
      </c>
      <c r="U33" s="44">
        <v>1.25</v>
      </c>
      <c r="V33" s="42">
        <v>124138</v>
      </c>
      <c r="W33" s="42">
        <v>99688</v>
      </c>
      <c r="X33" s="44">
        <v>1.19</v>
      </c>
      <c r="Y33" s="42">
        <v>104530</v>
      </c>
      <c r="Z33" s="42">
        <v>87697</v>
      </c>
      <c r="AA33" s="44">
        <v>1.38</v>
      </c>
      <c r="AB33" s="42">
        <v>111472</v>
      </c>
      <c r="AC33" s="42">
        <v>80893</v>
      </c>
      <c r="AD33" s="45">
        <v>1.26</v>
      </c>
      <c r="AE33" s="42">
        <v>1259678</v>
      </c>
      <c r="AF33" s="42">
        <v>998620</v>
      </c>
      <c r="AG33" s="22"/>
    </row>
    <row r="34" spans="1:33" ht="10.5" customHeight="1" x14ac:dyDescent="0.15">
      <c r="A34" s="52" t="s">
        <v>113</v>
      </c>
      <c r="B34" s="46">
        <v>5</v>
      </c>
      <c r="C34" s="47">
        <v>11526</v>
      </c>
      <c r="D34" s="47">
        <v>67653</v>
      </c>
      <c r="E34" s="47">
        <v>67588</v>
      </c>
      <c r="F34" s="47">
        <v>67588</v>
      </c>
      <c r="G34" s="47">
        <v>144080</v>
      </c>
      <c r="H34" s="48">
        <v>0.46899999999999997</v>
      </c>
      <c r="I34" s="48">
        <v>0.46899999999999997</v>
      </c>
      <c r="J34" s="48">
        <v>0.47</v>
      </c>
      <c r="K34" s="64">
        <v>0</v>
      </c>
      <c r="L34" s="48">
        <f>Tabelle1[[#This Row],[Spalte12]]-Tabelle1[[#This Row],[Spalte11]]</f>
        <v>7.0000000000000007E-2</v>
      </c>
      <c r="M34" s="48">
        <v>7.0000000000000007E-2</v>
      </c>
      <c r="N34" s="48">
        <v>8.5000000000000006E-2</v>
      </c>
      <c r="O34" s="48">
        <v>0.105</v>
      </c>
      <c r="P34" s="48">
        <v>0.123</v>
      </c>
      <c r="Q34" s="47">
        <v>548128</v>
      </c>
      <c r="R34" s="49">
        <v>9.9499999999999993</v>
      </c>
      <c r="S34" s="47">
        <v>325385</v>
      </c>
      <c r="T34" s="47">
        <v>32717</v>
      </c>
      <c r="U34" s="49">
        <v>8.75</v>
      </c>
      <c r="V34" s="47">
        <v>388871</v>
      </c>
      <c r="W34" s="47">
        <v>44459</v>
      </c>
      <c r="X34" s="49">
        <v>9.31</v>
      </c>
      <c r="Y34" s="47">
        <v>384109</v>
      </c>
      <c r="Z34" s="47">
        <v>41246</v>
      </c>
      <c r="AA34" s="49">
        <v>11.83</v>
      </c>
      <c r="AB34" s="47">
        <v>371303</v>
      </c>
      <c r="AC34" s="47">
        <v>31389</v>
      </c>
      <c r="AD34" s="50">
        <v>11.55</v>
      </c>
      <c r="AE34" s="47">
        <v>476529</v>
      </c>
      <c r="AF34" s="47">
        <v>41259</v>
      </c>
      <c r="AG34" s="22"/>
    </row>
    <row r="35" spans="1:33" ht="10.5" customHeight="1" x14ac:dyDescent="0.15">
      <c r="A35" s="51" t="s">
        <v>110</v>
      </c>
      <c r="B35" s="41">
        <v>5</v>
      </c>
      <c r="C35" s="42">
        <v>267674</v>
      </c>
      <c r="D35" s="42">
        <v>466645</v>
      </c>
      <c r="E35" s="42">
        <v>361645</v>
      </c>
      <c r="F35" s="42">
        <v>401645</v>
      </c>
      <c r="G35" s="42">
        <v>3345928</v>
      </c>
      <c r="H35" s="43">
        <v>0.108</v>
      </c>
      <c r="I35" s="43">
        <v>0.12</v>
      </c>
      <c r="J35" s="43">
        <v>0.13900000000000001</v>
      </c>
      <c r="K35" s="63">
        <v>0</v>
      </c>
      <c r="L35" s="43">
        <f>Tabelle1[[#This Row],[Spalte12]]-Tabelle1[[#This Row],[Spalte11]]</f>
        <v>7.0000000000000007E-2</v>
      </c>
      <c r="M35" s="43">
        <v>7.0000000000000007E-2</v>
      </c>
      <c r="N35" s="43">
        <v>8.5000000000000006E-2</v>
      </c>
      <c r="O35" s="43">
        <v>0.105</v>
      </c>
      <c r="P35" s="43">
        <v>7.6999999999999999E-2</v>
      </c>
      <c r="Q35" s="42">
        <v>5185539</v>
      </c>
      <c r="R35" s="37" t="s">
        <v>214</v>
      </c>
      <c r="S35" s="37" t="s">
        <v>214</v>
      </c>
      <c r="T35" s="37" t="s">
        <v>214</v>
      </c>
      <c r="U35" s="37" t="s">
        <v>214</v>
      </c>
      <c r="V35" s="37" t="s">
        <v>214</v>
      </c>
      <c r="W35" s="37" t="s">
        <v>214</v>
      </c>
      <c r="X35" s="37" t="s">
        <v>214</v>
      </c>
      <c r="Y35" s="37" t="s">
        <v>214</v>
      </c>
      <c r="Z35" s="37" t="s">
        <v>214</v>
      </c>
      <c r="AA35" s="37" t="s">
        <v>214</v>
      </c>
      <c r="AB35" s="37" t="s">
        <v>214</v>
      </c>
      <c r="AC35" s="37" t="s">
        <v>214</v>
      </c>
      <c r="AD35" s="37" t="s">
        <v>214</v>
      </c>
      <c r="AE35" s="37" t="s">
        <v>214</v>
      </c>
      <c r="AF35" s="37" t="s">
        <v>214</v>
      </c>
      <c r="AG35" s="22"/>
    </row>
    <row r="36" spans="1:33" ht="10.5" customHeight="1" x14ac:dyDescent="0.15">
      <c r="A36" s="52" t="s">
        <v>170</v>
      </c>
      <c r="B36" s="46">
        <v>4</v>
      </c>
      <c r="C36" s="47">
        <v>24241</v>
      </c>
      <c r="D36" s="47">
        <v>210586</v>
      </c>
      <c r="E36" s="47">
        <v>203366</v>
      </c>
      <c r="F36" s="47">
        <v>203366</v>
      </c>
      <c r="G36" s="47">
        <v>303014</v>
      </c>
      <c r="H36" s="48">
        <v>0.67100000000000004</v>
      </c>
      <c r="I36" s="48">
        <v>0.67100000000000004</v>
      </c>
      <c r="J36" s="48">
        <v>0.69499999999999995</v>
      </c>
      <c r="K36" s="64">
        <v>0</v>
      </c>
      <c r="L36" s="48">
        <f>Tabelle1[[#This Row],[Spalte12]]-Tabelle1[[#This Row],[Spalte11]]</f>
        <v>7.3999999999999996E-2</v>
      </c>
      <c r="M36" s="48">
        <v>7.3999999999999996E-2</v>
      </c>
      <c r="N36" s="48">
        <v>0.09</v>
      </c>
      <c r="O36" s="48">
        <v>0.112</v>
      </c>
      <c r="P36" s="48">
        <v>0.217</v>
      </c>
      <c r="Q36" s="47">
        <v>937397</v>
      </c>
      <c r="R36" s="49">
        <v>5</v>
      </c>
      <c r="S36" s="47">
        <v>285827</v>
      </c>
      <c r="T36" s="47">
        <v>57150</v>
      </c>
      <c r="U36" s="49">
        <v>4.99</v>
      </c>
      <c r="V36" s="47">
        <v>232792</v>
      </c>
      <c r="W36" s="47">
        <v>46639</v>
      </c>
      <c r="X36" s="49">
        <v>5.33</v>
      </c>
      <c r="Y36" s="47">
        <v>224393</v>
      </c>
      <c r="Z36" s="47">
        <v>42074</v>
      </c>
      <c r="AA36" s="49">
        <v>5.65</v>
      </c>
      <c r="AB36" s="47">
        <v>205059</v>
      </c>
      <c r="AC36" s="47">
        <v>36315</v>
      </c>
      <c r="AD36" s="50">
        <v>2.09</v>
      </c>
      <c r="AE36" s="47">
        <v>749292</v>
      </c>
      <c r="AF36" s="47">
        <v>357733</v>
      </c>
      <c r="AG36" s="22"/>
    </row>
    <row r="37" spans="1:33" ht="10.5" customHeight="1" x14ac:dyDescent="0.15">
      <c r="A37" s="51" t="s">
        <v>198</v>
      </c>
      <c r="B37" s="41">
        <v>5</v>
      </c>
      <c r="C37" s="42">
        <v>11306</v>
      </c>
      <c r="D37" s="42">
        <v>106850</v>
      </c>
      <c r="E37" s="42">
        <v>106588</v>
      </c>
      <c r="F37" s="42">
        <v>106588</v>
      </c>
      <c r="G37" s="42">
        <v>141321</v>
      </c>
      <c r="H37" s="43">
        <v>0.754</v>
      </c>
      <c r="I37" s="43">
        <v>0.754</v>
      </c>
      <c r="J37" s="43">
        <v>0.75600000000000001</v>
      </c>
      <c r="K37" s="63">
        <v>0</v>
      </c>
      <c r="L37" s="43">
        <f>Tabelle1[[#This Row],[Spalte12]]-Tabelle1[[#This Row],[Spalte11]]</f>
        <v>7.0000000000000007E-2</v>
      </c>
      <c r="M37" s="43">
        <v>7.0000000000000007E-2</v>
      </c>
      <c r="N37" s="43">
        <v>8.5000000000000006E-2</v>
      </c>
      <c r="O37" s="43">
        <v>0.105</v>
      </c>
      <c r="P37" s="43">
        <v>0.35799999999999998</v>
      </c>
      <c r="Q37" s="42">
        <v>297973</v>
      </c>
      <c r="R37" s="44">
        <v>3.08</v>
      </c>
      <c r="S37" s="42">
        <v>97883</v>
      </c>
      <c r="T37" s="42">
        <v>31761</v>
      </c>
      <c r="U37" s="44">
        <v>3.75</v>
      </c>
      <c r="V37" s="42">
        <v>100434</v>
      </c>
      <c r="W37" s="42">
        <v>26802</v>
      </c>
      <c r="X37" s="44">
        <v>2.89</v>
      </c>
      <c r="Y37" s="42">
        <v>95553</v>
      </c>
      <c r="Z37" s="42">
        <v>33057</v>
      </c>
      <c r="AA37" s="44">
        <v>3.17</v>
      </c>
      <c r="AB37" s="42">
        <v>84134</v>
      </c>
      <c r="AC37" s="42">
        <v>26537</v>
      </c>
      <c r="AD37" s="45">
        <v>1.65</v>
      </c>
      <c r="AE37" s="42">
        <v>245525</v>
      </c>
      <c r="AF37" s="42">
        <v>148394</v>
      </c>
      <c r="AG37" s="22"/>
    </row>
    <row r="38" spans="1:33" ht="10.5" customHeight="1" x14ac:dyDescent="0.15">
      <c r="A38" s="52" t="s">
        <v>10</v>
      </c>
      <c r="B38" s="46">
        <v>3</v>
      </c>
      <c r="C38" s="47">
        <v>1064797</v>
      </c>
      <c r="D38" s="47">
        <v>2508462</v>
      </c>
      <c r="E38" s="47">
        <v>2499146</v>
      </c>
      <c r="F38" s="47">
        <v>2499146</v>
      </c>
      <c r="G38" s="47">
        <v>13309961</v>
      </c>
      <c r="H38" s="48">
        <v>0.188</v>
      </c>
      <c r="I38" s="48">
        <v>0.188</v>
      </c>
      <c r="J38" s="48">
        <v>0.188</v>
      </c>
      <c r="K38" s="64">
        <v>1.0999999999999999E-2</v>
      </c>
      <c r="L38" s="48">
        <f>Tabelle1[[#This Row],[Spalte12]]-Tabelle1[[#This Row],[Spalte11]]</f>
        <v>7.8E-2</v>
      </c>
      <c r="M38" s="48">
        <v>8.8999999999999996E-2</v>
      </c>
      <c r="N38" s="48">
        <v>0.107</v>
      </c>
      <c r="O38" s="48">
        <v>0.13100000000000001</v>
      </c>
      <c r="P38" s="48">
        <v>8.7999999999999995E-2</v>
      </c>
      <c r="Q38" s="47">
        <v>28379130</v>
      </c>
      <c r="R38" s="49">
        <v>1.82</v>
      </c>
      <c r="S38" s="47">
        <v>4070680</v>
      </c>
      <c r="T38" s="47">
        <v>2241486</v>
      </c>
      <c r="U38" s="49">
        <v>1.96</v>
      </c>
      <c r="V38" s="47">
        <v>4152846</v>
      </c>
      <c r="W38" s="47">
        <v>2118684</v>
      </c>
      <c r="X38" s="49">
        <v>2.11</v>
      </c>
      <c r="Y38" s="47">
        <v>4199508</v>
      </c>
      <c r="Z38" s="47">
        <v>1988306</v>
      </c>
      <c r="AA38" s="49">
        <v>2.27</v>
      </c>
      <c r="AB38" s="47">
        <v>4129627</v>
      </c>
      <c r="AC38" s="47">
        <v>1822713</v>
      </c>
      <c r="AD38" s="50">
        <v>1.32</v>
      </c>
      <c r="AE38" s="47">
        <v>24434356</v>
      </c>
      <c r="AF38" s="47">
        <v>18449554</v>
      </c>
      <c r="AG38" s="22"/>
    </row>
    <row r="39" spans="1:33" ht="10.5" customHeight="1" x14ac:dyDescent="0.15">
      <c r="A39" s="51" t="s">
        <v>11</v>
      </c>
      <c r="B39" s="41">
        <v>3</v>
      </c>
      <c r="C39" s="42">
        <v>1123532</v>
      </c>
      <c r="D39" s="42">
        <v>2389441</v>
      </c>
      <c r="E39" s="42">
        <v>2127388</v>
      </c>
      <c r="F39" s="42">
        <v>2258923</v>
      </c>
      <c r="G39" s="42">
        <v>14044154</v>
      </c>
      <c r="H39" s="43">
        <v>0.151</v>
      </c>
      <c r="I39" s="43">
        <v>0.161</v>
      </c>
      <c r="J39" s="43">
        <v>0.17</v>
      </c>
      <c r="K39" s="63">
        <v>7.0000000000000001E-3</v>
      </c>
      <c r="L39" s="43">
        <f>Tabelle1[[#This Row],[Spalte12]]-Tabelle1[[#This Row],[Spalte11]]</f>
        <v>7.8E-2</v>
      </c>
      <c r="M39" s="43">
        <v>8.5000000000000006E-2</v>
      </c>
      <c r="N39" s="43">
        <v>0.10299999999999999</v>
      </c>
      <c r="O39" s="43">
        <v>0.127</v>
      </c>
      <c r="P39" s="43">
        <v>7.0999999999999994E-2</v>
      </c>
      <c r="Q39" s="42">
        <v>31893896</v>
      </c>
      <c r="R39" s="44">
        <v>1.66</v>
      </c>
      <c r="S39" s="42">
        <v>8521085</v>
      </c>
      <c r="T39" s="42">
        <v>5118047</v>
      </c>
      <c r="U39" s="44">
        <v>1.73</v>
      </c>
      <c r="V39" s="42">
        <v>8557071</v>
      </c>
      <c r="W39" s="42">
        <v>4956930</v>
      </c>
      <c r="X39" s="44">
        <v>1.66</v>
      </c>
      <c r="Y39" s="42">
        <v>8270536</v>
      </c>
      <c r="Z39" s="42">
        <v>4989414</v>
      </c>
      <c r="AA39" s="44">
        <v>1.64</v>
      </c>
      <c r="AB39" s="42">
        <v>8362687</v>
      </c>
      <c r="AC39" s="42">
        <v>5097610</v>
      </c>
      <c r="AD39" s="45">
        <v>1.42</v>
      </c>
      <c r="AE39" s="42">
        <v>22555581</v>
      </c>
      <c r="AF39" s="42">
        <v>15918760</v>
      </c>
      <c r="AG39" s="22"/>
    </row>
    <row r="40" spans="1:33" ht="10.5" customHeight="1" x14ac:dyDescent="0.15">
      <c r="A40" s="52" t="s">
        <v>15</v>
      </c>
      <c r="B40" s="46">
        <v>4</v>
      </c>
      <c r="C40" s="47">
        <v>140516</v>
      </c>
      <c r="D40" s="47">
        <v>300317</v>
      </c>
      <c r="E40" s="47">
        <v>297697</v>
      </c>
      <c r="F40" s="47">
        <v>297697</v>
      </c>
      <c r="G40" s="47">
        <v>1756444</v>
      </c>
      <c r="H40" s="48">
        <v>0.16900000000000001</v>
      </c>
      <c r="I40" s="48">
        <v>0.16900000000000001</v>
      </c>
      <c r="J40" s="48">
        <v>0.17100000000000001</v>
      </c>
      <c r="K40" s="64">
        <v>1.4E-2</v>
      </c>
      <c r="L40" s="48">
        <f>Tabelle1[[#This Row],[Spalte12]]-Tabelle1[[#This Row],[Spalte11]]</f>
        <v>7.3999999999999996E-2</v>
      </c>
      <c r="M40" s="48">
        <v>8.7999999999999995E-2</v>
      </c>
      <c r="N40" s="48">
        <v>0.104</v>
      </c>
      <c r="O40" s="48">
        <v>0.126</v>
      </c>
      <c r="P40" s="48">
        <v>6.8000000000000005E-2</v>
      </c>
      <c r="Q40" s="47">
        <v>4358666</v>
      </c>
      <c r="R40" s="49">
        <v>1.23</v>
      </c>
      <c r="S40" s="47">
        <v>588370</v>
      </c>
      <c r="T40" s="47">
        <v>477405</v>
      </c>
      <c r="U40" s="49">
        <v>1.41</v>
      </c>
      <c r="V40" s="47">
        <v>840235</v>
      </c>
      <c r="W40" s="47">
        <v>595973</v>
      </c>
      <c r="X40" s="49">
        <v>1.35</v>
      </c>
      <c r="Y40" s="47">
        <v>677839</v>
      </c>
      <c r="Z40" s="47">
        <v>501070</v>
      </c>
      <c r="AA40" s="49">
        <v>1.28</v>
      </c>
      <c r="AB40" s="47">
        <v>625632</v>
      </c>
      <c r="AC40" s="47">
        <v>489667</v>
      </c>
      <c r="AD40" s="50">
        <v>1.28</v>
      </c>
      <c r="AE40" s="47">
        <v>3475729</v>
      </c>
      <c r="AF40" s="47">
        <v>2711484</v>
      </c>
      <c r="AG40" s="22"/>
    </row>
    <row r="41" spans="1:33" ht="10.5" customHeight="1" x14ac:dyDescent="0.15">
      <c r="A41" s="51" t="s">
        <v>16</v>
      </c>
      <c r="B41" s="41">
        <v>3</v>
      </c>
      <c r="C41" s="42">
        <v>707668</v>
      </c>
      <c r="D41" s="42">
        <v>1572696</v>
      </c>
      <c r="E41" s="42">
        <v>1507696</v>
      </c>
      <c r="F41" s="42">
        <v>1507696</v>
      </c>
      <c r="G41" s="42">
        <v>8845849</v>
      </c>
      <c r="H41" s="43">
        <v>0.17</v>
      </c>
      <c r="I41" s="43">
        <v>0.17</v>
      </c>
      <c r="J41" s="43">
        <v>0.17799999999999999</v>
      </c>
      <c r="K41" s="63">
        <v>1.2999999999999999E-2</v>
      </c>
      <c r="L41" s="43">
        <f>Tabelle1[[#This Row],[Spalte12]]-Tabelle1[[#This Row],[Spalte11]]</f>
        <v>7.8E-2</v>
      </c>
      <c r="M41" s="43">
        <v>9.0999999999999998E-2</v>
      </c>
      <c r="N41" s="43">
        <v>0.109</v>
      </c>
      <c r="O41" s="43">
        <v>0.13300000000000001</v>
      </c>
      <c r="P41" s="43">
        <v>7.3999999999999996E-2</v>
      </c>
      <c r="Q41" s="42">
        <v>20334154</v>
      </c>
      <c r="R41" s="44">
        <v>1.39</v>
      </c>
      <c r="S41" s="42">
        <v>3600635</v>
      </c>
      <c r="T41" s="42">
        <v>2584451</v>
      </c>
      <c r="U41" s="44">
        <v>1.55</v>
      </c>
      <c r="V41" s="42">
        <v>3818069</v>
      </c>
      <c r="W41" s="42">
        <v>2466361</v>
      </c>
      <c r="X41" s="44">
        <v>1.54</v>
      </c>
      <c r="Y41" s="42">
        <v>3723319</v>
      </c>
      <c r="Z41" s="42">
        <v>2412862</v>
      </c>
      <c r="AA41" s="44">
        <v>1.49</v>
      </c>
      <c r="AB41" s="42">
        <v>3663635</v>
      </c>
      <c r="AC41" s="42">
        <v>2456569</v>
      </c>
      <c r="AD41" s="45">
        <v>1.24</v>
      </c>
      <c r="AE41" s="42">
        <v>15536380</v>
      </c>
      <c r="AF41" s="42">
        <v>12538728</v>
      </c>
      <c r="AG41" s="22"/>
    </row>
    <row r="42" spans="1:33" ht="10.5" customHeight="1" x14ac:dyDescent="0.15">
      <c r="A42" s="52" t="s">
        <v>216</v>
      </c>
      <c r="B42" s="46">
        <v>4</v>
      </c>
      <c r="C42" s="47">
        <v>388409</v>
      </c>
      <c r="D42" s="47">
        <v>1036041</v>
      </c>
      <c r="E42" s="47">
        <v>1000533</v>
      </c>
      <c r="F42" s="47">
        <v>1000533</v>
      </c>
      <c r="G42" s="47">
        <v>4855107</v>
      </c>
      <c r="H42" s="48">
        <v>0.20599999999999999</v>
      </c>
      <c r="I42" s="48">
        <v>0.20599999999999999</v>
      </c>
      <c r="J42" s="48">
        <v>0.21299999999999999</v>
      </c>
      <c r="K42" s="64">
        <v>1.4E-2</v>
      </c>
      <c r="L42" s="48">
        <f>Tabelle1[[#This Row],[Spalte12]]-Tabelle1[[#This Row],[Spalte11]]</f>
        <v>7.3999999999999996E-2</v>
      </c>
      <c r="M42" s="48">
        <v>8.7999999999999995E-2</v>
      </c>
      <c r="N42" s="48">
        <v>0.104</v>
      </c>
      <c r="O42" s="48">
        <v>0.126</v>
      </c>
      <c r="P42" s="48">
        <v>8.3000000000000004E-2</v>
      </c>
      <c r="Q42" s="47">
        <v>12080038</v>
      </c>
      <c r="R42" s="49">
        <v>1.56</v>
      </c>
      <c r="S42" s="47">
        <v>1990947</v>
      </c>
      <c r="T42" s="47">
        <v>1275769</v>
      </c>
      <c r="U42" s="49">
        <v>1.87</v>
      </c>
      <c r="V42" s="47">
        <v>1995927</v>
      </c>
      <c r="W42" s="47">
        <v>1066710</v>
      </c>
      <c r="X42" s="49">
        <v>1.85</v>
      </c>
      <c r="Y42" s="47">
        <v>2004514</v>
      </c>
      <c r="Z42" s="47">
        <v>1083460</v>
      </c>
      <c r="AA42" s="49">
        <v>1.86</v>
      </c>
      <c r="AB42" s="47">
        <v>1842430</v>
      </c>
      <c r="AC42" s="47">
        <v>991580</v>
      </c>
      <c r="AD42" s="50">
        <v>1.31</v>
      </c>
      <c r="AE42" s="47">
        <v>9572824</v>
      </c>
      <c r="AF42" s="47">
        <v>7323397</v>
      </c>
      <c r="AG42" s="22"/>
    </row>
    <row r="43" spans="1:33" ht="10.5" customHeight="1" x14ac:dyDescent="0.15">
      <c r="A43" s="51" t="s">
        <v>25</v>
      </c>
      <c r="B43" s="41">
        <v>3</v>
      </c>
      <c r="C43" s="42">
        <v>1548189</v>
      </c>
      <c r="D43" s="42">
        <v>3489977</v>
      </c>
      <c r="E43" s="42">
        <v>3465084</v>
      </c>
      <c r="F43" s="42">
        <v>3465084</v>
      </c>
      <c r="G43" s="42">
        <v>19352364</v>
      </c>
      <c r="H43" s="43">
        <v>0.17899999999999999</v>
      </c>
      <c r="I43" s="43">
        <v>0.17899999999999999</v>
      </c>
      <c r="J43" s="43">
        <v>0.18</v>
      </c>
      <c r="K43" s="63">
        <v>0.01</v>
      </c>
      <c r="L43" s="43">
        <f>Tabelle1[[#This Row],[Spalte12]]-Tabelle1[[#This Row],[Spalte11]]</f>
        <v>7.8E-2</v>
      </c>
      <c r="M43" s="43">
        <v>8.7999999999999995E-2</v>
      </c>
      <c r="N43" s="43">
        <v>0.106</v>
      </c>
      <c r="O43" s="43">
        <v>0.13</v>
      </c>
      <c r="P43" s="43">
        <v>5.6000000000000001E-2</v>
      </c>
      <c r="Q43" s="42">
        <v>61796072</v>
      </c>
      <c r="R43" s="44">
        <v>1.36</v>
      </c>
      <c r="S43" s="42">
        <v>15309895</v>
      </c>
      <c r="T43" s="42">
        <v>11266343</v>
      </c>
      <c r="U43" s="44">
        <v>1.28</v>
      </c>
      <c r="V43" s="42">
        <v>14833037</v>
      </c>
      <c r="W43" s="42">
        <v>11543426</v>
      </c>
      <c r="X43" s="44">
        <v>1.3</v>
      </c>
      <c r="Y43" s="42">
        <v>12493925</v>
      </c>
      <c r="Z43" s="42">
        <v>9615200</v>
      </c>
      <c r="AA43" s="44">
        <v>1.29</v>
      </c>
      <c r="AB43" s="42">
        <v>12449921</v>
      </c>
      <c r="AC43" s="42">
        <v>9652211</v>
      </c>
      <c r="AD43" s="45">
        <v>1.2</v>
      </c>
      <c r="AE43" s="42">
        <v>38244604</v>
      </c>
      <c r="AF43" s="42">
        <v>31772343</v>
      </c>
      <c r="AG43" s="22"/>
    </row>
    <row r="44" spans="1:33" ht="10.5" customHeight="1" x14ac:dyDescent="0.15">
      <c r="A44" s="52" t="s">
        <v>103</v>
      </c>
      <c r="B44" s="46">
        <v>5</v>
      </c>
      <c r="C44" s="47">
        <v>21044</v>
      </c>
      <c r="D44" s="47">
        <v>79439</v>
      </c>
      <c r="E44" s="47">
        <v>73995</v>
      </c>
      <c r="F44" s="47">
        <v>73995</v>
      </c>
      <c r="G44" s="47">
        <v>263051</v>
      </c>
      <c r="H44" s="48">
        <v>0.28100000000000003</v>
      </c>
      <c r="I44" s="48">
        <v>0.28100000000000003</v>
      </c>
      <c r="J44" s="48">
        <v>0.30199999999999999</v>
      </c>
      <c r="K44" s="64">
        <v>6.0000000000000001E-3</v>
      </c>
      <c r="L44" s="48">
        <f>Tabelle1[[#This Row],[Spalte12]]-Tabelle1[[#This Row],[Spalte11]]</f>
        <v>6.9999999999999993E-2</v>
      </c>
      <c r="M44" s="48">
        <v>7.5999999999999998E-2</v>
      </c>
      <c r="N44" s="48">
        <v>9.0999999999999998E-2</v>
      </c>
      <c r="O44" s="48">
        <v>0.111</v>
      </c>
      <c r="P44" s="48">
        <v>0.11</v>
      </c>
      <c r="Q44" s="47">
        <v>672392</v>
      </c>
      <c r="R44" s="49">
        <v>2.67</v>
      </c>
      <c r="S44" s="47">
        <v>134543</v>
      </c>
      <c r="T44" s="47">
        <v>50407</v>
      </c>
      <c r="U44" s="49">
        <v>2.35</v>
      </c>
      <c r="V44" s="47">
        <v>105700</v>
      </c>
      <c r="W44" s="47">
        <v>44970</v>
      </c>
      <c r="X44" s="49">
        <v>2.5</v>
      </c>
      <c r="Y44" s="47">
        <v>107931</v>
      </c>
      <c r="Z44" s="47">
        <v>43215</v>
      </c>
      <c r="AA44" s="49">
        <v>3.47</v>
      </c>
      <c r="AB44" s="47">
        <v>144581</v>
      </c>
      <c r="AC44" s="47">
        <v>41610</v>
      </c>
      <c r="AD44" s="50">
        <v>1.8</v>
      </c>
      <c r="AE44" s="47">
        <v>421409</v>
      </c>
      <c r="AF44" s="47">
        <v>234326</v>
      </c>
      <c r="AG44" s="22"/>
    </row>
    <row r="45" spans="1:33" ht="10.5" customHeight="1" x14ac:dyDescent="0.15">
      <c r="A45" s="51" t="s">
        <v>67</v>
      </c>
      <c r="B45" s="41">
        <v>5</v>
      </c>
      <c r="C45" s="42">
        <v>255789</v>
      </c>
      <c r="D45" s="42">
        <v>601211</v>
      </c>
      <c r="E45" s="42">
        <v>601211</v>
      </c>
      <c r="F45" s="42">
        <v>601211</v>
      </c>
      <c r="G45" s="42">
        <v>3197367</v>
      </c>
      <c r="H45" s="43">
        <v>0.188</v>
      </c>
      <c r="I45" s="43">
        <v>0.188</v>
      </c>
      <c r="J45" s="43">
        <v>0.188</v>
      </c>
      <c r="K45" s="63">
        <v>0</v>
      </c>
      <c r="L45" s="43">
        <f>Tabelle1[[#This Row],[Spalte12]]-Tabelle1[[#This Row],[Spalte11]]</f>
        <v>7.0000000000000007E-2</v>
      </c>
      <c r="M45" s="43">
        <v>7.0000000000000007E-2</v>
      </c>
      <c r="N45" s="43">
        <v>8.5000000000000006E-2</v>
      </c>
      <c r="O45" s="43">
        <v>0.105</v>
      </c>
      <c r="P45" s="43">
        <v>0.14099999999999999</v>
      </c>
      <c r="Q45" s="42">
        <v>4274710</v>
      </c>
      <c r="R45" s="44">
        <v>1.77</v>
      </c>
      <c r="S45" s="42">
        <v>929736</v>
      </c>
      <c r="T45" s="42">
        <v>525454</v>
      </c>
      <c r="U45" s="44">
        <v>1.7</v>
      </c>
      <c r="V45" s="42">
        <v>936502</v>
      </c>
      <c r="W45" s="42">
        <v>550530</v>
      </c>
      <c r="X45" s="44">
        <v>2.48</v>
      </c>
      <c r="Y45" s="42">
        <v>832157</v>
      </c>
      <c r="Z45" s="42">
        <v>335690</v>
      </c>
      <c r="AA45" s="44">
        <v>2.39</v>
      </c>
      <c r="AB45" s="42">
        <v>820964</v>
      </c>
      <c r="AC45" s="42">
        <v>343533</v>
      </c>
      <c r="AD45" s="45">
        <v>1.1100000000000001</v>
      </c>
      <c r="AE45" s="42">
        <v>1450743</v>
      </c>
      <c r="AF45" s="42">
        <v>1309724</v>
      </c>
      <c r="AG45" s="22"/>
    </row>
    <row r="46" spans="1:33" ht="10.5" customHeight="1" x14ac:dyDescent="0.15">
      <c r="A46" s="52" t="s">
        <v>120</v>
      </c>
      <c r="B46" s="46">
        <v>5</v>
      </c>
      <c r="C46" s="47">
        <v>48778</v>
      </c>
      <c r="D46" s="47">
        <v>123574</v>
      </c>
      <c r="E46" s="47">
        <v>118015</v>
      </c>
      <c r="F46" s="47">
        <v>118015</v>
      </c>
      <c r="G46" s="47">
        <v>609727</v>
      </c>
      <c r="H46" s="48">
        <v>0.19400000000000001</v>
      </c>
      <c r="I46" s="48">
        <v>0.19400000000000001</v>
      </c>
      <c r="J46" s="48">
        <v>0.20300000000000001</v>
      </c>
      <c r="K46" s="64">
        <v>1.6E-2</v>
      </c>
      <c r="L46" s="48">
        <f>Tabelle1[[#This Row],[Spalte12]]-Tabelle1[[#This Row],[Spalte11]]</f>
        <v>6.9999999999999993E-2</v>
      </c>
      <c r="M46" s="48">
        <v>8.5999999999999993E-2</v>
      </c>
      <c r="N46" s="48">
        <v>0.10100000000000001</v>
      </c>
      <c r="O46" s="48">
        <v>0.121</v>
      </c>
      <c r="P46" s="48">
        <v>8.1000000000000003E-2</v>
      </c>
      <c r="Q46" s="47">
        <v>1456888</v>
      </c>
      <c r="R46" s="49">
        <v>1.85</v>
      </c>
      <c r="S46" s="47">
        <v>168651</v>
      </c>
      <c r="T46" s="47">
        <v>91298</v>
      </c>
      <c r="U46" s="49">
        <v>1.83</v>
      </c>
      <c r="V46" s="47">
        <v>149672</v>
      </c>
      <c r="W46" s="47">
        <v>81825</v>
      </c>
      <c r="X46" s="49">
        <v>1.99</v>
      </c>
      <c r="Y46" s="47">
        <v>123271</v>
      </c>
      <c r="Z46" s="47">
        <v>61982</v>
      </c>
      <c r="AA46" s="49">
        <v>1.79</v>
      </c>
      <c r="AB46" s="47">
        <v>109046</v>
      </c>
      <c r="AC46" s="47">
        <v>61008</v>
      </c>
      <c r="AD46" s="50">
        <v>1.28</v>
      </c>
      <c r="AE46" s="47">
        <v>1094663</v>
      </c>
      <c r="AF46" s="47">
        <v>852103</v>
      </c>
      <c r="AG46" s="22"/>
    </row>
    <row r="47" spans="1:33" ht="10.5" customHeight="1" x14ac:dyDescent="0.15">
      <c r="A47" s="51" t="s">
        <v>177</v>
      </c>
      <c r="B47" s="41">
        <v>5</v>
      </c>
      <c r="C47" s="42">
        <v>9310</v>
      </c>
      <c r="D47" s="42">
        <v>32935</v>
      </c>
      <c r="E47" s="42">
        <v>32935</v>
      </c>
      <c r="F47" s="42">
        <v>32935</v>
      </c>
      <c r="G47" s="42">
        <v>116377</v>
      </c>
      <c r="H47" s="43">
        <v>0.28299999999999997</v>
      </c>
      <c r="I47" s="43">
        <v>0.28299999999999997</v>
      </c>
      <c r="J47" s="43">
        <v>0.28299999999999997</v>
      </c>
      <c r="K47" s="63">
        <v>1E-3</v>
      </c>
      <c r="L47" s="43">
        <f>Tabelle1[[#This Row],[Spalte12]]-Tabelle1[[#This Row],[Spalte11]]</f>
        <v>6.9999999999999993E-2</v>
      </c>
      <c r="M47" s="43">
        <v>7.0999999999999994E-2</v>
      </c>
      <c r="N47" s="43">
        <v>8.5999999999999993E-2</v>
      </c>
      <c r="O47" s="43">
        <v>0.106</v>
      </c>
      <c r="P47" s="43">
        <v>0.112</v>
      </c>
      <c r="Q47" s="42">
        <v>294383</v>
      </c>
      <c r="R47" s="44">
        <v>1.44</v>
      </c>
      <c r="S47" s="42">
        <v>19579</v>
      </c>
      <c r="T47" s="42">
        <v>13576</v>
      </c>
      <c r="U47" s="44">
        <v>1.49</v>
      </c>
      <c r="V47" s="42">
        <v>21198</v>
      </c>
      <c r="W47" s="42">
        <v>14256</v>
      </c>
      <c r="X47" s="44">
        <v>1.72</v>
      </c>
      <c r="Y47" s="42">
        <v>21724</v>
      </c>
      <c r="Z47" s="42">
        <v>12609</v>
      </c>
      <c r="AA47" s="44">
        <v>1.61</v>
      </c>
      <c r="AB47" s="42">
        <v>21624</v>
      </c>
      <c r="AC47" s="42">
        <v>13449</v>
      </c>
      <c r="AD47" s="45">
        <v>2.46</v>
      </c>
      <c r="AE47" s="42">
        <v>228945</v>
      </c>
      <c r="AF47" s="42">
        <v>93183</v>
      </c>
      <c r="AG47" s="22"/>
    </row>
    <row r="48" spans="1:33" ht="10.5" customHeight="1" x14ac:dyDescent="0.15">
      <c r="A48" s="52" t="s">
        <v>86</v>
      </c>
      <c r="B48" s="46">
        <v>5</v>
      </c>
      <c r="C48" s="47">
        <v>36424</v>
      </c>
      <c r="D48" s="47">
        <v>89969</v>
      </c>
      <c r="E48" s="47">
        <v>83252</v>
      </c>
      <c r="F48" s="47">
        <v>83252</v>
      </c>
      <c r="G48" s="47">
        <v>455304</v>
      </c>
      <c r="H48" s="48">
        <v>0.183</v>
      </c>
      <c r="I48" s="48">
        <v>0.183</v>
      </c>
      <c r="J48" s="48">
        <v>0.19800000000000001</v>
      </c>
      <c r="K48" s="64">
        <v>1E-3</v>
      </c>
      <c r="L48" s="48">
        <f>Tabelle1[[#This Row],[Spalte12]]-Tabelle1[[#This Row],[Spalte11]]</f>
        <v>6.9999999999999993E-2</v>
      </c>
      <c r="M48" s="48">
        <v>7.0999999999999994E-2</v>
      </c>
      <c r="N48" s="48">
        <v>8.5999999999999993E-2</v>
      </c>
      <c r="O48" s="48">
        <v>0.106</v>
      </c>
      <c r="P48" s="48">
        <v>8.5999999999999993E-2</v>
      </c>
      <c r="Q48" s="47">
        <v>971434</v>
      </c>
      <c r="R48" s="49">
        <v>2.2999999999999998</v>
      </c>
      <c r="S48" s="47">
        <v>354667</v>
      </c>
      <c r="T48" s="47">
        <v>154006</v>
      </c>
      <c r="U48" s="49">
        <v>3.28</v>
      </c>
      <c r="V48" s="47">
        <v>317414</v>
      </c>
      <c r="W48" s="47">
        <v>96891</v>
      </c>
      <c r="X48" s="49">
        <v>2.86</v>
      </c>
      <c r="Y48" s="47">
        <v>262376</v>
      </c>
      <c r="Z48" s="47">
        <v>91645</v>
      </c>
      <c r="AA48" s="49">
        <v>3.08</v>
      </c>
      <c r="AB48" s="47">
        <v>252130</v>
      </c>
      <c r="AC48" s="47">
        <v>81747</v>
      </c>
      <c r="AD48" s="50">
        <v>1.27</v>
      </c>
      <c r="AE48" s="47">
        <v>639984</v>
      </c>
      <c r="AF48" s="47">
        <v>504643</v>
      </c>
      <c r="AG48" s="22"/>
    </row>
    <row r="49" spans="1:33" ht="10.5" customHeight="1" x14ac:dyDescent="0.15">
      <c r="A49" s="51" t="s">
        <v>178</v>
      </c>
      <c r="B49" s="41">
        <v>4</v>
      </c>
      <c r="C49" s="42">
        <v>28900</v>
      </c>
      <c r="D49" s="42">
        <v>129058</v>
      </c>
      <c r="E49" s="42">
        <v>129058</v>
      </c>
      <c r="F49" s="42">
        <v>129058</v>
      </c>
      <c r="G49" s="42">
        <v>361255</v>
      </c>
      <c r="H49" s="43">
        <v>0.35699999999999998</v>
      </c>
      <c r="I49" s="43">
        <v>0.35699999999999998</v>
      </c>
      <c r="J49" s="43">
        <v>0.35699999999999998</v>
      </c>
      <c r="K49" s="63">
        <v>1E-3</v>
      </c>
      <c r="L49" s="43">
        <f>Tabelle1[[#This Row],[Spalte12]]-Tabelle1[[#This Row],[Spalte11]]</f>
        <v>7.3999999999999996E-2</v>
      </c>
      <c r="M49" s="43">
        <v>7.4999999999999997E-2</v>
      </c>
      <c r="N49" s="43">
        <v>9.0999999999999998E-2</v>
      </c>
      <c r="O49" s="43">
        <v>0.113</v>
      </c>
      <c r="P49" s="43">
        <v>0.13500000000000001</v>
      </c>
      <c r="Q49" s="42">
        <v>959003</v>
      </c>
      <c r="R49" s="44">
        <v>1.49</v>
      </c>
      <c r="S49" s="42">
        <v>300629</v>
      </c>
      <c r="T49" s="42">
        <v>201438</v>
      </c>
      <c r="U49" s="44">
        <v>1.7</v>
      </c>
      <c r="V49" s="42">
        <v>276999</v>
      </c>
      <c r="W49" s="42">
        <v>162528</v>
      </c>
      <c r="X49" s="44">
        <v>1.44</v>
      </c>
      <c r="Y49" s="42">
        <v>355046</v>
      </c>
      <c r="Z49" s="42">
        <v>245924</v>
      </c>
      <c r="AA49" s="44">
        <v>1.76</v>
      </c>
      <c r="AB49" s="42">
        <v>270390</v>
      </c>
      <c r="AC49" s="42">
        <v>153368</v>
      </c>
      <c r="AD49" s="45">
        <v>1.3</v>
      </c>
      <c r="AE49" s="42">
        <v>495165</v>
      </c>
      <c r="AF49" s="42">
        <v>381280</v>
      </c>
      <c r="AG49" s="22"/>
    </row>
    <row r="50" spans="1:33" ht="10.5" customHeight="1" x14ac:dyDescent="0.15">
      <c r="A50" s="52" t="s">
        <v>121</v>
      </c>
      <c r="B50" s="46">
        <v>5</v>
      </c>
      <c r="C50" s="47">
        <v>74661</v>
      </c>
      <c r="D50" s="47">
        <v>183699</v>
      </c>
      <c r="E50" s="47">
        <v>183699</v>
      </c>
      <c r="F50" s="47">
        <v>183699</v>
      </c>
      <c r="G50" s="47">
        <v>933259</v>
      </c>
      <c r="H50" s="48">
        <v>0.19700000000000001</v>
      </c>
      <c r="I50" s="48">
        <v>0.19700000000000001</v>
      </c>
      <c r="J50" s="48">
        <v>0.19700000000000001</v>
      </c>
      <c r="K50" s="64">
        <v>0</v>
      </c>
      <c r="L50" s="48">
        <f>Tabelle1[[#This Row],[Spalte12]]-Tabelle1[[#This Row],[Spalte11]]</f>
        <v>7.0000000000000007E-2</v>
      </c>
      <c r="M50" s="48">
        <v>7.0000000000000007E-2</v>
      </c>
      <c r="N50" s="48">
        <v>8.5000000000000006E-2</v>
      </c>
      <c r="O50" s="48">
        <v>0.105</v>
      </c>
      <c r="P50" s="48">
        <v>0.121</v>
      </c>
      <c r="Q50" s="47">
        <v>1518680</v>
      </c>
      <c r="R50" s="49">
        <v>1.25</v>
      </c>
      <c r="S50" s="47">
        <v>183120</v>
      </c>
      <c r="T50" s="47">
        <v>146295</v>
      </c>
      <c r="U50" s="49">
        <v>1.3</v>
      </c>
      <c r="V50" s="47">
        <v>162102</v>
      </c>
      <c r="W50" s="47">
        <v>124351</v>
      </c>
      <c r="X50" s="49">
        <v>1.29</v>
      </c>
      <c r="Y50" s="47">
        <v>171525</v>
      </c>
      <c r="Z50" s="47">
        <v>133255</v>
      </c>
      <c r="AA50" s="49">
        <v>1.49</v>
      </c>
      <c r="AB50" s="47">
        <v>130797</v>
      </c>
      <c r="AC50" s="47">
        <v>87789</v>
      </c>
      <c r="AD50" s="50">
        <v>1.39</v>
      </c>
      <c r="AE50" s="47">
        <v>629631</v>
      </c>
      <c r="AF50" s="47">
        <v>451772</v>
      </c>
      <c r="AG50" s="22"/>
    </row>
    <row r="51" spans="1:33" ht="10.5" customHeight="1" x14ac:dyDescent="0.15">
      <c r="A51" s="51" t="s">
        <v>55</v>
      </c>
      <c r="B51" s="41">
        <v>3</v>
      </c>
      <c r="C51" s="42">
        <v>376200</v>
      </c>
      <c r="D51" s="42">
        <v>1534618</v>
      </c>
      <c r="E51" s="42">
        <v>1510699</v>
      </c>
      <c r="F51" s="42">
        <v>1534618</v>
      </c>
      <c r="G51" s="42">
        <v>4702496</v>
      </c>
      <c r="H51" s="43">
        <v>0.32100000000000001</v>
      </c>
      <c r="I51" s="43">
        <v>0.32600000000000001</v>
      </c>
      <c r="J51" s="43">
        <v>0.32600000000000001</v>
      </c>
      <c r="K51" s="63">
        <v>0</v>
      </c>
      <c r="L51" s="43">
        <f>Tabelle1[[#This Row],[Spalte12]]-Tabelle1[[#This Row],[Spalte11]]</f>
        <v>7.8E-2</v>
      </c>
      <c r="M51" s="43">
        <v>7.8E-2</v>
      </c>
      <c r="N51" s="43">
        <v>9.6000000000000002E-2</v>
      </c>
      <c r="O51" s="43">
        <v>0.12</v>
      </c>
      <c r="P51" s="43">
        <v>9.8000000000000004E-2</v>
      </c>
      <c r="Q51" s="42">
        <v>15702625</v>
      </c>
      <c r="R51" s="44">
        <v>1.87</v>
      </c>
      <c r="S51" s="42">
        <v>8381364</v>
      </c>
      <c r="T51" s="42">
        <v>4473641</v>
      </c>
      <c r="U51" s="44">
        <v>1.84</v>
      </c>
      <c r="V51" s="42">
        <v>6667070</v>
      </c>
      <c r="W51" s="42">
        <v>3623402</v>
      </c>
      <c r="X51" s="44">
        <v>1.76</v>
      </c>
      <c r="Y51" s="42">
        <v>6021954</v>
      </c>
      <c r="Z51" s="42">
        <v>3427395</v>
      </c>
      <c r="AA51" s="44">
        <v>1.94</v>
      </c>
      <c r="AB51" s="42">
        <v>5840144</v>
      </c>
      <c r="AC51" s="42">
        <v>3005144</v>
      </c>
      <c r="AD51" s="45">
        <v>1.63</v>
      </c>
      <c r="AE51" s="42">
        <v>6858046</v>
      </c>
      <c r="AF51" s="42">
        <v>4205925</v>
      </c>
      <c r="AG51" s="22"/>
    </row>
    <row r="52" spans="1:33" ht="10.5" customHeight="1" x14ac:dyDescent="0.15">
      <c r="A52" s="52" t="s">
        <v>199</v>
      </c>
      <c r="B52" s="46">
        <v>4</v>
      </c>
      <c r="C52" s="47">
        <v>44766</v>
      </c>
      <c r="D52" s="47">
        <v>171849</v>
      </c>
      <c r="E52" s="47">
        <v>171849</v>
      </c>
      <c r="F52" s="47">
        <v>171849</v>
      </c>
      <c r="G52" s="47">
        <v>559569</v>
      </c>
      <c r="H52" s="48">
        <v>0.307</v>
      </c>
      <c r="I52" s="48">
        <v>0.307</v>
      </c>
      <c r="J52" s="48">
        <v>0.307</v>
      </c>
      <c r="K52" s="64">
        <v>2E-3</v>
      </c>
      <c r="L52" s="48">
        <f>Tabelle1[[#This Row],[Spalte12]]-Tabelle1[[#This Row],[Spalte11]]</f>
        <v>7.3999999999999996E-2</v>
      </c>
      <c r="M52" s="48">
        <v>7.5999999999999998E-2</v>
      </c>
      <c r="N52" s="48">
        <v>9.1999999999999998E-2</v>
      </c>
      <c r="O52" s="48">
        <v>0.114</v>
      </c>
      <c r="P52" s="48">
        <v>0.114</v>
      </c>
      <c r="Q52" s="47">
        <v>1501316</v>
      </c>
      <c r="R52" s="49">
        <v>1.52</v>
      </c>
      <c r="S52" s="47">
        <v>502235</v>
      </c>
      <c r="T52" s="47">
        <v>330276</v>
      </c>
      <c r="U52" s="49">
        <v>1.4</v>
      </c>
      <c r="V52" s="47">
        <v>309236</v>
      </c>
      <c r="W52" s="47">
        <v>220497</v>
      </c>
      <c r="X52" s="49">
        <v>1.4</v>
      </c>
      <c r="Y52" s="47">
        <v>261151</v>
      </c>
      <c r="Z52" s="47">
        <v>187187</v>
      </c>
      <c r="AA52" s="49">
        <v>1.85</v>
      </c>
      <c r="AB52" s="47">
        <v>424866</v>
      </c>
      <c r="AC52" s="47">
        <v>229815</v>
      </c>
      <c r="AD52" s="50">
        <v>1.77</v>
      </c>
      <c r="AE52" s="47">
        <v>846144</v>
      </c>
      <c r="AF52" s="47">
        <v>477908</v>
      </c>
      <c r="AG52" s="22"/>
    </row>
    <row r="53" spans="1:33" ht="10.5" customHeight="1" x14ac:dyDescent="0.15">
      <c r="A53" s="51" t="s">
        <v>68</v>
      </c>
      <c r="B53" s="41">
        <v>4</v>
      </c>
      <c r="C53" s="42">
        <v>68031</v>
      </c>
      <c r="D53" s="42">
        <v>170159</v>
      </c>
      <c r="E53" s="42">
        <v>120159</v>
      </c>
      <c r="F53" s="42">
        <v>170159</v>
      </c>
      <c r="G53" s="42">
        <v>850389</v>
      </c>
      <c r="H53" s="43">
        <v>0.14099999999999999</v>
      </c>
      <c r="I53" s="43">
        <v>0.2</v>
      </c>
      <c r="J53" s="43">
        <v>0.2</v>
      </c>
      <c r="K53" s="63">
        <v>1E-3</v>
      </c>
      <c r="L53" s="43">
        <f>Tabelle1[[#This Row],[Spalte12]]-Tabelle1[[#This Row],[Spalte11]]</f>
        <v>7.3999999999999996E-2</v>
      </c>
      <c r="M53" s="43">
        <v>7.4999999999999997E-2</v>
      </c>
      <c r="N53" s="43">
        <v>9.0999999999999998E-2</v>
      </c>
      <c r="O53" s="43">
        <v>0.113</v>
      </c>
      <c r="P53" s="43">
        <v>4.5999999999999999E-2</v>
      </c>
      <c r="Q53" s="42">
        <v>3664970</v>
      </c>
      <c r="R53" s="44">
        <v>1.79</v>
      </c>
      <c r="S53" s="42">
        <v>371255</v>
      </c>
      <c r="T53" s="42">
        <v>207384</v>
      </c>
      <c r="U53" s="44">
        <v>2.44</v>
      </c>
      <c r="V53" s="42">
        <v>481447</v>
      </c>
      <c r="W53" s="42">
        <v>197576</v>
      </c>
      <c r="X53" s="44">
        <v>1.56</v>
      </c>
      <c r="Y53" s="42">
        <v>375511</v>
      </c>
      <c r="Z53" s="42">
        <v>240393</v>
      </c>
      <c r="AA53" s="44">
        <v>1.96</v>
      </c>
      <c r="AB53" s="42">
        <v>331411</v>
      </c>
      <c r="AC53" s="42">
        <v>169100</v>
      </c>
      <c r="AD53" s="45">
        <v>1.08</v>
      </c>
      <c r="AE53" s="42">
        <v>1767718</v>
      </c>
      <c r="AF53" s="42">
        <v>1641595</v>
      </c>
      <c r="AG53" s="22"/>
    </row>
    <row r="54" spans="1:33" ht="10.5" customHeight="1" x14ac:dyDescent="0.15">
      <c r="A54" s="52" t="s">
        <v>13</v>
      </c>
      <c r="B54" s="46">
        <v>3</v>
      </c>
      <c r="C54" s="47">
        <v>1165801</v>
      </c>
      <c r="D54" s="47">
        <v>2777665</v>
      </c>
      <c r="E54" s="47">
        <v>2746300</v>
      </c>
      <c r="F54" s="47">
        <v>2746300</v>
      </c>
      <c r="G54" s="47">
        <v>14572514</v>
      </c>
      <c r="H54" s="48">
        <v>0.188</v>
      </c>
      <c r="I54" s="48">
        <v>0.188</v>
      </c>
      <c r="J54" s="48">
        <v>0.191</v>
      </c>
      <c r="K54" s="64">
        <v>1.2999999999999999E-2</v>
      </c>
      <c r="L54" s="48">
        <f>Tabelle1[[#This Row],[Spalte12]]-Tabelle1[[#This Row],[Spalte11]]</f>
        <v>7.8E-2</v>
      </c>
      <c r="M54" s="48">
        <v>9.0999999999999998E-2</v>
      </c>
      <c r="N54" s="48">
        <v>0.109</v>
      </c>
      <c r="O54" s="48">
        <v>0.13300000000000001</v>
      </c>
      <c r="P54" s="48">
        <v>7.8E-2</v>
      </c>
      <c r="Q54" s="47">
        <v>35391057</v>
      </c>
      <c r="R54" s="49">
        <v>1.5</v>
      </c>
      <c r="S54" s="47">
        <v>7319759</v>
      </c>
      <c r="T54" s="47">
        <v>4864162</v>
      </c>
      <c r="U54" s="49">
        <v>1.47</v>
      </c>
      <c r="V54" s="47">
        <v>6501538</v>
      </c>
      <c r="W54" s="47">
        <v>4418575</v>
      </c>
      <c r="X54" s="49">
        <v>1.45</v>
      </c>
      <c r="Y54" s="47">
        <v>6231592</v>
      </c>
      <c r="Z54" s="47">
        <v>4287588</v>
      </c>
      <c r="AA54" s="49">
        <v>1.31</v>
      </c>
      <c r="AB54" s="47">
        <v>5335609</v>
      </c>
      <c r="AC54" s="47">
        <v>4058479</v>
      </c>
      <c r="AD54" s="50">
        <v>1.46</v>
      </c>
      <c r="AE54" s="47">
        <v>27059163</v>
      </c>
      <c r="AF54" s="47">
        <v>18594799</v>
      </c>
      <c r="AG54" s="22"/>
    </row>
    <row r="55" spans="1:33" ht="10.5" customHeight="1" x14ac:dyDescent="0.15">
      <c r="A55" s="51" t="s">
        <v>9</v>
      </c>
      <c r="B55" s="41">
        <v>3</v>
      </c>
      <c r="C55" s="42">
        <v>1939218</v>
      </c>
      <c r="D55" s="42">
        <v>4528979</v>
      </c>
      <c r="E55" s="42">
        <v>4312199</v>
      </c>
      <c r="F55" s="42">
        <v>4447122</v>
      </c>
      <c r="G55" s="42">
        <v>24240222</v>
      </c>
      <c r="H55" s="43">
        <v>0.17799999999999999</v>
      </c>
      <c r="I55" s="43">
        <v>0.183</v>
      </c>
      <c r="J55" s="43">
        <v>0.187</v>
      </c>
      <c r="K55" s="63">
        <v>0.01</v>
      </c>
      <c r="L55" s="43">
        <f>Tabelle1[[#This Row],[Spalte12]]-Tabelle1[[#This Row],[Spalte11]]</f>
        <v>7.8E-2</v>
      </c>
      <c r="M55" s="43">
        <v>8.7999999999999995E-2</v>
      </c>
      <c r="N55" s="43">
        <v>0.106</v>
      </c>
      <c r="O55" s="43">
        <v>0.13</v>
      </c>
      <c r="P55" s="43">
        <v>7.1999999999999995E-2</v>
      </c>
      <c r="Q55" s="42">
        <v>61408162</v>
      </c>
      <c r="R55" s="44">
        <v>1.65</v>
      </c>
      <c r="S55" s="42">
        <v>8906360</v>
      </c>
      <c r="T55" s="42">
        <v>5397757</v>
      </c>
      <c r="U55" s="44">
        <v>1.67</v>
      </c>
      <c r="V55" s="42">
        <v>9213218</v>
      </c>
      <c r="W55" s="42">
        <v>5518551</v>
      </c>
      <c r="X55" s="44">
        <v>1.55</v>
      </c>
      <c r="Y55" s="42">
        <v>8310241</v>
      </c>
      <c r="Z55" s="42">
        <v>5364253</v>
      </c>
      <c r="AA55" s="44">
        <v>1.4</v>
      </c>
      <c r="AB55" s="42">
        <v>7699771</v>
      </c>
      <c r="AC55" s="42">
        <v>5501150</v>
      </c>
      <c r="AD55" s="45">
        <v>1.23</v>
      </c>
      <c r="AE55" s="42">
        <v>37212445</v>
      </c>
      <c r="AF55" s="42">
        <v>30238486</v>
      </c>
      <c r="AG55" s="22"/>
    </row>
    <row r="56" spans="1:33" ht="10.5" customHeight="1" x14ac:dyDescent="0.15">
      <c r="A56" s="52" t="s">
        <v>179</v>
      </c>
      <c r="B56" s="46">
        <v>5</v>
      </c>
      <c r="C56" s="47">
        <v>18218</v>
      </c>
      <c r="D56" s="47">
        <v>140188</v>
      </c>
      <c r="E56" s="47">
        <v>140162</v>
      </c>
      <c r="F56" s="47">
        <v>140162</v>
      </c>
      <c r="G56" s="47">
        <v>227720</v>
      </c>
      <c r="H56" s="48">
        <v>0.61499999999999999</v>
      </c>
      <c r="I56" s="48">
        <v>0.61499999999999999</v>
      </c>
      <c r="J56" s="48">
        <v>0.61599999999999999</v>
      </c>
      <c r="K56" s="64">
        <v>0</v>
      </c>
      <c r="L56" s="48">
        <f>Tabelle1[[#This Row],[Spalte12]]-Tabelle1[[#This Row],[Spalte11]]</f>
        <v>7.0000000000000007E-2</v>
      </c>
      <c r="M56" s="48">
        <v>7.0000000000000007E-2</v>
      </c>
      <c r="N56" s="48">
        <v>8.5000000000000006E-2</v>
      </c>
      <c r="O56" s="48">
        <v>0.105</v>
      </c>
      <c r="P56" s="48">
        <v>0.17399999999999999</v>
      </c>
      <c r="Q56" s="47">
        <v>803431</v>
      </c>
      <c r="R56" s="49">
        <v>1.64</v>
      </c>
      <c r="S56" s="47">
        <v>158580</v>
      </c>
      <c r="T56" s="47">
        <v>96647</v>
      </c>
      <c r="U56" s="49">
        <v>2.66</v>
      </c>
      <c r="V56" s="47">
        <v>250449</v>
      </c>
      <c r="W56" s="47">
        <v>94322</v>
      </c>
      <c r="X56" s="49">
        <v>2.09</v>
      </c>
      <c r="Y56" s="47">
        <v>162736</v>
      </c>
      <c r="Z56" s="47">
        <v>77694</v>
      </c>
      <c r="AA56" s="49">
        <v>1.76</v>
      </c>
      <c r="AB56" s="47">
        <v>140879</v>
      </c>
      <c r="AC56" s="47">
        <v>80242</v>
      </c>
      <c r="AD56" s="50">
        <v>1.43</v>
      </c>
      <c r="AE56" s="47">
        <v>466967</v>
      </c>
      <c r="AF56" s="47">
        <v>326778</v>
      </c>
      <c r="AG56" s="22"/>
    </row>
    <row r="57" spans="1:33" ht="10.5" customHeight="1" x14ac:dyDescent="0.15">
      <c r="A57" s="51" t="s">
        <v>180</v>
      </c>
      <c r="B57" s="41">
        <v>5</v>
      </c>
      <c r="C57" s="42">
        <v>14224</v>
      </c>
      <c r="D57" s="42">
        <v>40364</v>
      </c>
      <c r="E57" s="42">
        <v>40364</v>
      </c>
      <c r="F57" s="42">
        <v>40364</v>
      </c>
      <c r="G57" s="42">
        <v>177797</v>
      </c>
      <c r="H57" s="43">
        <v>0.22700000000000001</v>
      </c>
      <c r="I57" s="43">
        <v>0.22700000000000001</v>
      </c>
      <c r="J57" s="43">
        <v>0.22700000000000001</v>
      </c>
      <c r="K57" s="63">
        <v>0</v>
      </c>
      <c r="L57" s="43">
        <f>Tabelle1[[#This Row],[Spalte12]]-Tabelle1[[#This Row],[Spalte11]]</f>
        <v>7.0000000000000007E-2</v>
      </c>
      <c r="M57" s="43">
        <v>7.0000000000000007E-2</v>
      </c>
      <c r="N57" s="43">
        <v>8.5000000000000006E-2</v>
      </c>
      <c r="O57" s="43">
        <v>0.105</v>
      </c>
      <c r="P57" s="43">
        <v>6.7000000000000004E-2</v>
      </c>
      <c r="Q57" s="42">
        <v>599650</v>
      </c>
      <c r="R57" s="44">
        <v>1.95</v>
      </c>
      <c r="S57" s="42">
        <v>113237</v>
      </c>
      <c r="T57" s="42">
        <v>58169</v>
      </c>
      <c r="U57" s="44">
        <v>1.83</v>
      </c>
      <c r="V57" s="42">
        <v>108731</v>
      </c>
      <c r="W57" s="42">
        <v>59497</v>
      </c>
      <c r="X57" s="44">
        <v>2.17</v>
      </c>
      <c r="Y57" s="42">
        <v>104674</v>
      </c>
      <c r="Z57" s="42">
        <v>48279</v>
      </c>
      <c r="AA57" s="44">
        <v>2.0099999999999998</v>
      </c>
      <c r="AB57" s="42">
        <v>84463</v>
      </c>
      <c r="AC57" s="42">
        <v>42041</v>
      </c>
      <c r="AD57" s="45">
        <v>2.2200000000000002</v>
      </c>
      <c r="AE57" s="42">
        <v>377225</v>
      </c>
      <c r="AF57" s="42">
        <v>169693</v>
      </c>
      <c r="AG57" s="22"/>
    </row>
    <row r="58" spans="1:33" ht="10.5" customHeight="1" x14ac:dyDescent="0.15">
      <c r="A58" s="52" t="s">
        <v>23</v>
      </c>
      <c r="B58" s="46">
        <v>3</v>
      </c>
      <c r="C58" s="47">
        <v>1278027</v>
      </c>
      <c r="D58" s="47">
        <v>3127005</v>
      </c>
      <c r="E58" s="47">
        <v>2767304</v>
      </c>
      <c r="F58" s="47">
        <v>2767304</v>
      </c>
      <c r="G58" s="47">
        <v>15975333</v>
      </c>
      <c r="H58" s="48">
        <v>0.17299999999999999</v>
      </c>
      <c r="I58" s="48">
        <v>0.17299999999999999</v>
      </c>
      <c r="J58" s="48">
        <v>0.19600000000000001</v>
      </c>
      <c r="K58" s="64">
        <v>1.4E-2</v>
      </c>
      <c r="L58" s="48">
        <f>Tabelle1[[#This Row],[Spalte12]]-Tabelle1[[#This Row],[Spalte11]]</f>
        <v>7.8E-2</v>
      </c>
      <c r="M58" s="48">
        <v>9.1999999999999998E-2</v>
      </c>
      <c r="N58" s="48">
        <v>0.11</v>
      </c>
      <c r="O58" s="48">
        <v>0.13400000000000001</v>
      </c>
      <c r="P58" s="48">
        <v>6.7000000000000004E-2</v>
      </c>
      <c r="Q58" s="47">
        <v>41339705</v>
      </c>
      <c r="R58" s="49">
        <v>2.04</v>
      </c>
      <c r="S58" s="47">
        <v>9005419</v>
      </c>
      <c r="T58" s="47">
        <v>4407216</v>
      </c>
      <c r="U58" s="49">
        <v>2.0499999999999998</v>
      </c>
      <c r="V58" s="47">
        <v>8912655</v>
      </c>
      <c r="W58" s="47">
        <v>4357620</v>
      </c>
      <c r="X58" s="49">
        <v>2.0099999999999998</v>
      </c>
      <c r="Y58" s="47">
        <v>8667628</v>
      </c>
      <c r="Z58" s="47">
        <v>4316655</v>
      </c>
      <c r="AA58" s="49">
        <v>1.95</v>
      </c>
      <c r="AB58" s="47">
        <v>7949233</v>
      </c>
      <c r="AC58" s="47">
        <v>4080496</v>
      </c>
      <c r="AD58" s="50">
        <v>1.55</v>
      </c>
      <c r="AE58" s="47">
        <v>34005912</v>
      </c>
      <c r="AF58" s="47">
        <v>21916273</v>
      </c>
      <c r="AG58" s="22"/>
    </row>
    <row r="59" spans="1:33" ht="10.5" customHeight="1" x14ac:dyDescent="0.15">
      <c r="A59" s="51" t="s">
        <v>5</v>
      </c>
      <c r="B59" s="41">
        <v>4</v>
      </c>
      <c r="C59" s="42">
        <v>61532</v>
      </c>
      <c r="D59" s="42">
        <v>141181</v>
      </c>
      <c r="E59" s="42">
        <v>138696</v>
      </c>
      <c r="F59" s="42">
        <v>138696</v>
      </c>
      <c r="G59" s="42">
        <v>769148</v>
      </c>
      <c r="H59" s="43">
        <v>0.18</v>
      </c>
      <c r="I59" s="43">
        <v>0.18</v>
      </c>
      <c r="J59" s="43">
        <v>0.184</v>
      </c>
      <c r="K59" s="63">
        <v>1.6E-2</v>
      </c>
      <c r="L59" s="43">
        <f>Tabelle1[[#This Row],[Spalte12]]-Tabelle1[[#This Row],[Spalte11]]</f>
        <v>7.3999999999999996E-2</v>
      </c>
      <c r="M59" s="43">
        <v>0.09</v>
      </c>
      <c r="N59" s="43">
        <v>0.106</v>
      </c>
      <c r="O59" s="43">
        <v>0.128</v>
      </c>
      <c r="P59" s="43">
        <v>0.08</v>
      </c>
      <c r="Q59" s="42">
        <v>1734054</v>
      </c>
      <c r="R59" s="44">
        <v>2.0299999999999998</v>
      </c>
      <c r="S59" s="42">
        <v>150580</v>
      </c>
      <c r="T59" s="42">
        <v>74100</v>
      </c>
      <c r="U59" s="44">
        <v>2.2599999999999998</v>
      </c>
      <c r="V59" s="42">
        <v>142439</v>
      </c>
      <c r="W59" s="42">
        <v>63079</v>
      </c>
      <c r="X59" s="44">
        <v>2.17</v>
      </c>
      <c r="Y59" s="42">
        <v>139475</v>
      </c>
      <c r="Z59" s="42">
        <v>64347</v>
      </c>
      <c r="AA59" s="44">
        <v>2.4500000000000002</v>
      </c>
      <c r="AB59" s="42">
        <v>133193</v>
      </c>
      <c r="AC59" s="42">
        <v>54436</v>
      </c>
      <c r="AD59" s="45">
        <v>1.28</v>
      </c>
      <c r="AE59" s="42">
        <v>1452432</v>
      </c>
      <c r="AF59" s="42">
        <v>1138987</v>
      </c>
      <c r="AG59" s="22"/>
    </row>
    <row r="60" spans="1:33" ht="10.5" customHeight="1" x14ac:dyDescent="0.15">
      <c r="A60" s="52" t="s">
        <v>221</v>
      </c>
      <c r="B60" s="46">
        <v>5</v>
      </c>
      <c r="C60" s="47">
        <v>1225</v>
      </c>
      <c r="D60" s="47">
        <v>43479</v>
      </c>
      <c r="E60" s="47">
        <v>43479</v>
      </c>
      <c r="F60" s="47">
        <v>43479</v>
      </c>
      <c r="G60" s="47">
        <v>15316</v>
      </c>
      <c r="H60" s="48">
        <v>2.839</v>
      </c>
      <c r="I60" s="48">
        <v>2.839</v>
      </c>
      <c r="J60" s="48">
        <v>2.839</v>
      </c>
      <c r="K60" s="64">
        <v>0</v>
      </c>
      <c r="L60" s="48">
        <f>Tabelle1[[#This Row],[Spalte12]]-Tabelle1[[#This Row],[Spalte11]]</f>
        <v>7.0000000000000007E-2</v>
      </c>
      <c r="M60" s="48">
        <v>7.0000000000000007E-2</v>
      </c>
      <c r="N60" s="48">
        <v>8.5000000000000006E-2</v>
      </c>
      <c r="O60" s="48">
        <v>0.105</v>
      </c>
      <c r="P60" s="48">
        <v>0.95499999999999996</v>
      </c>
      <c r="Q60" s="47">
        <v>45540</v>
      </c>
      <c r="R60" s="39" t="s">
        <v>214</v>
      </c>
      <c r="S60" s="39" t="s">
        <v>214</v>
      </c>
      <c r="T60" s="39" t="s">
        <v>214</v>
      </c>
      <c r="U60" s="39" t="s">
        <v>214</v>
      </c>
      <c r="V60" s="39" t="s">
        <v>214</v>
      </c>
      <c r="W60" s="39" t="s">
        <v>214</v>
      </c>
      <c r="X60" s="39" t="s">
        <v>214</v>
      </c>
      <c r="Y60" s="39" t="s">
        <v>214</v>
      </c>
      <c r="Z60" s="39" t="s">
        <v>214</v>
      </c>
      <c r="AA60" s="39" t="s">
        <v>214</v>
      </c>
      <c r="AB60" s="39" t="s">
        <v>214</v>
      </c>
      <c r="AC60" s="39" t="s">
        <v>214</v>
      </c>
      <c r="AD60" s="50">
        <v>2.34</v>
      </c>
      <c r="AE60" s="47">
        <v>60000</v>
      </c>
      <c r="AF60" s="47">
        <v>25597</v>
      </c>
      <c r="AG60" s="22"/>
    </row>
    <row r="61" spans="1:33" ht="10.5" customHeight="1" x14ac:dyDescent="0.15">
      <c r="A61" s="51" t="s">
        <v>89</v>
      </c>
      <c r="B61" s="41">
        <v>4</v>
      </c>
      <c r="C61" s="42">
        <v>330785</v>
      </c>
      <c r="D61" s="42">
        <v>1092684</v>
      </c>
      <c r="E61" s="42">
        <v>1092684</v>
      </c>
      <c r="F61" s="42">
        <v>1092684</v>
      </c>
      <c r="G61" s="42">
        <v>4134814</v>
      </c>
      <c r="H61" s="43">
        <v>0.26400000000000001</v>
      </c>
      <c r="I61" s="43">
        <v>0.26400000000000001</v>
      </c>
      <c r="J61" s="43">
        <v>0.26400000000000001</v>
      </c>
      <c r="K61" s="63">
        <v>1E-3</v>
      </c>
      <c r="L61" s="43">
        <f>Tabelle1[[#This Row],[Spalte12]]-Tabelle1[[#This Row],[Spalte11]]</f>
        <v>7.3999999999999996E-2</v>
      </c>
      <c r="M61" s="43">
        <v>7.4999999999999997E-2</v>
      </c>
      <c r="N61" s="43">
        <v>9.0999999999999998E-2</v>
      </c>
      <c r="O61" s="43">
        <v>0.113</v>
      </c>
      <c r="P61" s="43">
        <v>6.6000000000000003E-2</v>
      </c>
      <c r="Q61" s="42">
        <v>16473256</v>
      </c>
      <c r="R61" s="44">
        <v>1.31</v>
      </c>
      <c r="S61" s="42">
        <v>6807832</v>
      </c>
      <c r="T61" s="42">
        <v>5200284</v>
      </c>
      <c r="U61" s="44">
        <v>1.21</v>
      </c>
      <c r="V61" s="42">
        <v>7263939</v>
      </c>
      <c r="W61" s="42">
        <v>6009877</v>
      </c>
      <c r="X61" s="44">
        <v>1.39</v>
      </c>
      <c r="Y61" s="42">
        <v>6799479</v>
      </c>
      <c r="Z61" s="42">
        <v>4881481</v>
      </c>
      <c r="AA61" s="44">
        <v>1.7</v>
      </c>
      <c r="AB61" s="42">
        <v>5918382</v>
      </c>
      <c r="AC61" s="42">
        <v>3486032</v>
      </c>
      <c r="AD61" s="45">
        <v>1.1100000000000001</v>
      </c>
      <c r="AE61" s="42">
        <v>6223322</v>
      </c>
      <c r="AF61" s="42">
        <v>5611419</v>
      </c>
      <c r="AG61" s="22"/>
    </row>
    <row r="62" spans="1:33" ht="10.5" customHeight="1" x14ac:dyDescent="0.15">
      <c r="A62" s="52" t="s">
        <v>200</v>
      </c>
      <c r="B62" s="46">
        <v>5</v>
      </c>
      <c r="C62" s="47">
        <v>6603</v>
      </c>
      <c r="D62" s="47">
        <v>32396</v>
      </c>
      <c r="E62" s="47">
        <v>32396</v>
      </c>
      <c r="F62" s="47">
        <v>32396</v>
      </c>
      <c r="G62" s="47">
        <v>82532</v>
      </c>
      <c r="H62" s="48">
        <v>0.39300000000000002</v>
      </c>
      <c r="I62" s="48">
        <v>0.39300000000000002</v>
      </c>
      <c r="J62" s="48">
        <v>0.39300000000000002</v>
      </c>
      <c r="K62" s="64">
        <v>0</v>
      </c>
      <c r="L62" s="48">
        <f>Tabelle1[[#This Row],[Spalte12]]-Tabelle1[[#This Row],[Spalte11]]</f>
        <v>7.0000000000000007E-2</v>
      </c>
      <c r="M62" s="48">
        <v>7.0000000000000007E-2</v>
      </c>
      <c r="N62" s="48">
        <v>8.5000000000000006E-2</v>
      </c>
      <c r="O62" s="48">
        <v>0.105</v>
      </c>
      <c r="P62" s="48">
        <v>7.6999999999999999E-2</v>
      </c>
      <c r="Q62" s="47">
        <v>420276</v>
      </c>
      <c r="R62" s="49">
        <v>3.52</v>
      </c>
      <c r="S62" s="47">
        <v>177108</v>
      </c>
      <c r="T62" s="47">
        <v>50315</v>
      </c>
      <c r="U62" s="49">
        <v>5.65</v>
      </c>
      <c r="V62" s="47">
        <v>220937</v>
      </c>
      <c r="W62" s="47">
        <v>39079</v>
      </c>
      <c r="X62" s="49">
        <v>6.71</v>
      </c>
      <c r="Y62" s="47">
        <v>252307</v>
      </c>
      <c r="Z62" s="47">
        <v>37620</v>
      </c>
      <c r="AA62" s="49">
        <v>8.41</v>
      </c>
      <c r="AB62" s="47">
        <v>248364</v>
      </c>
      <c r="AC62" s="47">
        <v>29547</v>
      </c>
      <c r="AD62" s="50">
        <v>6.25</v>
      </c>
      <c r="AE62" s="47">
        <v>248601</v>
      </c>
      <c r="AF62" s="47">
        <v>39779</v>
      </c>
      <c r="AG62" s="22"/>
    </row>
    <row r="63" spans="1:33" ht="10.5" customHeight="1" x14ac:dyDescent="0.15">
      <c r="A63" s="51" t="s">
        <v>73</v>
      </c>
      <c r="B63" s="41">
        <v>3</v>
      </c>
      <c r="C63" s="42">
        <v>621932</v>
      </c>
      <c r="D63" s="42">
        <v>1869912</v>
      </c>
      <c r="E63" s="42">
        <v>1538962</v>
      </c>
      <c r="F63" s="42">
        <v>1538962</v>
      </c>
      <c r="G63" s="42">
        <v>7774146</v>
      </c>
      <c r="H63" s="43">
        <v>0.19800000000000001</v>
      </c>
      <c r="I63" s="43">
        <v>0.19800000000000001</v>
      </c>
      <c r="J63" s="43">
        <v>0.24099999999999999</v>
      </c>
      <c r="K63" s="63">
        <v>0</v>
      </c>
      <c r="L63" s="43">
        <f>Tabelle1[[#This Row],[Spalte12]]-Tabelle1[[#This Row],[Spalte11]]</f>
        <v>7.8E-2</v>
      </c>
      <c r="M63" s="43">
        <v>7.8E-2</v>
      </c>
      <c r="N63" s="43">
        <v>9.6000000000000002E-2</v>
      </c>
      <c r="O63" s="43">
        <v>0.12</v>
      </c>
      <c r="P63" s="43">
        <v>7.5999999999999998E-2</v>
      </c>
      <c r="Q63" s="42">
        <v>20254458</v>
      </c>
      <c r="R63" s="44">
        <v>1.9</v>
      </c>
      <c r="S63" s="42">
        <v>6124300</v>
      </c>
      <c r="T63" s="42">
        <v>3223730</v>
      </c>
      <c r="U63" s="44">
        <v>1.79</v>
      </c>
      <c r="V63" s="42">
        <v>6281152</v>
      </c>
      <c r="W63" s="42">
        <v>3506607</v>
      </c>
      <c r="X63" s="44">
        <v>1.63</v>
      </c>
      <c r="Y63" s="42">
        <v>6218870</v>
      </c>
      <c r="Z63" s="42">
        <v>3824168</v>
      </c>
      <c r="AA63" s="44">
        <v>2.4900000000000002</v>
      </c>
      <c r="AB63" s="42">
        <v>5595741</v>
      </c>
      <c r="AC63" s="42">
        <v>2248390</v>
      </c>
      <c r="AD63" s="45">
        <v>1.1100000000000001</v>
      </c>
      <c r="AE63" s="42">
        <v>7503125</v>
      </c>
      <c r="AF63" s="42">
        <v>6776839</v>
      </c>
      <c r="AG63" s="22"/>
    </row>
    <row r="64" spans="1:33" ht="10.5" customHeight="1" x14ac:dyDescent="0.15">
      <c r="A64" s="52" t="s">
        <v>4</v>
      </c>
      <c r="B64" s="46">
        <v>5</v>
      </c>
      <c r="C64" s="47">
        <v>3485</v>
      </c>
      <c r="D64" s="47">
        <v>9562</v>
      </c>
      <c r="E64" s="47">
        <v>8192</v>
      </c>
      <c r="F64" s="47">
        <v>8192</v>
      </c>
      <c r="G64" s="47">
        <v>43561</v>
      </c>
      <c r="H64" s="48">
        <v>0.188</v>
      </c>
      <c r="I64" s="48">
        <v>0.188</v>
      </c>
      <c r="J64" s="48">
        <v>0.219</v>
      </c>
      <c r="K64" s="64">
        <v>2.5000000000000001E-2</v>
      </c>
      <c r="L64" s="48">
        <f>Tabelle1[[#This Row],[Spalte12]]-Tabelle1[[#This Row],[Spalte11]]</f>
        <v>7.0000000000000007E-2</v>
      </c>
      <c r="M64" s="48">
        <v>9.5000000000000001E-2</v>
      </c>
      <c r="N64" s="48">
        <v>0.11</v>
      </c>
      <c r="O64" s="48">
        <v>0.13</v>
      </c>
      <c r="P64" s="48">
        <v>6.7000000000000004E-2</v>
      </c>
      <c r="Q64" s="47">
        <v>121385</v>
      </c>
      <c r="R64" s="49">
        <v>2.73</v>
      </c>
      <c r="S64" s="47">
        <v>26319</v>
      </c>
      <c r="T64" s="47">
        <v>9624</v>
      </c>
      <c r="U64" s="49">
        <v>2.5499999999999998</v>
      </c>
      <c r="V64" s="47">
        <v>24254</v>
      </c>
      <c r="W64" s="47">
        <v>9506</v>
      </c>
      <c r="X64" s="49">
        <v>2.58</v>
      </c>
      <c r="Y64" s="47">
        <v>25188</v>
      </c>
      <c r="Z64" s="47">
        <v>9763</v>
      </c>
      <c r="AA64" s="49">
        <v>2.57</v>
      </c>
      <c r="AB64" s="47">
        <v>25222</v>
      </c>
      <c r="AC64" s="47">
        <v>9817</v>
      </c>
      <c r="AD64" s="50">
        <v>1.9</v>
      </c>
      <c r="AE64" s="47">
        <v>112656</v>
      </c>
      <c r="AF64" s="47">
        <v>59356</v>
      </c>
      <c r="AG64" s="22"/>
    </row>
    <row r="65" spans="1:33" ht="10.5" customHeight="1" x14ac:dyDescent="0.15">
      <c r="A65" s="51" t="s">
        <v>32</v>
      </c>
      <c r="B65" s="41">
        <v>5</v>
      </c>
      <c r="C65" s="42">
        <v>22746</v>
      </c>
      <c r="D65" s="42">
        <v>56269</v>
      </c>
      <c r="E65" s="42">
        <v>50769</v>
      </c>
      <c r="F65" s="42">
        <v>50769</v>
      </c>
      <c r="G65" s="42">
        <v>284326</v>
      </c>
      <c r="H65" s="43">
        <v>0.17899999999999999</v>
      </c>
      <c r="I65" s="43">
        <v>0.17899999999999999</v>
      </c>
      <c r="J65" s="43">
        <v>0.19800000000000001</v>
      </c>
      <c r="K65" s="63">
        <v>1.6E-2</v>
      </c>
      <c r="L65" s="43">
        <f>Tabelle1[[#This Row],[Spalte12]]-Tabelle1[[#This Row],[Spalte11]]</f>
        <v>6.9999999999999993E-2</v>
      </c>
      <c r="M65" s="43">
        <v>8.5999999999999993E-2</v>
      </c>
      <c r="N65" s="43">
        <v>0.10100000000000001</v>
      </c>
      <c r="O65" s="43">
        <v>0.121</v>
      </c>
      <c r="P65" s="43">
        <v>8.3000000000000004E-2</v>
      </c>
      <c r="Q65" s="42">
        <v>613886</v>
      </c>
      <c r="R65" s="44">
        <v>11.58</v>
      </c>
      <c r="S65" s="42">
        <v>97296</v>
      </c>
      <c r="T65" s="42">
        <v>8405</v>
      </c>
      <c r="U65" s="44">
        <v>10.73</v>
      </c>
      <c r="V65" s="42">
        <v>92552</v>
      </c>
      <c r="W65" s="42">
        <v>8622</v>
      </c>
      <c r="X65" s="44">
        <v>6.07</v>
      </c>
      <c r="Y65" s="42">
        <v>77397</v>
      </c>
      <c r="Z65" s="42">
        <v>12750</v>
      </c>
      <c r="AA65" s="44">
        <v>4.6500000000000004</v>
      </c>
      <c r="AB65" s="42">
        <v>47009</v>
      </c>
      <c r="AC65" s="42">
        <v>10109</v>
      </c>
      <c r="AD65" s="45">
        <v>1.51</v>
      </c>
      <c r="AE65" s="42">
        <v>557896</v>
      </c>
      <c r="AF65" s="42">
        <v>370355</v>
      </c>
      <c r="AG65" s="22"/>
    </row>
    <row r="66" spans="1:33" ht="10.5" customHeight="1" x14ac:dyDescent="0.15">
      <c r="A66" s="52" t="s">
        <v>65</v>
      </c>
      <c r="B66" s="46">
        <v>4</v>
      </c>
      <c r="C66" s="47">
        <v>65161</v>
      </c>
      <c r="D66" s="47">
        <v>350575</v>
      </c>
      <c r="E66" s="47">
        <v>350575</v>
      </c>
      <c r="F66" s="47">
        <v>350575</v>
      </c>
      <c r="G66" s="47">
        <v>814516</v>
      </c>
      <c r="H66" s="48">
        <v>0.43</v>
      </c>
      <c r="I66" s="48">
        <v>0.43</v>
      </c>
      <c r="J66" s="48">
        <v>0.43</v>
      </c>
      <c r="K66" s="64">
        <v>1E-3</v>
      </c>
      <c r="L66" s="48">
        <f>Tabelle1[[#This Row],[Spalte12]]-Tabelle1[[#This Row],[Spalte11]]</f>
        <v>7.3999999999999996E-2</v>
      </c>
      <c r="M66" s="48">
        <v>7.4999999999999997E-2</v>
      </c>
      <c r="N66" s="48">
        <v>9.0999999999999998E-2</v>
      </c>
      <c r="O66" s="48">
        <v>0.113</v>
      </c>
      <c r="P66" s="48">
        <v>7.4999999999999997E-2</v>
      </c>
      <c r="Q66" s="47">
        <v>4682669</v>
      </c>
      <c r="R66" s="49">
        <v>4.74</v>
      </c>
      <c r="S66" s="47">
        <v>1331719</v>
      </c>
      <c r="T66" s="47">
        <v>280711</v>
      </c>
      <c r="U66" s="49">
        <v>4.45</v>
      </c>
      <c r="V66" s="47">
        <v>1443501</v>
      </c>
      <c r="W66" s="47">
        <v>324329</v>
      </c>
      <c r="X66" s="49">
        <v>7.34</v>
      </c>
      <c r="Y66" s="47">
        <v>1876029</v>
      </c>
      <c r="Z66" s="47">
        <v>255417</v>
      </c>
      <c r="AA66" s="49">
        <v>7.88</v>
      </c>
      <c r="AB66" s="47">
        <v>2390860</v>
      </c>
      <c r="AC66" s="47">
        <v>303446</v>
      </c>
      <c r="AD66" s="50">
        <v>3.71</v>
      </c>
      <c r="AE66" s="47">
        <v>3264565</v>
      </c>
      <c r="AF66" s="47">
        <v>880782</v>
      </c>
      <c r="AG66" s="22"/>
    </row>
    <row r="67" spans="1:33" ht="10.5" customHeight="1" x14ac:dyDescent="0.15">
      <c r="A67" s="51" t="s">
        <v>119</v>
      </c>
      <c r="B67" s="41">
        <v>4</v>
      </c>
      <c r="C67" s="42">
        <v>487206</v>
      </c>
      <c r="D67" s="42">
        <v>1049346</v>
      </c>
      <c r="E67" s="42">
        <v>896011</v>
      </c>
      <c r="F67" s="42">
        <v>1046011</v>
      </c>
      <c r="G67" s="42">
        <v>6090070</v>
      </c>
      <c r="H67" s="43">
        <v>0.14699999999999999</v>
      </c>
      <c r="I67" s="43">
        <v>0.17199999999999999</v>
      </c>
      <c r="J67" s="43">
        <v>0.17199999999999999</v>
      </c>
      <c r="K67" s="63">
        <v>0</v>
      </c>
      <c r="L67" s="43">
        <f>Tabelle1[[#This Row],[Spalte12]]-Tabelle1[[#This Row],[Spalte11]]</f>
        <v>7.3999999999999996E-2</v>
      </c>
      <c r="M67" s="43">
        <v>7.3999999999999996E-2</v>
      </c>
      <c r="N67" s="43">
        <v>0.09</v>
      </c>
      <c r="O67" s="43">
        <v>0.112</v>
      </c>
      <c r="P67" s="43">
        <v>0.126</v>
      </c>
      <c r="Q67" s="42">
        <v>8331291</v>
      </c>
      <c r="R67" s="44">
        <v>3.88</v>
      </c>
      <c r="S67" s="42">
        <v>687327</v>
      </c>
      <c r="T67" s="42">
        <v>177077</v>
      </c>
      <c r="U67" s="44">
        <v>2.17</v>
      </c>
      <c r="V67" s="42">
        <v>653130</v>
      </c>
      <c r="W67" s="42">
        <v>301601</v>
      </c>
      <c r="X67" s="44">
        <v>5.18</v>
      </c>
      <c r="Y67" s="42">
        <v>736508</v>
      </c>
      <c r="Z67" s="42">
        <v>142266</v>
      </c>
      <c r="AA67" s="44">
        <v>3.48</v>
      </c>
      <c r="AB67" s="42">
        <v>808894</v>
      </c>
      <c r="AC67" s="42">
        <v>232532</v>
      </c>
      <c r="AD67" s="45">
        <v>1.1299999999999999</v>
      </c>
      <c r="AE67" s="42">
        <v>6265971</v>
      </c>
      <c r="AF67" s="42">
        <v>5537270</v>
      </c>
      <c r="AG67" s="22"/>
    </row>
    <row r="68" spans="1:33" ht="10.5" customHeight="1" x14ac:dyDescent="0.15">
      <c r="A68" s="52" t="s">
        <v>81</v>
      </c>
      <c r="B68" s="46">
        <v>5</v>
      </c>
      <c r="C68" s="47">
        <v>35671</v>
      </c>
      <c r="D68" s="47">
        <v>107412</v>
      </c>
      <c r="E68" s="47">
        <v>106371</v>
      </c>
      <c r="F68" s="47">
        <v>106371</v>
      </c>
      <c r="G68" s="47">
        <v>445893</v>
      </c>
      <c r="H68" s="48">
        <v>0.23899999999999999</v>
      </c>
      <c r="I68" s="48">
        <v>0.23899999999999999</v>
      </c>
      <c r="J68" s="48">
        <v>0.24099999999999999</v>
      </c>
      <c r="K68" s="64">
        <v>0</v>
      </c>
      <c r="L68" s="48">
        <f>Tabelle1[[#This Row],[Spalte12]]-Tabelle1[[#This Row],[Spalte11]]</f>
        <v>7.0000000000000007E-2</v>
      </c>
      <c r="M68" s="48">
        <v>7.0000000000000007E-2</v>
      </c>
      <c r="N68" s="48">
        <v>8.5000000000000006E-2</v>
      </c>
      <c r="O68" s="48">
        <v>0.105</v>
      </c>
      <c r="P68" s="48">
        <v>0.06</v>
      </c>
      <c r="Q68" s="47">
        <v>1765694</v>
      </c>
      <c r="R68" s="49">
        <v>3.86</v>
      </c>
      <c r="S68" s="47">
        <v>1571080</v>
      </c>
      <c r="T68" s="47">
        <v>406648</v>
      </c>
      <c r="U68" s="49">
        <v>4.16</v>
      </c>
      <c r="V68" s="47">
        <v>1352883</v>
      </c>
      <c r="W68" s="47">
        <v>325476</v>
      </c>
      <c r="X68" s="49">
        <v>4</v>
      </c>
      <c r="Y68" s="47">
        <v>1287925</v>
      </c>
      <c r="Z68" s="47">
        <v>321829</v>
      </c>
      <c r="AA68" s="49">
        <v>4.5599999999999996</v>
      </c>
      <c r="AB68" s="47">
        <v>1150200</v>
      </c>
      <c r="AC68" s="47">
        <v>252140</v>
      </c>
      <c r="AD68" s="50">
        <v>3.16</v>
      </c>
      <c r="AE68" s="47">
        <v>1146691</v>
      </c>
      <c r="AF68" s="47">
        <v>363354</v>
      </c>
      <c r="AG68" s="22"/>
    </row>
    <row r="69" spans="1:33" ht="10.5" customHeight="1" x14ac:dyDescent="0.15">
      <c r="A69" s="51" t="s">
        <v>222</v>
      </c>
      <c r="B69" s="41">
        <v>5</v>
      </c>
      <c r="C69" s="42">
        <v>10899</v>
      </c>
      <c r="D69" s="42">
        <v>24237</v>
      </c>
      <c r="E69" s="42">
        <v>24237</v>
      </c>
      <c r="F69" s="42">
        <v>24237</v>
      </c>
      <c r="G69" s="42">
        <v>136244</v>
      </c>
      <c r="H69" s="43">
        <v>0.17799999999999999</v>
      </c>
      <c r="I69" s="43">
        <v>0.17799999999999999</v>
      </c>
      <c r="J69" s="43">
        <v>0.17799999999999999</v>
      </c>
      <c r="K69" s="63">
        <v>0</v>
      </c>
      <c r="L69" s="43">
        <f>Tabelle1[[#This Row],[Spalte12]]-Tabelle1[[#This Row],[Spalte11]]</f>
        <v>7.0000000000000007E-2</v>
      </c>
      <c r="M69" s="43">
        <v>7.0000000000000007E-2</v>
      </c>
      <c r="N69" s="43">
        <v>8.5000000000000006E-2</v>
      </c>
      <c r="O69" s="43">
        <v>0.105</v>
      </c>
      <c r="P69" s="43">
        <v>7.8E-2</v>
      </c>
      <c r="Q69" s="42">
        <v>311862</v>
      </c>
      <c r="R69" s="44">
        <v>3.1</v>
      </c>
      <c r="S69" s="42">
        <v>229109</v>
      </c>
      <c r="T69" s="42">
        <v>74014</v>
      </c>
      <c r="U69" s="44">
        <v>2.82</v>
      </c>
      <c r="V69" s="42">
        <v>175241</v>
      </c>
      <c r="W69" s="42">
        <v>62195</v>
      </c>
      <c r="X69" s="44">
        <v>2.58</v>
      </c>
      <c r="Y69" s="42">
        <v>127141</v>
      </c>
      <c r="Z69" s="42">
        <v>49187</v>
      </c>
      <c r="AA69" s="44">
        <v>3.09</v>
      </c>
      <c r="AB69" s="42">
        <v>98747</v>
      </c>
      <c r="AC69" s="42">
        <v>31932</v>
      </c>
      <c r="AD69" s="45">
        <v>2.46</v>
      </c>
      <c r="AE69" s="42">
        <v>203696</v>
      </c>
      <c r="AF69" s="42">
        <v>82875</v>
      </c>
      <c r="AG69" s="22"/>
    </row>
    <row r="70" spans="1:33" ht="10.5" customHeight="1" x14ac:dyDescent="0.15">
      <c r="A70" s="52" t="s">
        <v>104</v>
      </c>
      <c r="B70" s="46">
        <v>4</v>
      </c>
      <c r="C70" s="47">
        <v>511740</v>
      </c>
      <c r="D70" s="47">
        <v>1316020</v>
      </c>
      <c r="E70" s="47">
        <v>1302961</v>
      </c>
      <c r="F70" s="47">
        <v>1302961</v>
      </c>
      <c r="G70" s="47">
        <v>6396755</v>
      </c>
      <c r="H70" s="48">
        <v>0.20399999999999999</v>
      </c>
      <c r="I70" s="48">
        <v>0.20399999999999999</v>
      </c>
      <c r="J70" s="48">
        <v>0.20599999999999999</v>
      </c>
      <c r="K70" s="64">
        <v>1.4E-2</v>
      </c>
      <c r="L70" s="48">
        <f>Tabelle1[[#This Row],[Spalte12]]-Tabelle1[[#This Row],[Spalte11]]</f>
        <v>7.3999999999999996E-2</v>
      </c>
      <c r="M70" s="48">
        <v>8.7999999999999995E-2</v>
      </c>
      <c r="N70" s="48">
        <v>0.104</v>
      </c>
      <c r="O70" s="48">
        <v>0.126</v>
      </c>
      <c r="P70" s="48">
        <v>9.0999999999999998E-2</v>
      </c>
      <c r="Q70" s="47">
        <v>14392693</v>
      </c>
      <c r="R70" s="49">
        <v>1.45</v>
      </c>
      <c r="S70" s="47">
        <v>1475161</v>
      </c>
      <c r="T70" s="47">
        <v>1018677</v>
      </c>
      <c r="U70" s="49">
        <v>1.69</v>
      </c>
      <c r="V70" s="47">
        <v>1448179</v>
      </c>
      <c r="W70" s="47">
        <v>857350</v>
      </c>
      <c r="X70" s="49">
        <v>1.57</v>
      </c>
      <c r="Y70" s="47">
        <v>1560513</v>
      </c>
      <c r="Z70" s="47">
        <v>996322</v>
      </c>
      <c r="AA70" s="49">
        <v>1.58</v>
      </c>
      <c r="AB70" s="47">
        <v>1454749</v>
      </c>
      <c r="AC70" s="47">
        <v>922207</v>
      </c>
      <c r="AD70" s="50">
        <v>1.28</v>
      </c>
      <c r="AE70" s="47">
        <v>12383195</v>
      </c>
      <c r="AF70" s="47">
        <v>9680134</v>
      </c>
      <c r="AG70" s="22"/>
    </row>
    <row r="71" spans="1:33" ht="10.5" customHeight="1" x14ac:dyDescent="0.15">
      <c r="A71" s="51" t="s">
        <v>33</v>
      </c>
      <c r="B71" s="41">
        <v>4</v>
      </c>
      <c r="C71" s="42">
        <v>368544</v>
      </c>
      <c r="D71" s="42">
        <v>1135593</v>
      </c>
      <c r="E71" s="42">
        <v>1135593</v>
      </c>
      <c r="F71" s="42">
        <v>1135593</v>
      </c>
      <c r="G71" s="42">
        <v>4606795</v>
      </c>
      <c r="H71" s="43">
        <v>0.247</v>
      </c>
      <c r="I71" s="43">
        <v>0.247</v>
      </c>
      <c r="J71" s="43">
        <v>0.247</v>
      </c>
      <c r="K71" s="63">
        <v>3.0000000000000001E-3</v>
      </c>
      <c r="L71" s="43">
        <f>Tabelle1[[#This Row],[Spalte12]]-Tabelle1[[#This Row],[Spalte11]]</f>
        <v>7.3999999999999996E-2</v>
      </c>
      <c r="M71" s="43">
        <v>7.6999999999999999E-2</v>
      </c>
      <c r="N71" s="43">
        <v>9.2999999999999999E-2</v>
      </c>
      <c r="O71" s="43">
        <v>0.115</v>
      </c>
      <c r="P71" s="43">
        <v>0.14000000000000001</v>
      </c>
      <c r="Q71" s="42">
        <v>8138851</v>
      </c>
      <c r="R71" s="44">
        <v>1.86</v>
      </c>
      <c r="S71" s="42">
        <v>1811948</v>
      </c>
      <c r="T71" s="42">
        <v>971972</v>
      </c>
      <c r="U71" s="44">
        <v>1.79</v>
      </c>
      <c r="V71" s="42">
        <v>1551413</v>
      </c>
      <c r="W71" s="42">
        <v>869115</v>
      </c>
      <c r="X71" s="44">
        <v>1.96</v>
      </c>
      <c r="Y71" s="42">
        <v>1592573</v>
      </c>
      <c r="Z71" s="42">
        <v>814310</v>
      </c>
      <c r="AA71" s="44">
        <v>2.25</v>
      </c>
      <c r="AB71" s="42">
        <v>1566967</v>
      </c>
      <c r="AC71" s="42">
        <v>697281</v>
      </c>
      <c r="AD71" s="45">
        <v>1.53</v>
      </c>
      <c r="AE71" s="42">
        <v>5004595</v>
      </c>
      <c r="AF71" s="42">
        <v>3272642</v>
      </c>
      <c r="AG71" s="22"/>
    </row>
    <row r="72" spans="1:33" ht="10.5" customHeight="1" x14ac:dyDescent="0.15">
      <c r="A72" s="52" t="s">
        <v>94</v>
      </c>
      <c r="B72" s="46">
        <v>4</v>
      </c>
      <c r="C72" s="47">
        <v>191961</v>
      </c>
      <c r="D72" s="47">
        <v>440809</v>
      </c>
      <c r="E72" s="47">
        <v>440809</v>
      </c>
      <c r="F72" s="47">
        <v>440809</v>
      </c>
      <c r="G72" s="47">
        <v>2399511</v>
      </c>
      <c r="H72" s="48">
        <v>0.184</v>
      </c>
      <c r="I72" s="48">
        <v>0.184</v>
      </c>
      <c r="J72" s="48">
        <v>0.184</v>
      </c>
      <c r="K72" s="64">
        <v>1.6E-2</v>
      </c>
      <c r="L72" s="48">
        <f>Tabelle1[[#This Row],[Spalte12]]-Tabelle1[[#This Row],[Spalte11]]</f>
        <v>7.3999999999999996E-2</v>
      </c>
      <c r="M72" s="48">
        <v>0.09</v>
      </c>
      <c r="N72" s="48">
        <v>0.106</v>
      </c>
      <c r="O72" s="48">
        <v>0.128</v>
      </c>
      <c r="P72" s="48">
        <v>6.8000000000000005E-2</v>
      </c>
      <c r="Q72" s="47">
        <v>6511876</v>
      </c>
      <c r="R72" s="49">
        <v>1.59</v>
      </c>
      <c r="S72" s="47">
        <v>472153</v>
      </c>
      <c r="T72" s="47">
        <v>296288</v>
      </c>
      <c r="U72" s="49">
        <v>1.48</v>
      </c>
      <c r="V72" s="47">
        <v>409050</v>
      </c>
      <c r="W72" s="47">
        <v>275665</v>
      </c>
      <c r="X72" s="49">
        <v>1.58</v>
      </c>
      <c r="Y72" s="47">
        <v>386018</v>
      </c>
      <c r="Z72" s="47">
        <v>243830</v>
      </c>
      <c r="AA72" s="49">
        <v>1.61</v>
      </c>
      <c r="AB72" s="47">
        <v>485460</v>
      </c>
      <c r="AC72" s="47">
        <v>301022</v>
      </c>
      <c r="AD72" s="50">
        <v>1.1200000000000001</v>
      </c>
      <c r="AE72" s="47">
        <v>4962336</v>
      </c>
      <c r="AF72" s="47">
        <v>4448640</v>
      </c>
      <c r="AG72" s="22"/>
    </row>
    <row r="73" spans="1:33" ht="10.5" customHeight="1" x14ac:dyDescent="0.15">
      <c r="A73" s="51" t="s">
        <v>56</v>
      </c>
      <c r="B73" s="41">
        <v>5</v>
      </c>
      <c r="C73" s="42">
        <v>38322</v>
      </c>
      <c r="D73" s="42">
        <v>134544</v>
      </c>
      <c r="E73" s="42">
        <v>134544</v>
      </c>
      <c r="F73" s="42">
        <v>134544</v>
      </c>
      <c r="G73" s="42">
        <v>479030</v>
      </c>
      <c r="H73" s="43">
        <v>0.28100000000000003</v>
      </c>
      <c r="I73" s="43">
        <v>0.28100000000000003</v>
      </c>
      <c r="J73" s="43">
        <v>0.28100000000000003</v>
      </c>
      <c r="K73" s="63">
        <v>0</v>
      </c>
      <c r="L73" s="43">
        <f>Tabelle1[[#This Row],[Spalte12]]-Tabelle1[[#This Row],[Spalte11]]</f>
        <v>7.0000000000000007E-2</v>
      </c>
      <c r="M73" s="43">
        <v>7.0000000000000007E-2</v>
      </c>
      <c r="N73" s="43">
        <v>8.5000000000000006E-2</v>
      </c>
      <c r="O73" s="43">
        <v>0.105</v>
      </c>
      <c r="P73" s="43">
        <v>0.2</v>
      </c>
      <c r="Q73" s="42">
        <v>672690</v>
      </c>
      <c r="R73" s="44">
        <v>2.79</v>
      </c>
      <c r="S73" s="42">
        <v>93192</v>
      </c>
      <c r="T73" s="42">
        <v>33407</v>
      </c>
      <c r="U73" s="44">
        <v>2.75</v>
      </c>
      <c r="V73" s="42">
        <v>130487</v>
      </c>
      <c r="W73" s="42">
        <v>47451</v>
      </c>
      <c r="X73" s="44">
        <v>2.14</v>
      </c>
      <c r="Y73" s="42">
        <v>78462</v>
      </c>
      <c r="Z73" s="42">
        <v>36676</v>
      </c>
      <c r="AA73" s="44">
        <v>2.78</v>
      </c>
      <c r="AB73" s="42">
        <v>121994</v>
      </c>
      <c r="AC73" s="42">
        <v>43941</v>
      </c>
      <c r="AD73" s="45">
        <v>1.48</v>
      </c>
      <c r="AE73" s="42">
        <v>297207</v>
      </c>
      <c r="AF73" s="42">
        <v>201078</v>
      </c>
      <c r="AG73" s="22"/>
    </row>
    <row r="74" spans="1:33" ht="10.5" customHeight="1" x14ac:dyDescent="0.15">
      <c r="A74" s="52" t="s">
        <v>181</v>
      </c>
      <c r="B74" s="46">
        <v>5</v>
      </c>
      <c r="C74" s="47">
        <v>10569</v>
      </c>
      <c r="D74" s="47">
        <v>44046</v>
      </c>
      <c r="E74" s="47">
        <v>44046</v>
      </c>
      <c r="F74" s="47">
        <v>44046</v>
      </c>
      <c r="G74" s="47">
        <v>132112</v>
      </c>
      <c r="H74" s="48">
        <v>0.33300000000000002</v>
      </c>
      <c r="I74" s="48">
        <v>0.33300000000000002</v>
      </c>
      <c r="J74" s="48">
        <v>0.33300000000000002</v>
      </c>
      <c r="K74" s="64">
        <v>0</v>
      </c>
      <c r="L74" s="48">
        <f>Tabelle1[[#This Row],[Spalte12]]-Tabelle1[[#This Row],[Spalte11]]</f>
        <v>7.0000000000000007E-2</v>
      </c>
      <c r="M74" s="48">
        <v>7.0000000000000007E-2</v>
      </c>
      <c r="N74" s="48">
        <v>8.5000000000000006E-2</v>
      </c>
      <c r="O74" s="48">
        <v>0.105</v>
      </c>
      <c r="P74" s="48">
        <v>0.76600000000000001</v>
      </c>
      <c r="Q74" s="47">
        <v>57469</v>
      </c>
      <c r="R74" s="39" t="s">
        <v>214</v>
      </c>
      <c r="S74" s="39" t="s">
        <v>214</v>
      </c>
      <c r="T74" s="39" t="s">
        <v>214</v>
      </c>
      <c r="U74" s="39" t="s">
        <v>214</v>
      </c>
      <c r="V74" s="39" t="s">
        <v>214</v>
      </c>
      <c r="W74" s="39" t="s">
        <v>214</v>
      </c>
      <c r="X74" s="39" t="s">
        <v>214</v>
      </c>
      <c r="Y74" s="39" t="s">
        <v>214</v>
      </c>
      <c r="Z74" s="39" t="s">
        <v>214</v>
      </c>
      <c r="AA74" s="39" t="s">
        <v>214</v>
      </c>
      <c r="AB74" s="39" t="s">
        <v>214</v>
      </c>
      <c r="AC74" s="39" t="s">
        <v>214</v>
      </c>
      <c r="AD74" s="50">
        <v>1.4</v>
      </c>
      <c r="AE74" s="47">
        <v>51747</v>
      </c>
      <c r="AF74" s="47">
        <v>37047</v>
      </c>
      <c r="AG74" s="22"/>
    </row>
    <row r="75" spans="1:33" ht="10.5" customHeight="1" x14ac:dyDescent="0.15">
      <c r="A75" s="51" t="s">
        <v>78</v>
      </c>
      <c r="B75" s="41">
        <v>5</v>
      </c>
      <c r="C75" s="42">
        <v>992</v>
      </c>
      <c r="D75" s="42">
        <v>6929</v>
      </c>
      <c r="E75" s="42">
        <v>6929</v>
      </c>
      <c r="F75" s="42">
        <v>6929</v>
      </c>
      <c r="G75" s="42">
        <v>12394</v>
      </c>
      <c r="H75" s="43">
        <v>0.55900000000000005</v>
      </c>
      <c r="I75" s="43">
        <v>0.55900000000000005</v>
      </c>
      <c r="J75" s="43">
        <v>0.55900000000000005</v>
      </c>
      <c r="K75" s="63">
        <v>0</v>
      </c>
      <c r="L75" s="43">
        <f>Tabelle1[[#This Row],[Spalte12]]-Tabelle1[[#This Row],[Spalte11]]</f>
        <v>7.0000000000000007E-2</v>
      </c>
      <c r="M75" s="43">
        <v>7.0000000000000007E-2</v>
      </c>
      <c r="N75" s="43">
        <v>8.5000000000000006E-2</v>
      </c>
      <c r="O75" s="43">
        <v>0.105</v>
      </c>
      <c r="P75" s="43">
        <v>0.255</v>
      </c>
      <c r="Q75" s="42">
        <v>27192</v>
      </c>
      <c r="R75" s="44">
        <v>8.3000000000000007</v>
      </c>
      <c r="S75" s="42">
        <v>6390</v>
      </c>
      <c r="T75" s="42">
        <v>770</v>
      </c>
      <c r="U75" s="44">
        <v>10.42</v>
      </c>
      <c r="V75" s="42">
        <v>8208</v>
      </c>
      <c r="W75" s="42">
        <v>788</v>
      </c>
      <c r="X75" s="44">
        <v>12.5</v>
      </c>
      <c r="Y75" s="42">
        <v>11423</v>
      </c>
      <c r="Z75" s="42">
        <v>914</v>
      </c>
      <c r="AA75" s="44">
        <v>16.75</v>
      </c>
      <c r="AB75" s="42">
        <v>17548</v>
      </c>
      <c r="AC75" s="42">
        <v>1048</v>
      </c>
      <c r="AD75" s="45">
        <v>11.85</v>
      </c>
      <c r="AE75" s="42">
        <v>20815</v>
      </c>
      <c r="AF75" s="42">
        <v>1757</v>
      </c>
      <c r="AG75" s="22"/>
    </row>
    <row r="76" spans="1:33" ht="10.5" customHeight="1" x14ac:dyDescent="0.15">
      <c r="A76" s="52" t="s">
        <v>41</v>
      </c>
      <c r="B76" s="46">
        <v>4</v>
      </c>
      <c r="C76" s="47">
        <v>221217</v>
      </c>
      <c r="D76" s="47">
        <v>636506</v>
      </c>
      <c r="E76" s="47">
        <v>584204</v>
      </c>
      <c r="F76" s="47">
        <v>584204</v>
      </c>
      <c r="G76" s="47">
        <v>2765210</v>
      </c>
      <c r="H76" s="48">
        <v>0.21099999999999999</v>
      </c>
      <c r="I76" s="48">
        <v>0.21099999999999999</v>
      </c>
      <c r="J76" s="48">
        <v>0.23</v>
      </c>
      <c r="K76" s="64">
        <v>0</v>
      </c>
      <c r="L76" s="48">
        <f>Tabelle1[[#This Row],[Spalte12]]-Tabelle1[[#This Row],[Spalte11]]</f>
        <v>7.3999999999999996E-2</v>
      </c>
      <c r="M76" s="48">
        <v>7.3999999999999996E-2</v>
      </c>
      <c r="N76" s="48">
        <v>0.09</v>
      </c>
      <c r="O76" s="48">
        <v>0.112</v>
      </c>
      <c r="P76" s="48">
        <v>7.8E-2</v>
      </c>
      <c r="Q76" s="47">
        <v>7473274</v>
      </c>
      <c r="R76" s="49">
        <v>2</v>
      </c>
      <c r="S76" s="47">
        <v>1042579</v>
      </c>
      <c r="T76" s="47">
        <v>520140</v>
      </c>
      <c r="U76" s="49">
        <v>1.98</v>
      </c>
      <c r="V76" s="47">
        <v>983131</v>
      </c>
      <c r="W76" s="47">
        <v>496267</v>
      </c>
      <c r="X76" s="49">
        <v>2.2200000000000002</v>
      </c>
      <c r="Y76" s="47">
        <v>1011240</v>
      </c>
      <c r="Z76" s="47">
        <v>455911</v>
      </c>
      <c r="AA76" s="49">
        <v>2.29</v>
      </c>
      <c r="AB76" s="47">
        <v>1085393</v>
      </c>
      <c r="AC76" s="47">
        <v>473064</v>
      </c>
      <c r="AD76" s="50">
        <v>1.1000000000000001</v>
      </c>
      <c r="AE76" s="47">
        <v>3414096</v>
      </c>
      <c r="AF76" s="47">
        <v>3114497</v>
      </c>
      <c r="AG76" s="22"/>
    </row>
    <row r="77" spans="1:33" ht="10.5" customHeight="1" x14ac:dyDescent="0.15">
      <c r="A77" s="51" t="s">
        <v>61</v>
      </c>
      <c r="B77" s="41">
        <v>4</v>
      </c>
      <c r="C77" s="42">
        <v>164615</v>
      </c>
      <c r="D77" s="42">
        <v>571429</v>
      </c>
      <c r="E77" s="42">
        <v>571429</v>
      </c>
      <c r="F77" s="42">
        <v>571429</v>
      </c>
      <c r="G77" s="42">
        <v>2057692</v>
      </c>
      <c r="H77" s="43">
        <v>0.27800000000000002</v>
      </c>
      <c r="I77" s="43">
        <v>0.27800000000000002</v>
      </c>
      <c r="J77" s="43">
        <v>0.27800000000000002</v>
      </c>
      <c r="K77" s="63">
        <v>2E-3</v>
      </c>
      <c r="L77" s="43">
        <f>Tabelle1[[#This Row],[Spalte12]]-Tabelle1[[#This Row],[Spalte11]]</f>
        <v>7.3999999999999996E-2</v>
      </c>
      <c r="M77" s="43">
        <v>7.5999999999999998E-2</v>
      </c>
      <c r="N77" s="43">
        <v>9.1999999999999998E-2</v>
      </c>
      <c r="O77" s="43">
        <v>0.114</v>
      </c>
      <c r="P77" s="43">
        <v>0.27400000000000002</v>
      </c>
      <c r="Q77" s="42">
        <v>2082900</v>
      </c>
      <c r="R77" s="44">
        <v>3.22</v>
      </c>
      <c r="S77" s="42">
        <v>471560</v>
      </c>
      <c r="T77" s="42">
        <v>146647</v>
      </c>
      <c r="U77" s="44">
        <v>3.41</v>
      </c>
      <c r="V77" s="42">
        <v>484045</v>
      </c>
      <c r="W77" s="42">
        <v>141742</v>
      </c>
      <c r="X77" s="44">
        <v>1.95</v>
      </c>
      <c r="Y77" s="42">
        <v>337131</v>
      </c>
      <c r="Z77" s="42">
        <v>172655</v>
      </c>
      <c r="AA77" s="44">
        <v>2.85</v>
      </c>
      <c r="AB77" s="42">
        <v>419686</v>
      </c>
      <c r="AC77" s="42">
        <v>147075</v>
      </c>
      <c r="AD77" s="45">
        <v>1.19</v>
      </c>
      <c r="AE77" s="42">
        <v>1269803</v>
      </c>
      <c r="AF77" s="42">
        <v>1066727</v>
      </c>
      <c r="AG77" s="22"/>
    </row>
    <row r="78" spans="1:33" ht="10.5" customHeight="1" x14ac:dyDescent="0.15">
      <c r="A78" s="52" t="s">
        <v>108</v>
      </c>
      <c r="B78" s="46">
        <v>5</v>
      </c>
      <c r="C78" s="47">
        <v>12241</v>
      </c>
      <c r="D78" s="47">
        <v>56393</v>
      </c>
      <c r="E78" s="47">
        <v>56393</v>
      </c>
      <c r="F78" s="47">
        <v>56393</v>
      </c>
      <c r="G78" s="47">
        <v>153018</v>
      </c>
      <c r="H78" s="48">
        <v>0.36899999999999999</v>
      </c>
      <c r="I78" s="48">
        <v>0.36899999999999999</v>
      </c>
      <c r="J78" s="48">
        <v>0.36899999999999999</v>
      </c>
      <c r="K78" s="64">
        <v>0</v>
      </c>
      <c r="L78" s="48">
        <f>Tabelle1[[#This Row],[Spalte12]]-Tabelle1[[#This Row],[Spalte11]]</f>
        <v>7.0000000000000007E-2</v>
      </c>
      <c r="M78" s="48">
        <v>7.0000000000000007E-2</v>
      </c>
      <c r="N78" s="48">
        <v>8.5000000000000006E-2</v>
      </c>
      <c r="O78" s="48">
        <v>0.105</v>
      </c>
      <c r="P78" s="48">
        <v>0.26800000000000002</v>
      </c>
      <c r="Q78" s="47">
        <v>210589</v>
      </c>
      <c r="R78" s="49">
        <v>17.73</v>
      </c>
      <c r="S78" s="47">
        <v>88113</v>
      </c>
      <c r="T78" s="47">
        <v>4969</v>
      </c>
      <c r="U78" s="49">
        <v>18.760000000000002</v>
      </c>
      <c r="V78" s="47">
        <v>90267</v>
      </c>
      <c r="W78" s="47">
        <v>4811</v>
      </c>
      <c r="X78" s="49">
        <v>19.399999999999999</v>
      </c>
      <c r="Y78" s="47">
        <v>91102</v>
      </c>
      <c r="Z78" s="47">
        <v>4697</v>
      </c>
      <c r="AA78" s="49">
        <v>17.61</v>
      </c>
      <c r="AB78" s="47">
        <v>95774</v>
      </c>
      <c r="AC78" s="47">
        <v>5438</v>
      </c>
      <c r="AD78" s="50">
        <v>7.35</v>
      </c>
      <c r="AE78" s="47">
        <v>176497</v>
      </c>
      <c r="AF78" s="47">
        <v>24012</v>
      </c>
      <c r="AG78" s="22"/>
    </row>
    <row r="79" spans="1:33" ht="10.5" customHeight="1" x14ac:dyDescent="0.15">
      <c r="A79" s="51" t="s">
        <v>44</v>
      </c>
      <c r="B79" s="41">
        <v>5</v>
      </c>
      <c r="C79" s="42">
        <v>21406</v>
      </c>
      <c r="D79" s="42">
        <v>182270</v>
      </c>
      <c r="E79" s="42">
        <v>182270</v>
      </c>
      <c r="F79" s="42">
        <v>182270</v>
      </c>
      <c r="G79" s="42">
        <v>267575</v>
      </c>
      <c r="H79" s="43">
        <v>0.68100000000000005</v>
      </c>
      <c r="I79" s="43">
        <v>0.68100000000000005</v>
      </c>
      <c r="J79" s="43">
        <v>0.68100000000000005</v>
      </c>
      <c r="K79" s="63">
        <v>0</v>
      </c>
      <c r="L79" s="43">
        <f>Tabelle1[[#This Row],[Spalte12]]-Tabelle1[[#This Row],[Spalte11]]</f>
        <v>7.0000000000000007E-2</v>
      </c>
      <c r="M79" s="43">
        <v>7.0000000000000007E-2</v>
      </c>
      <c r="N79" s="43">
        <v>8.5000000000000006E-2</v>
      </c>
      <c r="O79" s="43">
        <v>0.105</v>
      </c>
      <c r="P79" s="43">
        <v>0.224</v>
      </c>
      <c r="Q79" s="42">
        <v>815035</v>
      </c>
      <c r="R79" s="44">
        <v>2.2000000000000002</v>
      </c>
      <c r="S79" s="42">
        <v>415449</v>
      </c>
      <c r="T79" s="42">
        <v>188743</v>
      </c>
      <c r="U79" s="44">
        <v>2.37</v>
      </c>
      <c r="V79" s="42">
        <v>418460</v>
      </c>
      <c r="W79" s="42">
        <v>176487</v>
      </c>
      <c r="X79" s="44">
        <v>2.89</v>
      </c>
      <c r="Y79" s="42">
        <v>389396</v>
      </c>
      <c r="Z79" s="42">
        <v>134620</v>
      </c>
      <c r="AA79" s="44">
        <v>2.41</v>
      </c>
      <c r="AB79" s="42">
        <v>370461</v>
      </c>
      <c r="AC79" s="42">
        <v>153507</v>
      </c>
      <c r="AD79" s="45">
        <v>2.34</v>
      </c>
      <c r="AE79" s="42">
        <v>588773</v>
      </c>
      <c r="AF79" s="42">
        <v>251826</v>
      </c>
      <c r="AG79" s="22"/>
    </row>
    <row r="80" spans="1:33" ht="10.5" customHeight="1" x14ac:dyDescent="0.15">
      <c r="A80" s="52" t="s">
        <v>62</v>
      </c>
      <c r="B80" s="46">
        <v>3</v>
      </c>
      <c r="C80" s="47">
        <v>435493</v>
      </c>
      <c r="D80" s="47">
        <v>1154764</v>
      </c>
      <c r="E80" s="47">
        <v>1135318</v>
      </c>
      <c r="F80" s="47">
        <v>1135318</v>
      </c>
      <c r="G80" s="47">
        <v>5443657</v>
      </c>
      <c r="H80" s="48">
        <v>0.20899999999999999</v>
      </c>
      <c r="I80" s="48">
        <v>0.21199999999999999</v>
      </c>
      <c r="J80" s="48">
        <v>0.21199999999999999</v>
      </c>
      <c r="K80" s="64">
        <v>0</v>
      </c>
      <c r="L80" s="48">
        <f>Tabelle1[[#This Row],[Spalte12]]-Tabelle1[[#This Row],[Spalte11]]</f>
        <v>7.8E-2</v>
      </c>
      <c r="M80" s="48">
        <v>7.8E-2</v>
      </c>
      <c r="N80" s="48">
        <v>9.6000000000000002E-2</v>
      </c>
      <c r="O80" s="48">
        <v>0.12</v>
      </c>
      <c r="P80" s="48">
        <v>6.6000000000000003E-2</v>
      </c>
      <c r="Q80" s="47">
        <v>17132185</v>
      </c>
      <c r="R80" s="49">
        <v>1.79</v>
      </c>
      <c r="S80" s="47">
        <v>8126218</v>
      </c>
      <c r="T80" s="47">
        <v>4545446</v>
      </c>
      <c r="U80" s="49">
        <v>2.04</v>
      </c>
      <c r="V80" s="47">
        <v>7649019</v>
      </c>
      <c r="W80" s="47">
        <v>3755290</v>
      </c>
      <c r="X80" s="49">
        <v>2.15</v>
      </c>
      <c r="Y80" s="47">
        <v>7347762</v>
      </c>
      <c r="Z80" s="47">
        <v>3423120</v>
      </c>
      <c r="AA80" s="49">
        <v>2.2599999999999998</v>
      </c>
      <c r="AB80" s="47">
        <v>7072169</v>
      </c>
      <c r="AC80" s="47">
        <v>3132419</v>
      </c>
      <c r="AD80" s="50">
        <v>1.95</v>
      </c>
      <c r="AE80" s="47">
        <v>10026027</v>
      </c>
      <c r="AF80" s="47">
        <v>5144733</v>
      </c>
      <c r="AG80" s="22"/>
    </row>
    <row r="81" spans="1:33" ht="10.5" customHeight="1" x14ac:dyDescent="0.15">
      <c r="A81" s="51" t="s">
        <v>92</v>
      </c>
      <c r="B81" s="41">
        <v>3</v>
      </c>
      <c r="C81" s="42">
        <v>463380</v>
      </c>
      <c r="D81" s="42">
        <v>1095783</v>
      </c>
      <c r="E81" s="42">
        <v>1026337</v>
      </c>
      <c r="F81" s="42">
        <v>1076337</v>
      </c>
      <c r="G81" s="42">
        <v>5792254</v>
      </c>
      <c r="H81" s="43">
        <v>0.17699999999999999</v>
      </c>
      <c r="I81" s="43">
        <v>0.186</v>
      </c>
      <c r="J81" s="43">
        <v>0.189</v>
      </c>
      <c r="K81" s="63">
        <v>0</v>
      </c>
      <c r="L81" s="43">
        <f>Tabelle1[[#This Row],[Spalte12]]-Tabelle1[[#This Row],[Spalte11]]</f>
        <v>7.8E-2</v>
      </c>
      <c r="M81" s="43">
        <v>7.8E-2</v>
      </c>
      <c r="N81" s="43">
        <v>9.6000000000000002E-2</v>
      </c>
      <c r="O81" s="43">
        <v>0.12</v>
      </c>
      <c r="P81" s="43">
        <v>6.3E-2</v>
      </c>
      <c r="Q81" s="42">
        <v>17101815</v>
      </c>
      <c r="R81" s="44">
        <v>1.81</v>
      </c>
      <c r="S81" s="42">
        <v>8126218</v>
      </c>
      <c r="T81" s="42">
        <v>4486050</v>
      </c>
      <c r="U81" s="44">
        <v>2.0499999999999998</v>
      </c>
      <c r="V81" s="42">
        <v>7649021</v>
      </c>
      <c r="W81" s="42">
        <v>3740262</v>
      </c>
      <c r="X81" s="44">
        <v>2.16</v>
      </c>
      <c r="Y81" s="42">
        <v>7348153</v>
      </c>
      <c r="Z81" s="42">
        <v>3407439</v>
      </c>
      <c r="AA81" s="44">
        <v>2.25</v>
      </c>
      <c r="AB81" s="42">
        <v>7072171</v>
      </c>
      <c r="AC81" s="42">
        <v>3145542</v>
      </c>
      <c r="AD81" s="45">
        <v>1.94</v>
      </c>
      <c r="AE81" s="42">
        <v>9945191</v>
      </c>
      <c r="AF81" s="42">
        <v>5119509</v>
      </c>
      <c r="AG81" s="22"/>
    </row>
    <row r="82" spans="1:33" ht="10.5" customHeight="1" x14ac:dyDescent="0.15">
      <c r="A82" s="52" t="s">
        <v>70</v>
      </c>
      <c r="B82" s="46">
        <v>3</v>
      </c>
      <c r="C82" s="47">
        <v>471464</v>
      </c>
      <c r="D82" s="47">
        <v>1161161</v>
      </c>
      <c r="E82" s="47">
        <v>891888</v>
      </c>
      <c r="F82" s="47">
        <v>1161161</v>
      </c>
      <c r="G82" s="47">
        <v>5893304</v>
      </c>
      <c r="H82" s="48">
        <v>0.151</v>
      </c>
      <c r="I82" s="48">
        <v>0.19700000000000001</v>
      </c>
      <c r="J82" s="48">
        <v>0.19700000000000001</v>
      </c>
      <c r="K82" s="64">
        <v>1E-3</v>
      </c>
      <c r="L82" s="48">
        <f>Tabelle1[[#This Row],[Spalte12]]-Tabelle1[[#This Row],[Spalte11]]</f>
        <v>7.8E-2</v>
      </c>
      <c r="M82" s="48">
        <v>7.9000000000000001E-2</v>
      </c>
      <c r="N82" s="48">
        <v>9.7000000000000003E-2</v>
      </c>
      <c r="O82" s="48">
        <v>0.121</v>
      </c>
      <c r="P82" s="48">
        <v>4.3999999999999997E-2</v>
      </c>
      <c r="Q82" s="47">
        <v>26100249</v>
      </c>
      <c r="R82" s="49">
        <v>1.43</v>
      </c>
      <c r="S82" s="47">
        <v>7485190</v>
      </c>
      <c r="T82" s="47">
        <v>5235092</v>
      </c>
      <c r="U82" s="49">
        <v>1.51</v>
      </c>
      <c r="V82" s="47">
        <v>7473700</v>
      </c>
      <c r="W82" s="47">
        <v>4934964</v>
      </c>
      <c r="X82" s="49">
        <v>1.39</v>
      </c>
      <c r="Y82" s="47">
        <v>5835447</v>
      </c>
      <c r="Z82" s="47">
        <v>4207220</v>
      </c>
      <c r="AA82" s="49">
        <v>1.55</v>
      </c>
      <c r="AB82" s="47">
        <v>5270849</v>
      </c>
      <c r="AC82" s="47">
        <v>3396369</v>
      </c>
      <c r="AD82" s="50">
        <v>1.49</v>
      </c>
      <c r="AE82" s="47">
        <v>13767382</v>
      </c>
      <c r="AF82" s="47">
        <v>9212885</v>
      </c>
      <c r="AG82" s="22"/>
    </row>
    <row r="83" spans="1:33" ht="10.5" customHeight="1" x14ac:dyDescent="0.15">
      <c r="A83" s="51" t="s">
        <v>37</v>
      </c>
      <c r="B83" s="41">
        <v>3</v>
      </c>
      <c r="C83" s="42">
        <v>678339</v>
      </c>
      <c r="D83" s="42">
        <v>1651498</v>
      </c>
      <c r="E83" s="42">
        <v>1339852</v>
      </c>
      <c r="F83" s="42">
        <v>1522880</v>
      </c>
      <c r="G83" s="42">
        <v>8479232</v>
      </c>
      <c r="H83" s="43">
        <v>0.158</v>
      </c>
      <c r="I83" s="43">
        <v>0.18</v>
      </c>
      <c r="J83" s="43">
        <v>0.19500000000000001</v>
      </c>
      <c r="K83" s="63">
        <v>1E-3</v>
      </c>
      <c r="L83" s="43">
        <f>Tabelle1[[#This Row],[Spalte12]]-Tabelle1[[#This Row],[Spalte11]]</f>
        <v>7.8E-2</v>
      </c>
      <c r="M83" s="43">
        <v>7.9000000000000001E-2</v>
      </c>
      <c r="N83" s="43">
        <v>9.7000000000000003E-2</v>
      </c>
      <c r="O83" s="43">
        <v>0.121</v>
      </c>
      <c r="P83" s="43">
        <v>3.9E-2</v>
      </c>
      <c r="Q83" s="42">
        <v>38807508</v>
      </c>
      <c r="R83" s="44">
        <v>2.08</v>
      </c>
      <c r="S83" s="42">
        <v>14803586</v>
      </c>
      <c r="T83" s="42">
        <v>7126696</v>
      </c>
      <c r="U83" s="44">
        <v>2.06</v>
      </c>
      <c r="V83" s="42">
        <v>14498897</v>
      </c>
      <c r="W83" s="42">
        <v>7027132</v>
      </c>
      <c r="X83" s="44">
        <v>1.99</v>
      </c>
      <c r="Y83" s="42">
        <v>12633014</v>
      </c>
      <c r="Z83" s="42">
        <v>6348603</v>
      </c>
      <c r="AA83" s="44">
        <v>2.2599999999999998</v>
      </c>
      <c r="AB83" s="42">
        <v>12785193</v>
      </c>
      <c r="AC83" s="42">
        <v>5654491</v>
      </c>
      <c r="AD83" s="45">
        <v>1.92</v>
      </c>
      <c r="AE83" s="42">
        <v>24050815</v>
      </c>
      <c r="AF83" s="42">
        <v>12539713</v>
      </c>
      <c r="AG83" s="22"/>
    </row>
    <row r="84" spans="1:33" ht="10.5" customHeight="1" x14ac:dyDescent="0.15">
      <c r="A84" s="52" t="s">
        <v>107</v>
      </c>
      <c r="B84" s="46">
        <v>3</v>
      </c>
      <c r="C84" s="47">
        <v>689337</v>
      </c>
      <c r="D84" s="47">
        <v>1798399</v>
      </c>
      <c r="E84" s="47">
        <v>1447375</v>
      </c>
      <c r="F84" s="47">
        <v>1798399</v>
      </c>
      <c r="G84" s="47">
        <v>8616710</v>
      </c>
      <c r="H84" s="48">
        <v>0.16800000000000001</v>
      </c>
      <c r="I84" s="48">
        <v>0.20899999999999999</v>
      </c>
      <c r="J84" s="48">
        <v>0.20899999999999999</v>
      </c>
      <c r="K84" s="64">
        <v>1E-3</v>
      </c>
      <c r="L84" s="48">
        <f>Tabelle1[[#This Row],[Spalte12]]-Tabelle1[[#This Row],[Spalte11]]</f>
        <v>7.8E-2</v>
      </c>
      <c r="M84" s="48">
        <v>7.9000000000000001E-2</v>
      </c>
      <c r="N84" s="48">
        <v>9.7000000000000003E-2</v>
      </c>
      <c r="O84" s="48">
        <v>0.121</v>
      </c>
      <c r="P84" s="48">
        <v>4.5999999999999999E-2</v>
      </c>
      <c r="Q84" s="47">
        <v>38846094</v>
      </c>
      <c r="R84" s="49">
        <v>2.0499999999999998</v>
      </c>
      <c r="S84" s="47">
        <v>14643124</v>
      </c>
      <c r="T84" s="47">
        <v>7126551</v>
      </c>
      <c r="U84" s="49">
        <v>2.04</v>
      </c>
      <c r="V84" s="47">
        <v>14346639</v>
      </c>
      <c r="W84" s="47">
        <v>7046052</v>
      </c>
      <c r="X84" s="49">
        <v>1.94</v>
      </c>
      <c r="Y84" s="47">
        <v>12528153</v>
      </c>
      <c r="Z84" s="47">
        <v>6450703</v>
      </c>
      <c r="AA84" s="49">
        <v>2.19</v>
      </c>
      <c r="AB84" s="47">
        <v>12679064</v>
      </c>
      <c r="AC84" s="47">
        <v>5800694</v>
      </c>
      <c r="AD84" s="50">
        <v>1.87</v>
      </c>
      <c r="AE84" s="47">
        <v>24031677</v>
      </c>
      <c r="AF84" s="47">
        <v>12866733</v>
      </c>
      <c r="AG84" s="22"/>
    </row>
    <row r="85" spans="1:33" ht="10.5" customHeight="1" x14ac:dyDescent="0.15">
      <c r="A85" s="51" t="s">
        <v>1</v>
      </c>
      <c r="B85" s="41">
        <v>5</v>
      </c>
      <c r="C85" s="42">
        <v>42729</v>
      </c>
      <c r="D85" s="42">
        <v>250283</v>
      </c>
      <c r="E85" s="42">
        <v>223553</v>
      </c>
      <c r="F85" s="42">
        <v>223553</v>
      </c>
      <c r="G85" s="42">
        <v>534113</v>
      </c>
      <c r="H85" s="43">
        <v>0.41899999999999998</v>
      </c>
      <c r="I85" s="43">
        <v>0.41899999999999998</v>
      </c>
      <c r="J85" s="43">
        <v>0.46899999999999997</v>
      </c>
      <c r="K85" s="63">
        <v>0</v>
      </c>
      <c r="L85" s="43">
        <f>Tabelle1[[#This Row],[Spalte12]]-Tabelle1[[#This Row],[Spalte11]]</f>
        <v>7.0000000000000007E-2</v>
      </c>
      <c r="M85" s="43">
        <v>7.0000000000000007E-2</v>
      </c>
      <c r="N85" s="43">
        <v>8.5000000000000006E-2</v>
      </c>
      <c r="O85" s="43">
        <v>0.105</v>
      </c>
      <c r="P85" s="43">
        <v>7.3999999999999996E-2</v>
      </c>
      <c r="Q85" s="42">
        <v>3034548</v>
      </c>
      <c r="R85" s="44">
        <v>1.04</v>
      </c>
      <c r="S85" s="42">
        <v>11831980</v>
      </c>
      <c r="T85" s="42">
        <v>11365767</v>
      </c>
      <c r="U85" s="44">
        <v>1.05</v>
      </c>
      <c r="V85" s="42">
        <v>11325319</v>
      </c>
      <c r="W85" s="42">
        <v>10809549</v>
      </c>
      <c r="X85" s="44">
        <v>1.03</v>
      </c>
      <c r="Y85" s="42">
        <v>10925082</v>
      </c>
      <c r="Z85" s="42">
        <v>10578518</v>
      </c>
      <c r="AA85" s="44">
        <v>1.05</v>
      </c>
      <c r="AB85" s="42">
        <v>10408280</v>
      </c>
      <c r="AC85" s="42">
        <v>9915333</v>
      </c>
      <c r="AD85" s="45">
        <v>4.9000000000000004</v>
      </c>
      <c r="AE85" s="42">
        <v>926375</v>
      </c>
      <c r="AF85" s="42">
        <v>188896</v>
      </c>
      <c r="AG85" s="22"/>
    </row>
    <row r="86" spans="1:33" ht="10.5" customHeight="1" x14ac:dyDescent="0.15">
      <c r="A86" s="52" t="s">
        <v>49</v>
      </c>
      <c r="B86" s="46">
        <v>5</v>
      </c>
      <c r="C86" s="47">
        <v>17429</v>
      </c>
      <c r="D86" s="47">
        <v>31696</v>
      </c>
      <c r="E86" s="47">
        <v>30612</v>
      </c>
      <c r="F86" s="47">
        <v>30612</v>
      </c>
      <c r="G86" s="47">
        <v>217867</v>
      </c>
      <c r="H86" s="48">
        <v>0.14099999999999999</v>
      </c>
      <c r="I86" s="48">
        <v>0.14099999999999999</v>
      </c>
      <c r="J86" s="48">
        <v>0.14499999999999999</v>
      </c>
      <c r="K86" s="64">
        <v>1.0999999999999999E-2</v>
      </c>
      <c r="L86" s="48">
        <f>Tabelle1[[#This Row],[Spalte12]]-Tabelle1[[#This Row],[Spalte11]]</f>
        <v>7.0000000000000007E-2</v>
      </c>
      <c r="M86" s="48">
        <v>8.1000000000000003E-2</v>
      </c>
      <c r="N86" s="48">
        <v>9.6000000000000002E-2</v>
      </c>
      <c r="O86" s="48">
        <v>0.11600000000000001</v>
      </c>
      <c r="P86" s="48">
        <v>7.3999999999999996E-2</v>
      </c>
      <c r="Q86" s="47">
        <v>413101</v>
      </c>
      <c r="R86" s="49">
        <v>1.27</v>
      </c>
      <c r="S86" s="47">
        <v>19404</v>
      </c>
      <c r="T86" s="47">
        <v>15273</v>
      </c>
      <c r="U86" s="49">
        <v>1.41</v>
      </c>
      <c r="V86" s="47">
        <v>20978</v>
      </c>
      <c r="W86" s="47">
        <v>14926</v>
      </c>
      <c r="X86" s="49">
        <v>1.39</v>
      </c>
      <c r="Y86" s="47">
        <v>19386</v>
      </c>
      <c r="Z86" s="47">
        <v>13985</v>
      </c>
      <c r="AA86" s="49">
        <v>1.3</v>
      </c>
      <c r="AB86" s="47">
        <v>20323</v>
      </c>
      <c r="AC86" s="47">
        <v>15638</v>
      </c>
      <c r="AD86" s="50">
        <v>1.0900000000000001</v>
      </c>
      <c r="AE86" s="47">
        <v>320871</v>
      </c>
      <c r="AF86" s="47">
        <v>293515</v>
      </c>
      <c r="AG86" s="22"/>
    </row>
    <row r="87" spans="1:33" ht="10.5" customHeight="1" x14ac:dyDescent="0.15">
      <c r="A87" s="51" t="s">
        <v>106</v>
      </c>
      <c r="B87" s="41">
        <v>5</v>
      </c>
      <c r="C87" s="42">
        <v>46496</v>
      </c>
      <c r="D87" s="42">
        <v>107664</v>
      </c>
      <c r="E87" s="42">
        <v>107664</v>
      </c>
      <c r="F87" s="42">
        <v>107664</v>
      </c>
      <c r="G87" s="42">
        <v>581198</v>
      </c>
      <c r="H87" s="43">
        <v>0.185</v>
      </c>
      <c r="I87" s="43">
        <v>0.185</v>
      </c>
      <c r="J87" s="43">
        <v>0.185</v>
      </c>
      <c r="K87" s="63">
        <v>0</v>
      </c>
      <c r="L87" s="43">
        <f>Tabelle1[[#This Row],[Spalte12]]-Tabelle1[[#This Row],[Spalte11]]</f>
        <v>7.0000000000000007E-2</v>
      </c>
      <c r="M87" s="43">
        <v>7.0000000000000007E-2</v>
      </c>
      <c r="N87" s="43">
        <v>8.5000000000000006E-2</v>
      </c>
      <c r="O87" s="43">
        <v>0.105</v>
      </c>
      <c r="P87" s="43">
        <v>0.13500000000000001</v>
      </c>
      <c r="Q87" s="42">
        <v>795526</v>
      </c>
      <c r="R87" s="44">
        <v>2.62</v>
      </c>
      <c r="S87" s="42">
        <v>253436</v>
      </c>
      <c r="T87" s="42">
        <v>96884</v>
      </c>
      <c r="U87" s="44">
        <v>3.68</v>
      </c>
      <c r="V87" s="42">
        <v>259693</v>
      </c>
      <c r="W87" s="42">
        <v>70656</v>
      </c>
      <c r="X87" s="44">
        <v>2.65</v>
      </c>
      <c r="Y87" s="42">
        <v>189003</v>
      </c>
      <c r="Z87" s="42">
        <v>71353</v>
      </c>
      <c r="AA87" s="44">
        <v>2.42</v>
      </c>
      <c r="AB87" s="42">
        <v>155855</v>
      </c>
      <c r="AC87" s="42">
        <v>64322</v>
      </c>
      <c r="AD87" s="45">
        <v>1.37</v>
      </c>
      <c r="AE87" s="42">
        <v>409590</v>
      </c>
      <c r="AF87" s="42">
        <v>299317</v>
      </c>
      <c r="AG87" s="22"/>
    </row>
    <row r="88" spans="1:33" ht="10.5" customHeight="1" x14ac:dyDescent="0.15">
      <c r="A88" s="52" t="s">
        <v>77</v>
      </c>
      <c r="B88" s="46">
        <v>5</v>
      </c>
      <c r="C88" s="47">
        <v>686</v>
      </c>
      <c r="D88" s="47">
        <v>1786</v>
      </c>
      <c r="E88" s="47">
        <v>1786</v>
      </c>
      <c r="F88" s="47">
        <v>1786</v>
      </c>
      <c r="G88" s="47">
        <v>8569</v>
      </c>
      <c r="H88" s="48">
        <v>0.20799999999999999</v>
      </c>
      <c r="I88" s="48">
        <v>0.20799999999999999</v>
      </c>
      <c r="J88" s="48">
        <v>0.20799999999999999</v>
      </c>
      <c r="K88" s="64">
        <v>0</v>
      </c>
      <c r="L88" s="48">
        <f>Tabelle1[[#This Row],[Spalte12]]-Tabelle1[[#This Row],[Spalte11]]</f>
        <v>7.0000000000000007E-2</v>
      </c>
      <c r="M88" s="48">
        <v>7.0000000000000007E-2</v>
      </c>
      <c r="N88" s="48">
        <v>8.5000000000000006E-2</v>
      </c>
      <c r="O88" s="48">
        <v>0.105</v>
      </c>
      <c r="P88" s="48">
        <v>0.112</v>
      </c>
      <c r="Q88" s="47">
        <v>15892</v>
      </c>
      <c r="R88" s="49">
        <v>18.41</v>
      </c>
      <c r="S88" s="47">
        <v>12187</v>
      </c>
      <c r="T88" s="47">
        <v>662</v>
      </c>
      <c r="U88" s="49">
        <v>17.09</v>
      </c>
      <c r="V88" s="47">
        <v>12232</v>
      </c>
      <c r="W88" s="47">
        <v>716</v>
      </c>
      <c r="X88" s="49">
        <v>16.52</v>
      </c>
      <c r="Y88" s="47">
        <v>12503</v>
      </c>
      <c r="Z88" s="47">
        <v>757</v>
      </c>
      <c r="AA88" s="49">
        <v>16.95</v>
      </c>
      <c r="AB88" s="47">
        <v>10956</v>
      </c>
      <c r="AC88" s="47">
        <v>647</v>
      </c>
      <c r="AD88" s="50">
        <v>2.4300000000000002</v>
      </c>
      <c r="AE88" s="47">
        <v>13144</v>
      </c>
      <c r="AF88" s="47">
        <v>5399</v>
      </c>
      <c r="AG88" s="22"/>
    </row>
    <row r="89" spans="1:33" ht="10.5" customHeight="1" x14ac:dyDescent="0.15">
      <c r="A89" s="51" t="s">
        <v>100</v>
      </c>
      <c r="B89" s="41">
        <v>4</v>
      </c>
      <c r="C89" s="42">
        <v>62240</v>
      </c>
      <c r="D89" s="42">
        <v>178575</v>
      </c>
      <c r="E89" s="42">
        <v>178575</v>
      </c>
      <c r="F89" s="42">
        <v>178575</v>
      </c>
      <c r="G89" s="42">
        <v>777996</v>
      </c>
      <c r="H89" s="43">
        <v>0.23</v>
      </c>
      <c r="I89" s="43">
        <v>0.23</v>
      </c>
      <c r="J89" s="43">
        <v>0.23</v>
      </c>
      <c r="K89" s="63">
        <v>1E-3</v>
      </c>
      <c r="L89" s="43">
        <f>Tabelle1[[#This Row],[Spalte12]]-Tabelle1[[#This Row],[Spalte11]]</f>
        <v>7.3999999999999996E-2</v>
      </c>
      <c r="M89" s="43">
        <v>7.4999999999999997E-2</v>
      </c>
      <c r="N89" s="43">
        <v>9.0999999999999998E-2</v>
      </c>
      <c r="O89" s="43">
        <v>0.113</v>
      </c>
      <c r="P89" s="43">
        <v>0.109</v>
      </c>
      <c r="Q89" s="42">
        <v>1637675</v>
      </c>
      <c r="R89" s="44">
        <v>1.67</v>
      </c>
      <c r="S89" s="42">
        <v>502235</v>
      </c>
      <c r="T89" s="42">
        <v>301155</v>
      </c>
      <c r="U89" s="44">
        <v>1.59</v>
      </c>
      <c r="V89" s="42">
        <v>309236</v>
      </c>
      <c r="W89" s="42">
        <v>194793</v>
      </c>
      <c r="X89" s="44">
        <v>1.4</v>
      </c>
      <c r="Y89" s="42">
        <v>261151</v>
      </c>
      <c r="Z89" s="42">
        <v>185930</v>
      </c>
      <c r="AA89" s="44">
        <v>1.87</v>
      </c>
      <c r="AB89" s="42">
        <v>424866</v>
      </c>
      <c r="AC89" s="42">
        <v>226652</v>
      </c>
      <c r="AD89" s="45">
        <v>1.61</v>
      </c>
      <c r="AE89" s="42">
        <v>890151</v>
      </c>
      <c r="AF89" s="42">
        <v>551392</v>
      </c>
      <c r="AG89" s="22"/>
    </row>
    <row r="90" spans="1:33" ht="10.5" customHeight="1" x14ac:dyDescent="0.15">
      <c r="A90" s="52" t="s">
        <v>171</v>
      </c>
      <c r="B90" s="46">
        <v>5</v>
      </c>
      <c r="C90" s="38" t="s">
        <v>230</v>
      </c>
      <c r="D90" s="38" t="s">
        <v>230</v>
      </c>
      <c r="E90" s="38" t="s">
        <v>230</v>
      </c>
      <c r="F90" s="38" t="s">
        <v>230</v>
      </c>
      <c r="G90" s="38" t="s">
        <v>230</v>
      </c>
      <c r="H90" s="38" t="s">
        <v>230</v>
      </c>
      <c r="I90" s="38" t="s">
        <v>230</v>
      </c>
      <c r="J90" s="38" t="s">
        <v>230</v>
      </c>
      <c r="K90" s="65" t="s">
        <v>230</v>
      </c>
      <c r="L90" s="38" t="e">
        <f>Tabelle1[[#This Row],[Spalte12]]-Tabelle1[[#This Row],[Spalte11]]</f>
        <v>#VALUE!</v>
      </c>
      <c r="M90" s="38" t="s">
        <v>230</v>
      </c>
      <c r="N90" s="38" t="s">
        <v>230</v>
      </c>
      <c r="O90" s="38" t="s">
        <v>230</v>
      </c>
      <c r="P90" s="38" t="s">
        <v>230</v>
      </c>
      <c r="Q90" s="38" t="s">
        <v>230</v>
      </c>
      <c r="R90" s="38" t="s">
        <v>230</v>
      </c>
      <c r="S90" s="38" t="s">
        <v>230</v>
      </c>
      <c r="T90" s="38" t="s">
        <v>230</v>
      </c>
      <c r="U90" s="38" t="s">
        <v>230</v>
      </c>
      <c r="V90" s="38" t="s">
        <v>230</v>
      </c>
      <c r="W90" s="38" t="s">
        <v>230</v>
      </c>
      <c r="X90" s="38" t="s">
        <v>230</v>
      </c>
      <c r="Y90" s="38" t="s">
        <v>230</v>
      </c>
      <c r="Z90" s="38" t="s">
        <v>230</v>
      </c>
      <c r="AA90" s="38" t="s">
        <v>230</v>
      </c>
      <c r="AB90" s="38" t="s">
        <v>230</v>
      </c>
      <c r="AC90" s="38" t="s">
        <v>230</v>
      </c>
      <c r="AD90" s="38" t="s">
        <v>230</v>
      </c>
      <c r="AE90" s="38" t="s">
        <v>230</v>
      </c>
      <c r="AF90" s="38" t="s">
        <v>230</v>
      </c>
      <c r="AG90" s="22"/>
    </row>
    <row r="91" spans="1:33" ht="10.5" customHeight="1" x14ac:dyDescent="0.15">
      <c r="A91" s="51" t="s">
        <v>75</v>
      </c>
      <c r="B91" s="41">
        <v>4</v>
      </c>
      <c r="C91" s="42">
        <v>23475</v>
      </c>
      <c r="D91" s="42">
        <v>113128</v>
      </c>
      <c r="E91" s="42">
        <v>113128</v>
      </c>
      <c r="F91" s="42">
        <v>113128</v>
      </c>
      <c r="G91" s="42">
        <v>293438</v>
      </c>
      <c r="H91" s="43">
        <v>0.38600000000000001</v>
      </c>
      <c r="I91" s="43">
        <v>0.38600000000000001</v>
      </c>
      <c r="J91" s="43">
        <v>0.38600000000000001</v>
      </c>
      <c r="K91" s="63">
        <v>2E-3</v>
      </c>
      <c r="L91" s="43">
        <f>Tabelle1[[#This Row],[Spalte12]]-Tabelle1[[#This Row],[Spalte11]]</f>
        <v>7.3999999999999996E-2</v>
      </c>
      <c r="M91" s="43">
        <v>7.5999999999999998E-2</v>
      </c>
      <c r="N91" s="43">
        <v>9.1999999999999998E-2</v>
      </c>
      <c r="O91" s="43">
        <v>0.114</v>
      </c>
      <c r="P91" s="43">
        <v>0.129</v>
      </c>
      <c r="Q91" s="42">
        <v>877054</v>
      </c>
      <c r="R91" s="44">
        <v>1.22</v>
      </c>
      <c r="S91" s="42">
        <v>311891</v>
      </c>
      <c r="T91" s="42">
        <v>255034</v>
      </c>
      <c r="U91" s="44">
        <v>1.39</v>
      </c>
      <c r="V91" s="42">
        <v>290501</v>
      </c>
      <c r="W91" s="42">
        <v>209663</v>
      </c>
      <c r="X91" s="44">
        <v>1.37</v>
      </c>
      <c r="Y91" s="42">
        <v>271141</v>
      </c>
      <c r="Z91" s="42">
        <v>196685</v>
      </c>
      <c r="AA91" s="44">
        <v>1.88</v>
      </c>
      <c r="AB91" s="42">
        <v>322188</v>
      </c>
      <c r="AC91" s="42">
        <v>171059</v>
      </c>
      <c r="AD91" s="45">
        <v>1.23</v>
      </c>
      <c r="AE91" s="42">
        <v>410468</v>
      </c>
      <c r="AF91" s="42">
        <v>332817</v>
      </c>
      <c r="AG91" s="22"/>
    </row>
    <row r="92" spans="1:33" ht="10.5" customHeight="1" x14ac:dyDescent="0.15">
      <c r="A92" s="52" t="s">
        <v>64</v>
      </c>
      <c r="B92" s="46">
        <v>5</v>
      </c>
      <c r="C92" s="47">
        <v>17050</v>
      </c>
      <c r="D92" s="47">
        <v>26988</v>
      </c>
      <c r="E92" s="47">
        <v>25065</v>
      </c>
      <c r="F92" s="47">
        <v>25815</v>
      </c>
      <c r="G92" s="47">
        <v>213124</v>
      </c>
      <c r="H92" s="48">
        <v>0.11799999999999999</v>
      </c>
      <c r="I92" s="48">
        <v>0.121</v>
      </c>
      <c r="J92" s="48">
        <v>0.127</v>
      </c>
      <c r="K92" s="64">
        <v>0.01</v>
      </c>
      <c r="L92" s="48">
        <f>Tabelle1[[#This Row],[Spalte12]]-Tabelle1[[#This Row],[Spalte11]]</f>
        <v>7.0000000000000007E-2</v>
      </c>
      <c r="M92" s="48">
        <v>0.08</v>
      </c>
      <c r="N92" s="48">
        <v>9.5000000000000001E-2</v>
      </c>
      <c r="O92" s="48">
        <v>0.115</v>
      </c>
      <c r="P92" s="48">
        <v>6.6000000000000003E-2</v>
      </c>
      <c r="Q92" s="47">
        <v>393841</v>
      </c>
      <c r="R92" s="49">
        <v>2.56</v>
      </c>
      <c r="S92" s="47">
        <v>69320</v>
      </c>
      <c r="T92" s="47">
        <v>27035</v>
      </c>
      <c r="U92" s="49">
        <v>2.41</v>
      </c>
      <c r="V92" s="47">
        <v>64660</v>
      </c>
      <c r="W92" s="47">
        <v>26842</v>
      </c>
      <c r="X92" s="49">
        <v>2.0299999999999998</v>
      </c>
      <c r="Y92" s="47">
        <v>52854</v>
      </c>
      <c r="Z92" s="47">
        <v>26002</v>
      </c>
      <c r="AA92" s="49">
        <v>1.73</v>
      </c>
      <c r="AB92" s="47">
        <v>44114</v>
      </c>
      <c r="AC92" s="47">
        <v>25495</v>
      </c>
      <c r="AD92" s="50">
        <v>1.37</v>
      </c>
      <c r="AE92" s="47">
        <v>357875</v>
      </c>
      <c r="AF92" s="47">
        <v>261957</v>
      </c>
      <c r="AG92" s="22"/>
    </row>
    <row r="93" spans="1:33" ht="10.5" customHeight="1" x14ac:dyDescent="0.15">
      <c r="A93" s="51" t="s">
        <v>12</v>
      </c>
      <c r="B93" s="41">
        <v>4</v>
      </c>
      <c r="C93" s="42">
        <v>289640</v>
      </c>
      <c r="D93" s="42">
        <v>671088</v>
      </c>
      <c r="E93" s="42">
        <v>412396</v>
      </c>
      <c r="F93" s="42">
        <v>512396</v>
      </c>
      <c r="G93" s="42">
        <v>3620506</v>
      </c>
      <c r="H93" s="43">
        <v>0.114</v>
      </c>
      <c r="I93" s="43">
        <v>0.14199999999999999</v>
      </c>
      <c r="J93" s="43">
        <v>0.185</v>
      </c>
      <c r="K93" s="63">
        <v>1.2999999999999999E-2</v>
      </c>
      <c r="L93" s="43">
        <f>Tabelle1[[#This Row],[Spalte12]]-Tabelle1[[#This Row],[Spalte11]]</f>
        <v>7.3999999999999996E-2</v>
      </c>
      <c r="M93" s="43">
        <v>8.6999999999999994E-2</v>
      </c>
      <c r="N93" s="43">
        <v>0.10299999999999999</v>
      </c>
      <c r="O93" s="43">
        <v>0.125</v>
      </c>
      <c r="P93" s="43">
        <v>5.7000000000000002E-2</v>
      </c>
      <c r="Q93" s="42">
        <v>8955645</v>
      </c>
      <c r="R93" s="44">
        <v>1.89</v>
      </c>
      <c r="S93" s="42">
        <v>2094350</v>
      </c>
      <c r="T93" s="42">
        <v>1109301</v>
      </c>
      <c r="U93" s="44">
        <v>1.73</v>
      </c>
      <c r="V93" s="42">
        <v>1771716</v>
      </c>
      <c r="W93" s="42">
        <v>1026121</v>
      </c>
      <c r="X93" s="44">
        <v>2.21</v>
      </c>
      <c r="Y93" s="42">
        <v>2072971</v>
      </c>
      <c r="Z93" s="42">
        <v>938370</v>
      </c>
      <c r="AA93" s="44">
        <v>1.79</v>
      </c>
      <c r="AB93" s="42">
        <v>1953973</v>
      </c>
      <c r="AC93" s="42">
        <v>1090379</v>
      </c>
      <c r="AD93" s="45">
        <v>1.46</v>
      </c>
      <c r="AE93" s="42">
        <v>6309317</v>
      </c>
      <c r="AF93" s="42">
        <v>4321979</v>
      </c>
      <c r="AG93" s="22"/>
    </row>
    <row r="94" spans="1:33" ht="10.5" customHeight="1" x14ac:dyDescent="0.15">
      <c r="A94" s="52" t="s">
        <v>54</v>
      </c>
      <c r="B94" s="46">
        <v>5</v>
      </c>
      <c r="C94" s="47">
        <v>12569</v>
      </c>
      <c r="D94" s="47">
        <v>42838</v>
      </c>
      <c r="E94" s="47">
        <v>29259</v>
      </c>
      <c r="F94" s="47">
        <v>36259</v>
      </c>
      <c r="G94" s="47">
        <v>157108</v>
      </c>
      <c r="H94" s="48">
        <v>0.186</v>
      </c>
      <c r="I94" s="48">
        <v>0.23100000000000001</v>
      </c>
      <c r="J94" s="48">
        <v>0.27300000000000002</v>
      </c>
      <c r="K94" s="64">
        <v>1E-3</v>
      </c>
      <c r="L94" s="48">
        <f>Tabelle1[[#This Row],[Spalte12]]-Tabelle1[[#This Row],[Spalte11]]</f>
        <v>6.9999999999999993E-2</v>
      </c>
      <c r="M94" s="48">
        <v>7.0999999999999994E-2</v>
      </c>
      <c r="N94" s="48">
        <v>8.5999999999999993E-2</v>
      </c>
      <c r="O94" s="48">
        <v>0.106</v>
      </c>
      <c r="P94" s="48">
        <v>5.2999999999999999E-2</v>
      </c>
      <c r="Q94" s="47">
        <v>689828</v>
      </c>
      <c r="R94" s="49">
        <v>3.37</v>
      </c>
      <c r="S94" s="47">
        <v>444639</v>
      </c>
      <c r="T94" s="47">
        <v>132087</v>
      </c>
      <c r="U94" s="49">
        <v>3.45</v>
      </c>
      <c r="V94" s="47">
        <v>516351</v>
      </c>
      <c r="W94" s="47">
        <v>149693</v>
      </c>
      <c r="X94" s="49">
        <v>3.06</v>
      </c>
      <c r="Y94" s="47">
        <v>453524</v>
      </c>
      <c r="Z94" s="47">
        <v>148117</v>
      </c>
      <c r="AA94" s="49">
        <v>3.8</v>
      </c>
      <c r="AB94" s="47">
        <v>377385</v>
      </c>
      <c r="AC94" s="47">
        <v>99389</v>
      </c>
      <c r="AD94" s="50">
        <v>3.81</v>
      </c>
      <c r="AE94" s="47">
        <v>470785</v>
      </c>
      <c r="AF94" s="47">
        <v>123519</v>
      </c>
      <c r="AG94" s="22"/>
    </row>
    <row r="95" spans="1:33" ht="10.5" customHeight="1" x14ac:dyDescent="0.15">
      <c r="A95" s="51" t="s">
        <v>24</v>
      </c>
      <c r="B95" s="41">
        <v>3</v>
      </c>
      <c r="C95" s="42">
        <v>1168768</v>
      </c>
      <c r="D95" s="42">
        <v>2728715</v>
      </c>
      <c r="E95" s="42">
        <v>2728715</v>
      </c>
      <c r="F95" s="42">
        <v>2728715</v>
      </c>
      <c r="G95" s="42">
        <v>14609603</v>
      </c>
      <c r="H95" s="43">
        <v>0.187</v>
      </c>
      <c r="I95" s="43">
        <v>0.187</v>
      </c>
      <c r="J95" s="43">
        <v>0.187</v>
      </c>
      <c r="K95" s="63">
        <v>1.0999999999999999E-2</v>
      </c>
      <c r="L95" s="43">
        <f>Tabelle1[[#This Row],[Spalte12]]-Tabelle1[[#This Row],[Spalte11]]</f>
        <v>7.8E-2</v>
      </c>
      <c r="M95" s="43">
        <v>8.8999999999999996E-2</v>
      </c>
      <c r="N95" s="43">
        <v>0.107</v>
      </c>
      <c r="O95" s="43">
        <v>0.13100000000000001</v>
      </c>
      <c r="P95" s="43">
        <v>8.1000000000000003E-2</v>
      </c>
      <c r="Q95" s="42">
        <v>33633678</v>
      </c>
      <c r="R95" s="44">
        <v>1.5</v>
      </c>
      <c r="S95" s="42">
        <v>7795858</v>
      </c>
      <c r="T95" s="42">
        <v>5182845</v>
      </c>
      <c r="U95" s="44">
        <v>1.85</v>
      </c>
      <c r="V95" s="42">
        <v>6438249</v>
      </c>
      <c r="W95" s="42">
        <v>3487014</v>
      </c>
      <c r="X95" s="44">
        <v>1.42</v>
      </c>
      <c r="Y95" s="42">
        <v>5486373</v>
      </c>
      <c r="Z95" s="42">
        <v>3863519</v>
      </c>
      <c r="AA95" s="44">
        <v>1.61</v>
      </c>
      <c r="AB95" s="42">
        <v>6155504</v>
      </c>
      <c r="AC95" s="42">
        <v>3813995</v>
      </c>
      <c r="AD95" s="45">
        <v>1.34</v>
      </c>
      <c r="AE95" s="42">
        <v>24675959</v>
      </c>
      <c r="AF95" s="42">
        <v>18379154</v>
      </c>
      <c r="AG95" s="22"/>
    </row>
    <row r="96" spans="1:33" ht="10.5" customHeight="1" x14ac:dyDescent="0.15">
      <c r="A96" s="52" t="s">
        <v>6</v>
      </c>
      <c r="B96" s="46">
        <v>5</v>
      </c>
      <c r="C96" s="47">
        <v>27869</v>
      </c>
      <c r="D96" s="47">
        <v>64813</v>
      </c>
      <c r="E96" s="47">
        <v>64813</v>
      </c>
      <c r="F96" s="47">
        <v>64813</v>
      </c>
      <c r="G96" s="47">
        <v>348362</v>
      </c>
      <c r="H96" s="48">
        <v>0.186</v>
      </c>
      <c r="I96" s="48">
        <v>0.186</v>
      </c>
      <c r="J96" s="48">
        <v>0.186</v>
      </c>
      <c r="K96" s="64">
        <v>1.6E-2</v>
      </c>
      <c r="L96" s="48">
        <f>Tabelle1[[#This Row],[Spalte12]]-Tabelle1[[#This Row],[Spalte11]]</f>
        <v>6.9999999999999993E-2</v>
      </c>
      <c r="M96" s="48">
        <v>8.5999999999999993E-2</v>
      </c>
      <c r="N96" s="48">
        <v>0.10100000000000001</v>
      </c>
      <c r="O96" s="48">
        <v>0.121</v>
      </c>
      <c r="P96" s="48">
        <v>8.1000000000000003E-2</v>
      </c>
      <c r="Q96" s="47">
        <v>801571</v>
      </c>
      <c r="R96" s="49">
        <v>1.66</v>
      </c>
      <c r="S96" s="47">
        <v>65946</v>
      </c>
      <c r="T96" s="47">
        <v>39613</v>
      </c>
      <c r="U96" s="49">
        <v>1.75</v>
      </c>
      <c r="V96" s="47">
        <v>63976</v>
      </c>
      <c r="W96" s="47">
        <v>36497</v>
      </c>
      <c r="X96" s="49">
        <v>1.87</v>
      </c>
      <c r="Y96" s="47">
        <v>66360</v>
      </c>
      <c r="Z96" s="47">
        <v>35536</v>
      </c>
      <c r="AA96" s="49">
        <v>1.85</v>
      </c>
      <c r="AB96" s="47">
        <v>65432</v>
      </c>
      <c r="AC96" s="47">
        <v>35441</v>
      </c>
      <c r="AD96" s="50">
        <v>1.34</v>
      </c>
      <c r="AE96" s="47">
        <v>720463</v>
      </c>
      <c r="AF96" s="47">
        <v>536924</v>
      </c>
      <c r="AG96" s="22"/>
    </row>
    <row r="97" spans="1:33" ht="10.5" customHeight="1" x14ac:dyDescent="0.15">
      <c r="A97" s="51" t="s">
        <v>201</v>
      </c>
      <c r="B97" s="41">
        <v>5</v>
      </c>
      <c r="C97" s="42">
        <v>12576</v>
      </c>
      <c r="D97" s="42">
        <v>18496</v>
      </c>
      <c r="E97" s="42">
        <v>18496</v>
      </c>
      <c r="F97" s="42">
        <v>18496</v>
      </c>
      <c r="G97" s="42">
        <v>157205</v>
      </c>
      <c r="H97" s="43">
        <v>0.11799999999999999</v>
      </c>
      <c r="I97" s="43">
        <v>0.11799999999999999</v>
      </c>
      <c r="J97" s="43">
        <v>0.11799999999999999</v>
      </c>
      <c r="K97" s="63">
        <v>0</v>
      </c>
      <c r="L97" s="43">
        <f>Tabelle1[[#This Row],[Spalte12]]-Tabelle1[[#This Row],[Spalte11]]</f>
        <v>7.0000000000000007E-2</v>
      </c>
      <c r="M97" s="43">
        <v>7.0000000000000007E-2</v>
      </c>
      <c r="N97" s="43">
        <v>8.5000000000000006E-2</v>
      </c>
      <c r="O97" s="43">
        <v>0.105</v>
      </c>
      <c r="P97" s="43">
        <v>7.2999999999999995E-2</v>
      </c>
      <c r="Q97" s="42">
        <v>251885</v>
      </c>
      <c r="R97" s="44">
        <v>1.47</v>
      </c>
      <c r="S97" s="42">
        <v>19591</v>
      </c>
      <c r="T97" s="42">
        <v>13325</v>
      </c>
      <c r="U97" s="44">
        <v>1.78</v>
      </c>
      <c r="V97" s="42">
        <v>21211</v>
      </c>
      <c r="W97" s="42">
        <v>11901</v>
      </c>
      <c r="X97" s="44">
        <v>1.83</v>
      </c>
      <c r="Y97" s="42">
        <v>21737</v>
      </c>
      <c r="Z97" s="42">
        <v>11858</v>
      </c>
      <c r="AA97" s="44">
        <v>1.71</v>
      </c>
      <c r="AB97" s="42">
        <v>21636</v>
      </c>
      <c r="AC97" s="42">
        <v>12676</v>
      </c>
      <c r="AD97" s="45">
        <v>2.15</v>
      </c>
      <c r="AE97" s="42">
        <v>219781</v>
      </c>
      <c r="AF97" s="42">
        <v>102217</v>
      </c>
      <c r="AG97" s="22"/>
    </row>
    <row r="98" spans="1:33" ht="10.5" customHeight="1" x14ac:dyDescent="0.15">
      <c r="A98" s="52" t="s">
        <v>122</v>
      </c>
      <c r="B98" s="46">
        <v>4</v>
      </c>
      <c r="C98" s="47">
        <v>84067</v>
      </c>
      <c r="D98" s="47">
        <v>216259</v>
      </c>
      <c r="E98" s="47">
        <v>216259</v>
      </c>
      <c r="F98" s="47">
        <v>216259</v>
      </c>
      <c r="G98" s="47">
        <v>1050835</v>
      </c>
      <c r="H98" s="48">
        <v>0.20599999999999999</v>
      </c>
      <c r="I98" s="48">
        <v>0.20599999999999999</v>
      </c>
      <c r="J98" s="48">
        <v>0.20599999999999999</v>
      </c>
      <c r="K98" s="64">
        <v>0</v>
      </c>
      <c r="L98" s="48">
        <f>Tabelle1[[#This Row],[Spalte12]]-Tabelle1[[#This Row],[Spalte11]]</f>
        <v>7.3999999999999996E-2</v>
      </c>
      <c r="M98" s="48">
        <v>7.3999999999999996E-2</v>
      </c>
      <c r="N98" s="48">
        <v>0.09</v>
      </c>
      <c r="O98" s="48">
        <v>0.112</v>
      </c>
      <c r="P98" s="48">
        <v>9.5000000000000001E-2</v>
      </c>
      <c r="Q98" s="47">
        <v>2280474</v>
      </c>
      <c r="R98" s="49">
        <v>1.73</v>
      </c>
      <c r="S98" s="47">
        <v>1533214</v>
      </c>
      <c r="T98" s="47">
        <v>884303</v>
      </c>
      <c r="U98" s="49">
        <v>1.49</v>
      </c>
      <c r="V98" s="47">
        <v>1167775</v>
      </c>
      <c r="W98" s="47">
        <v>784358</v>
      </c>
      <c r="X98" s="49">
        <v>1.48</v>
      </c>
      <c r="Y98" s="47">
        <v>949676</v>
      </c>
      <c r="Z98" s="47">
        <v>641248</v>
      </c>
      <c r="AA98" s="49">
        <v>1.79</v>
      </c>
      <c r="AB98" s="47">
        <v>975637</v>
      </c>
      <c r="AC98" s="47">
        <v>545293</v>
      </c>
      <c r="AD98" s="50">
        <v>1.67</v>
      </c>
      <c r="AE98" s="47">
        <v>1143291</v>
      </c>
      <c r="AF98" s="47">
        <v>685399</v>
      </c>
      <c r="AG98" s="22"/>
    </row>
    <row r="99" spans="1:33" ht="10.5" customHeight="1" x14ac:dyDescent="0.15">
      <c r="A99" s="51" t="s">
        <v>195</v>
      </c>
      <c r="B99" s="41">
        <v>3</v>
      </c>
      <c r="C99" s="42">
        <v>973668</v>
      </c>
      <c r="D99" s="42">
        <v>3526865</v>
      </c>
      <c r="E99" s="42">
        <v>3496865</v>
      </c>
      <c r="F99" s="42">
        <v>3526865</v>
      </c>
      <c r="G99" s="42">
        <v>12170844</v>
      </c>
      <c r="H99" s="43">
        <v>0.28699999999999998</v>
      </c>
      <c r="I99" s="43">
        <v>0.28999999999999998</v>
      </c>
      <c r="J99" s="43">
        <v>0.28999999999999998</v>
      </c>
      <c r="K99" s="63">
        <v>0</v>
      </c>
      <c r="L99" s="43">
        <f>Tabelle1[[#This Row],[Spalte12]]-Tabelle1[[#This Row],[Spalte11]]</f>
        <v>7.8E-2</v>
      </c>
      <c r="M99" s="43">
        <v>7.8E-2</v>
      </c>
      <c r="N99" s="43">
        <v>9.6000000000000002E-2</v>
      </c>
      <c r="O99" s="43">
        <v>0.12</v>
      </c>
      <c r="P99" s="43">
        <v>7.6999999999999999E-2</v>
      </c>
      <c r="Q99" s="42">
        <v>45572117</v>
      </c>
      <c r="R99" s="44">
        <v>1.82</v>
      </c>
      <c r="S99" s="42">
        <v>23290972</v>
      </c>
      <c r="T99" s="42">
        <v>12785195</v>
      </c>
      <c r="U99" s="44">
        <v>1.78</v>
      </c>
      <c r="V99" s="42">
        <v>22760609</v>
      </c>
      <c r="W99" s="42">
        <v>12764584</v>
      </c>
      <c r="X99" s="44">
        <v>1.82</v>
      </c>
      <c r="Y99" s="42">
        <v>21213036</v>
      </c>
      <c r="Z99" s="42">
        <v>11678084</v>
      </c>
      <c r="AA99" s="44">
        <v>1.95</v>
      </c>
      <c r="AB99" s="42">
        <v>21893706</v>
      </c>
      <c r="AC99" s="42">
        <v>11234735</v>
      </c>
      <c r="AD99" s="45">
        <v>2.0499999999999998</v>
      </c>
      <c r="AE99" s="42">
        <v>18783421</v>
      </c>
      <c r="AF99" s="42">
        <v>9163304</v>
      </c>
      <c r="AG99" s="22"/>
    </row>
    <row r="100" spans="1:33" ht="10.5" customHeight="1" x14ac:dyDescent="0.15">
      <c r="A100" s="52" t="s">
        <v>46</v>
      </c>
      <c r="B100" s="46">
        <v>4</v>
      </c>
      <c r="C100" s="47">
        <v>512530</v>
      </c>
      <c r="D100" s="47">
        <v>1219102</v>
      </c>
      <c r="E100" s="47">
        <v>1166996</v>
      </c>
      <c r="F100" s="47">
        <v>1166996</v>
      </c>
      <c r="G100" s="47">
        <v>6406628</v>
      </c>
      <c r="H100" s="48">
        <v>0.182</v>
      </c>
      <c r="I100" s="48">
        <v>0.182</v>
      </c>
      <c r="J100" s="48">
        <v>0.19</v>
      </c>
      <c r="K100" s="64">
        <v>0</v>
      </c>
      <c r="L100" s="48">
        <f>Tabelle1[[#This Row],[Spalte12]]-Tabelle1[[#This Row],[Spalte11]]</f>
        <v>7.3999999999999996E-2</v>
      </c>
      <c r="M100" s="48">
        <v>7.3999999999999996E-2</v>
      </c>
      <c r="N100" s="48">
        <v>0.09</v>
      </c>
      <c r="O100" s="48">
        <v>0.112</v>
      </c>
      <c r="P100" s="48">
        <v>9.6000000000000002E-2</v>
      </c>
      <c r="Q100" s="47">
        <v>12158528</v>
      </c>
      <c r="R100" s="49">
        <v>1.37</v>
      </c>
      <c r="S100" s="47">
        <v>2557626</v>
      </c>
      <c r="T100" s="47">
        <v>1864306</v>
      </c>
      <c r="U100" s="49">
        <v>1.22</v>
      </c>
      <c r="V100" s="47">
        <v>2232676</v>
      </c>
      <c r="W100" s="47">
        <v>1823677</v>
      </c>
      <c r="X100" s="49">
        <v>1.1299999999999999</v>
      </c>
      <c r="Y100" s="47">
        <v>2063824</v>
      </c>
      <c r="Z100" s="47">
        <v>1825666</v>
      </c>
      <c r="AA100" s="49">
        <v>1.2</v>
      </c>
      <c r="AB100" s="47">
        <v>1986907</v>
      </c>
      <c r="AC100" s="47">
        <v>1648977</v>
      </c>
      <c r="AD100" s="50">
        <v>1.87</v>
      </c>
      <c r="AE100" s="47">
        <v>7941710</v>
      </c>
      <c r="AF100" s="47">
        <v>4257940</v>
      </c>
      <c r="AG100" s="22"/>
    </row>
    <row r="101" spans="1:33" ht="10.5" customHeight="1" x14ac:dyDescent="0.15">
      <c r="A101" s="51" t="s">
        <v>118</v>
      </c>
      <c r="B101" s="41">
        <v>5</v>
      </c>
      <c r="C101" s="42">
        <v>18743</v>
      </c>
      <c r="D101" s="42">
        <v>62645</v>
      </c>
      <c r="E101" s="42">
        <v>62645</v>
      </c>
      <c r="F101" s="42">
        <v>62645</v>
      </c>
      <c r="G101" s="42">
        <v>234284</v>
      </c>
      <c r="H101" s="43">
        <v>0.26700000000000002</v>
      </c>
      <c r="I101" s="43">
        <v>0.26700000000000002</v>
      </c>
      <c r="J101" s="43">
        <v>0.26700000000000002</v>
      </c>
      <c r="K101" s="63">
        <v>3.0000000000000001E-3</v>
      </c>
      <c r="L101" s="43">
        <f>Tabelle1[[#This Row],[Spalte12]]-Tabelle1[[#This Row],[Spalte11]]</f>
        <v>6.9999999999999993E-2</v>
      </c>
      <c r="M101" s="43">
        <v>7.2999999999999995E-2</v>
      </c>
      <c r="N101" s="43">
        <v>8.7999999999999995E-2</v>
      </c>
      <c r="O101" s="43">
        <v>0.108</v>
      </c>
      <c r="P101" s="43">
        <v>7.4999999999999997E-2</v>
      </c>
      <c r="Q101" s="42">
        <v>837606</v>
      </c>
      <c r="R101" s="44">
        <v>2.61</v>
      </c>
      <c r="S101" s="42">
        <v>111408</v>
      </c>
      <c r="T101" s="42">
        <v>42624</v>
      </c>
      <c r="U101" s="44">
        <v>3.13</v>
      </c>
      <c r="V101" s="42">
        <v>140878</v>
      </c>
      <c r="W101" s="42">
        <v>44981</v>
      </c>
      <c r="X101" s="44">
        <v>3.53</v>
      </c>
      <c r="Y101" s="42">
        <v>131524</v>
      </c>
      <c r="Z101" s="42">
        <v>37279</v>
      </c>
      <c r="AA101" s="44">
        <v>3.76</v>
      </c>
      <c r="AB101" s="42">
        <v>131825</v>
      </c>
      <c r="AC101" s="42">
        <v>35064</v>
      </c>
      <c r="AD101" s="45">
        <v>1.92</v>
      </c>
      <c r="AE101" s="42">
        <v>400165</v>
      </c>
      <c r="AF101" s="42">
        <v>208009</v>
      </c>
      <c r="AG101" s="22"/>
    </row>
    <row r="102" spans="1:33" ht="10.5" customHeight="1" x14ac:dyDescent="0.15">
      <c r="A102" s="52" t="s">
        <v>111</v>
      </c>
      <c r="B102" s="46">
        <v>5</v>
      </c>
      <c r="C102" s="47">
        <v>11210</v>
      </c>
      <c r="D102" s="47">
        <v>34667</v>
      </c>
      <c r="E102" s="47">
        <v>16667</v>
      </c>
      <c r="F102" s="47">
        <v>34667</v>
      </c>
      <c r="G102" s="47">
        <v>140124</v>
      </c>
      <c r="H102" s="48">
        <v>0.11899999999999999</v>
      </c>
      <c r="I102" s="48">
        <v>0.247</v>
      </c>
      <c r="J102" s="48">
        <v>0.247</v>
      </c>
      <c r="K102" s="64">
        <v>0</v>
      </c>
      <c r="L102" s="48">
        <f>Tabelle1[[#This Row],[Spalte12]]-Tabelle1[[#This Row],[Spalte11]]</f>
        <v>7.0000000000000007E-2</v>
      </c>
      <c r="M102" s="48">
        <v>7.0000000000000007E-2</v>
      </c>
      <c r="N102" s="48">
        <v>8.5000000000000006E-2</v>
      </c>
      <c r="O102" s="48">
        <v>0.105</v>
      </c>
      <c r="P102" s="48">
        <v>0.151</v>
      </c>
      <c r="Q102" s="47">
        <v>229932</v>
      </c>
      <c r="R102" s="49">
        <v>3.22</v>
      </c>
      <c r="S102" s="47">
        <v>43517</v>
      </c>
      <c r="T102" s="47">
        <v>13520</v>
      </c>
      <c r="U102" s="49">
        <v>2.14</v>
      </c>
      <c r="V102" s="47">
        <v>32486</v>
      </c>
      <c r="W102" s="47">
        <v>15152</v>
      </c>
      <c r="X102" s="49">
        <v>1.95</v>
      </c>
      <c r="Y102" s="47">
        <v>22683</v>
      </c>
      <c r="Z102" s="47">
        <v>11646</v>
      </c>
      <c r="AA102" s="49">
        <v>2.4900000000000002</v>
      </c>
      <c r="AB102" s="47">
        <v>27451</v>
      </c>
      <c r="AC102" s="47">
        <v>11037</v>
      </c>
      <c r="AD102" s="50">
        <v>1.35</v>
      </c>
      <c r="AE102" s="47">
        <v>143413</v>
      </c>
      <c r="AF102" s="47">
        <v>106055</v>
      </c>
      <c r="AG102" s="22"/>
    </row>
    <row r="103" spans="1:33" ht="10.5" customHeight="1" x14ac:dyDescent="0.15">
      <c r="A103" s="51" t="s">
        <v>93</v>
      </c>
      <c r="B103" s="41">
        <v>3</v>
      </c>
      <c r="C103" s="42">
        <v>394554</v>
      </c>
      <c r="D103" s="42">
        <v>1134889</v>
      </c>
      <c r="E103" s="42">
        <v>925177</v>
      </c>
      <c r="F103" s="42">
        <v>925177</v>
      </c>
      <c r="G103" s="42">
        <v>4931923</v>
      </c>
      <c r="H103" s="43">
        <v>0.188</v>
      </c>
      <c r="I103" s="43">
        <v>0.188</v>
      </c>
      <c r="J103" s="43">
        <v>0.23</v>
      </c>
      <c r="K103" s="63">
        <v>0</v>
      </c>
      <c r="L103" s="43">
        <f>Tabelle1[[#This Row],[Spalte12]]-Tabelle1[[#This Row],[Spalte11]]</f>
        <v>7.8E-2</v>
      </c>
      <c r="M103" s="43">
        <v>7.8E-2</v>
      </c>
      <c r="N103" s="43">
        <v>9.6000000000000002E-2</v>
      </c>
      <c r="O103" s="43">
        <v>0.12</v>
      </c>
      <c r="P103" s="43">
        <v>0.04</v>
      </c>
      <c r="Q103" s="42">
        <v>23289888</v>
      </c>
      <c r="R103" s="44">
        <v>2.38</v>
      </c>
      <c r="S103" s="42">
        <v>4279408</v>
      </c>
      <c r="T103" s="42">
        <v>1795056</v>
      </c>
      <c r="U103" s="44">
        <v>2.56</v>
      </c>
      <c r="V103" s="42">
        <v>3939236</v>
      </c>
      <c r="W103" s="42">
        <v>1539807</v>
      </c>
      <c r="X103" s="44">
        <v>2.2000000000000002</v>
      </c>
      <c r="Y103" s="42">
        <v>6982496</v>
      </c>
      <c r="Z103" s="42">
        <v>3178662</v>
      </c>
      <c r="AA103" s="44">
        <v>1.91</v>
      </c>
      <c r="AB103" s="42">
        <v>6081126</v>
      </c>
      <c r="AC103" s="42">
        <v>3192142</v>
      </c>
      <c r="AD103" s="45">
        <v>1.42</v>
      </c>
      <c r="AE103" s="42">
        <v>10177361</v>
      </c>
      <c r="AF103" s="42">
        <v>7180470</v>
      </c>
      <c r="AG103" s="22"/>
    </row>
    <row r="104" spans="1:33" ht="10.5" customHeight="1" x14ac:dyDescent="0.15">
      <c r="A104" s="52" t="s">
        <v>71</v>
      </c>
      <c r="B104" s="46">
        <v>5</v>
      </c>
      <c r="C104" s="47">
        <v>16719</v>
      </c>
      <c r="D104" s="47">
        <v>76897</v>
      </c>
      <c r="E104" s="47">
        <v>76897</v>
      </c>
      <c r="F104" s="47">
        <v>76897</v>
      </c>
      <c r="G104" s="47">
        <v>208983</v>
      </c>
      <c r="H104" s="48">
        <v>0.36799999999999999</v>
      </c>
      <c r="I104" s="48">
        <v>0.36799999999999999</v>
      </c>
      <c r="J104" s="48">
        <v>0.36799999999999999</v>
      </c>
      <c r="K104" s="64">
        <v>0</v>
      </c>
      <c r="L104" s="48">
        <f>Tabelle1[[#This Row],[Spalte12]]-Tabelle1[[#This Row],[Spalte11]]</f>
        <v>7.0000000000000007E-2</v>
      </c>
      <c r="M104" s="48">
        <v>7.0000000000000007E-2</v>
      </c>
      <c r="N104" s="48">
        <v>8.5000000000000006E-2</v>
      </c>
      <c r="O104" s="48">
        <v>0.105</v>
      </c>
      <c r="P104" s="48">
        <v>0.105</v>
      </c>
      <c r="Q104" s="47">
        <v>733981</v>
      </c>
      <c r="R104" s="49">
        <v>2.1</v>
      </c>
      <c r="S104" s="47">
        <v>307909</v>
      </c>
      <c r="T104" s="47">
        <v>146859</v>
      </c>
      <c r="U104" s="49">
        <v>1.7</v>
      </c>
      <c r="V104" s="47">
        <v>231275</v>
      </c>
      <c r="W104" s="47">
        <v>135805</v>
      </c>
      <c r="X104" s="49">
        <v>1.55</v>
      </c>
      <c r="Y104" s="47">
        <v>181130</v>
      </c>
      <c r="Z104" s="47">
        <v>117174</v>
      </c>
      <c r="AA104" s="49">
        <v>1.62</v>
      </c>
      <c r="AB104" s="47">
        <v>97597</v>
      </c>
      <c r="AC104" s="47">
        <v>60387</v>
      </c>
      <c r="AD104" s="50">
        <v>1.48</v>
      </c>
      <c r="AE104" s="47">
        <v>479836</v>
      </c>
      <c r="AF104" s="47">
        <v>324648</v>
      </c>
      <c r="AG104" s="22"/>
    </row>
    <row r="105" spans="1:33" ht="10.5" customHeight="1" x14ac:dyDescent="0.15">
      <c r="A105" s="51" t="s">
        <v>21</v>
      </c>
      <c r="B105" s="41">
        <v>4</v>
      </c>
      <c r="C105" s="42">
        <v>248136</v>
      </c>
      <c r="D105" s="42">
        <v>567907</v>
      </c>
      <c r="E105" s="42">
        <v>523338</v>
      </c>
      <c r="F105" s="42">
        <v>523338</v>
      </c>
      <c r="G105" s="42">
        <v>3101698</v>
      </c>
      <c r="H105" s="43">
        <v>0.16900000000000001</v>
      </c>
      <c r="I105" s="43">
        <v>0.16900000000000001</v>
      </c>
      <c r="J105" s="43">
        <v>0.183</v>
      </c>
      <c r="K105" s="63">
        <v>1.2E-2</v>
      </c>
      <c r="L105" s="43">
        <f>Tabelle1[[#This Row],[Spalte12]]-Tabelle1[[#This Row],[Spalte11]]</f>
        <v>7.3999999999999996E-2</v>
      </c>
      <c r="M105" s="43">
        <v>8.5999999999999993E-2</v>
      </c>
      <c r="N105" s="43">
        <v>0.10199999999999999</v>
      </c>
      <c r="O105" s="43">
        <v>0.124</v>
      </c>
      <c r="P105" s="43">
        <v>7.3999999999999996E-2</v>
      </c>
      <c r="Q105" s="42">
        <v>7074641</v>
      </c>
      <c r="R105" s="44">
        <v>2.1800000000000002</v>
      </c>
      <c r="S105" s="42">
        <v>1395967</v>
      </c>
      <c r="T105" s="42">
        <v>641547</v>
      </c>
      <c r="U105" s="44">
        <v>2.35</v>
      </c>
      <c r="V105" s="42">
        <v>1339568</v>
      </c>
      <c r="W105" s="42">
        <v>570891</v>
      </c>
      <c r="X105" s="44">
        <v>2.36</v>
      </c>
      <c r="Y105" s="42">
        <v>1316367</v>
      </c>
      <c r="Z105" s="42">
        <v>557105</v>
      </c>
      <c r="AA105" s="44">
        <v>2.2000000000000002</v>
      </c>
      <c r="AB105" s="42">
        <v>1242602</v>
      </c>
      <c r="AC105" s="42">
        <v>564089</v>
      </c>
      <c r="AD105" s="45">
        <v>1.51</v>
      </c>
      <c r="AE105" s="42">
        <v>5955637</v>
      </c>
      <c r="AF105" s="42">
        <v>3955350</v>
      </c>
      <c r="AG105" s="22"/>
    </row>
    <row r="106" spans="1:33" ht="10.5" customHeight="1" x14ac:dyDescent="0.15">
      <c r="A106" s="52" t="s">
        <v>182</v>
      </c>
      <c r="B106" s="46">
        <v>5</v>
      </c>
      <c r="C106" s="47">
        <v>7771</v>
      </c>
      <c r="D106" s="47">
        <v>29617</v>
      </c>
      <c r="E106" s="47">
        <v>29617</v>
      </c>
      <c r="F106" s="47">
        <v>29617</v>
      </c>
      <c r="G106" s="47">
        <v>97140</v>
      </c>
      <c r="H106" s="48">
        <v>0.30499999999999999</v>
      </c>
      <c r="I106" s="48">
        <v>0.30499999999999999</v>
      </c>
      <c r="J106" s="48">
        <v>0.30499999999999999</v>
      </c>
      <c r="K106" s="64">
        <v>0</v>
      </c>
      <c r="L106" s="48">
        <f>Tabelle1[[#This Row],[Spalte12]]-Tabelle1[[#This Row],[Spalte11]]</f>
        <v>7.0000000000000007E-2</v>
      </c>
      <c r="M106" s="48">
        <v>7.0000000000000007E-2</v>
      </c>
      <c r="N106" s="48">
        <v>8.5000000000000006E-2</v>
      </c>
      <c r="O106" s="48">
        <v>0.105</v>
      </c>
      <c r="P106" s="48">
        <v>8.6999999999999994E-2</v>
      </c>
      <c r="Q106" s="47">
        <v>341037</v>
      </c>
      <c r="R106" s="49">
        <v>1.41</v>
      </c>
      <c r="S106" s="47">
        <v>219925</v>
      </c>
      <c r="T106" s="47">
        <v>156423</v>
      </c>
      <c r="U106" s="49">
        <v>1.23</v>
      </c>
      <c r="V106" s="47">
        <v>260278</v>
      </c>
      <c r="W106" s="47">
        <v>211037</v>
      </c>
      <c r="X106" s="49">
        <v>1.26</v>
      </c>
      <c r="Y106" s="47">
        <v>211271</v>
      </c>
      <c r="Z106" s="47">
        <v>167929</v>
      </c>
      <c r="AA106" s="49">
        <v>1.3</v>
      </c>
      <c r="AB106" s="47">
        <v>199785</v>
      </c>
      <c r="AC106" s="47">
        <v>153937</v>
      </c>
      <c r="AD106" s="50">
        <v>2.23</v>
      </c>
      <c r="AE106" s="47">
        <v>61852</v>
      </c>
      <c r="AF106" s="47">
        <v>27780</v>
      </c>
      <c r="AG106" s="22"/>
    </row>
    <row r="107" spans="1:33" ht="10.5" customHeight="1" x14ac:dyDescent="0.15">
      <c r="A107" s="51" t="s">
        <v>223</v>
      </c>
      <c r="B107" s="41">
        <v>5</v>
      </c>
      <c r="C107" s="42">
        <v>4170</v>
      </c>
      <c r="D107" s="42">
        <v>6707</v>
      </c>
      <c r="E107" s="42">
        <v>6707</v>
      </c>
      <c r="F107" s="42">
        <v>6707</v>
      </c>
      <c r="G107" s="42">
        <v>52123</v>
      </c>
      <c r="H107" s="43">
        <v>0.129</v>
      </c>
      <c r="I107" s="43">
        <v>0.129</v>
      </c>
      <c r="J107" s="43">
        <v>0.129</v>
      </c>
      <c r="K107" s="63">
        <v>0</v>
      </c>
      <c r="L107" s="43">
        <f>Tabelle1[[#This Row],[Spalte12]]-Tabelle1[[#This Row],[Spalte11]]</f>
        <v>7.0000000000000007E-2</v>
      </c>
      <c r="M107" s="43">
        <v>7.0000000000000007E-2</v>
      </c>
      <c r="N107" s="43">
        <v>8.5000000000000006E-2</v>
      </c>
      <c r="O107" s="43">
        <v>0.105</v>
      </c>
      <c r="P107" s="43">
        <v>0.05</v>
      </c>
      <c r="Q107" s="42">
        <v>133825</v>
      </c>
      <c r="R107" s="44">
        <v>1.08</v>
      </c>
      <c r="S107" s="42">
        <v>119880</v>
      </c>
      <c r="T107" s="42">
        <v>111318</v>
      </c>
      <c r="U107" s="44">
        <v>1.1000000000000001</v>
      </c>
      <c r="V107" s="42">
        <v>115393</v>
      </c>
      <c r="W107" s="42">
        <v>105027</v>
      </c>
      <c r="X107" s="44">
        <v>1.1200000000000001</v>
      </c>
      <c r="Y107" s="42">
        <v>111801</v>
      </c>
      <c r="Z107" s="42">
        <v>99689</v>
      </c>
      <c r="AA107" s="44">
        <v>1.1299999999999999</v>
      </c>
      <c r="AB107" s="42">
        <v>100881</v>
      </c>
      <c r="AC107" s="42">
        <v>89643</v>
      </c>
      <c r="AD107" s="45">
        <v>1.37</v>
      </c>
      <c r="AE107" s="42">
        <v>29811</v>
      </c>
      <c r="AF107" s="42">
        <v>21710</v>
      </c>
      <c r="AG107" s="22"/>
    </row>
    <row r="108" spans="1:33" ht="10.5" customHeight="1" x14ac:dyDescent="0.15">
      <c r="A108" s="52" t="s">
        <v>224</v>
      </c>
      <c r="B108" s="46">
        <v>5</v>
      </c>
      <c r="C108" s="47">
        <v>4237</v>
      </c>
      <c r="D108" s="47">
        <v>6610</v>
      </c>
      <c r="E108" s="47">
        <v>6610</v>
      </c>
      <c r="F108" s="47">
        <v>6610</v>
      </c>
      <c r="G108" s="47">
        <v>52731</v>
      </c>
      <c r="H108" s="48">
        <v>0.125</v>
      </c>
      <c r="I108" s="48">
        <v>0.125</v>
      </c>
      <c r="J108" s="48">
        <v>0.125</v>
      </c>
      <c r="K108" s="64">
        <v>0</v>
      </c>
      <c r="L108" s="48">
        <f>Tabelle1[[#This Row],[Spalte12]]-Tabelle1[[#This Row],[Spalte11]]</f>
        <v>7.0000000000000007E-2</v>
      </c>
      <c r="M108" s="48">
        <v>7.0000000000000007E-2</v>
      </c>
      <c r="N108" s="48">
        <v>8.5000000000000006E-2</v>
      </c>
      <c r="O108" s="48">
        <v>0.105</v>
      </c>
      <c r="P108" s="48">
        <v>4.9000000000000002E-2</v>
      </c>
      <c r="Q108" s="47">
        <v>133583</v>
      </c>
      <c r="R108" s="49">
        <v>1.07</v>
      </c>
      <c r="S108" s="47">
        <v>119880</v>
      </c>
      <c r="T108" s="47">
        <v>112080</v>
      </c>
      <c r="U108" s="49">
        <v>1.0900000000000001</v>
      </c>
      <c r="V108" s="47">
        <v>115393</v>
      </c>
      <c r="W108" s="47">
        <v>106274</v>
      </c>
      <c r="X108" s="49">
        <v>1.1100000000000001</v>
      </c>
      <c r="Y108" s="47">
        <v>111801</v>
      </c>
      <c r="Z108" s="47">
        <v>100952</v>
      </c>
      <c r="AA108" s="49">
        <v>1.1100000000000001</v>
      </c>
      <c r="AB108" s="47">
        <v>100881</v>
      </c>
      <c r="AC108" s="47">
        <v>91234</v>
      </c>
      <c r="AD108" s="50">
        <v>1.35</v>
      </c>
      <c r="AE108" s="47">
        <v>26681</v>
      </c>
      <c r="AF108" s="47">
        <v>19802</v>
      </c>
      <c r="AG108" s="22"/>
    </row>
    <row r="109" spans="1:33" ht="10.5" customHeight="1" x14ac:dyDescent="0.15">
      <c r="A109" s="51" t="s">
        <v>97</v>
      </c>
      <c r="B109" s="41">
        <v>3</v>
      </c>
      <c r="C109" s="42">
        <v>976988</v>
      </c>
      <c r="D109" s="42">
        <v>5811207</v>
      </c>
      <c r="E109" s="42">
        <v>5743912</v>
      </c>
      <c r="F109" s="42">
        <v>5743912</v>
      </c>
      <c r="G109" s="42">
        <v>12212351</v>
      </c>
      <c r="H109" s="43">
        <v>0.47</v>
      </c>
      <c r="I109" s="43">
        <v>0.47</v>
      </c>
      <c r="J109" s="43">
        <v>0.47599999999999998</v>
      </c>
      <c r="K109" s="63">
        <v>0</v>
      </c>
      <c r="L109" s="43">
        <f>Tabelle1[[#This Row],[Spalte12]]-Tabelle1[[#This Row],[Spalte11]]</f>
        <v>7.8E-2</v>
      </c>
      <c r="M109" s="43">
        <v>7.8E-2</v>
      </c>
      <c r="N109" s="43">
        <v>9.6000000000000002E-2</v>
      </c>
      <c r="O109" s="43">
        <v>0.12</v>
      </c>
      <c r="P109" s="43">
        <v>0.126</v>
      </c>
      <c r="Q109" s="42">
        <v>45574220</v>
      </c>
      <c r="R109" s="44">
        <v>2.1</v>
      </c>
      <c r="S109" s="42">
        <v>19573946</v>
      </c>
      <c r="T109" s="42">
        <v>9325223</v>
      </c>
      <c r="U109" s="44">
        <v>2.48</v>
      </c>
      <c r="V109" s="42">
        <v>19950237</v>
      </c>
      <c r="W109" s="42">
        <v>8039663</v>
      </c>
      <c r="X109" s="44">
        <v>2.71</v>
      </c>
      <c r="Y109" s="42">
        <v>20265445</v>
      </c>
      <c r="Z109" s="42">
        <v>7484152</v>
      </c>
      <c r="AA109" s="44">
        <v>2.86</v>
      </c>
      <c r="AB109" s="42">
        <v>21314943</v>
      </c>
      <c r="AC109" s="42">
        <v>7461252</v>
      </c>
      <c r="AD109" s="45">
        <v>2.15</v>
      </c>
      <c r="AE109" s="42">
        <v>27563023</v>
      </c>
      <c r="AF109" s="42">
        <v>12817185</v>
      </c>
      <c r="AG109" s="22"/>
    </row>
    <row r="110" spans="1:33" ht="10.5" customHeight="1" x14ac:dyDescent="0.15">
      <c r="A110" s="52" t="s">
        <v>42</v>
      </c>
      <c r="B110" s="46">
        <v>4</v>
      </c>
      <c r="C110" s="47">
        <v>297848</v>
      </c>
      <c r="D110" s="47">
        <v>1065605</v>
      </c>
      <c r="E110" s="47">
        <v>1065605</v>
      </c>
      <c r="F110" s="47">
        <v>1065605</v>
      </c>
      <c r="G110" s="47">
        <v>3723102</v>
      </c>
      <c r="H110" s="48">
        <v>0.28599999999999998</v>
      </c>
      <c r="I110" s="48">
        <v>0.28599999999999998</v>
      </c>
      <c r="J110" s="48">
        <v>0.28599999999999998</v>
      </c>
      <c r="K110" s="64">
        <v>0</v>
      </c>
      <c r="L110" s="48">
        <f>Tabelle1[[#This Row],[Spalte12]]-Tabelle1[[#This Row],[Spalte11]]</f>
        <v>7.3999999999999996E-2</v>
      </c>
      <c r="M110" s="48">
        <v>7.3999999999999996E-2</v>
      </c>
      <c r="N110" s="48">
        <v>0.09</v>
      </c>
      <c r="O110" s="48">
        <v>0.112</v>
      </c>
      <c r="P110" s="48">
        <v>0.105</v>
      </c>
      <c r="Q110" s="47">
        <v>10195275</v>
      </c>
      <c r="R110" s="49">
        <v>3.23</v>
      </c>
      <c r="S110" s="47">
        <v>1489384</v>
      </c>
      <c r="T110" s="47">
        <v>461201</v>
      </c>
      <c r="U110" s="49">
        <v>3.16</v>
      </c>
      <c r="V110" s="47">
        <v>1386435</v>
      </c>
      <c r="W110" s="47">
        <v>439238</v>
      </c>
      <c r="X110" s="49">
        <v>3.59</v>
      </c>
      <c r="Y110" s="47">
        <v>1280396</v>
      </c>
      <c r="Z110" s="47">
        <v>356267</v>
      </c>
      <c r="AA110" s="49">
        <v>3.53</v>
      </c>
      <c r="AB110" s="47">
        <v>1230901</v>
      </c>
      <c r="AC110" s="47">
        <v>348391</v>
      </c>
      <c r="AD110" s="50">
        <v>1.3</v>
      </c>
      <c r="AE110" s="47">
        <v>4771308</v>
      </c>
      <c r="AF110" s="47">
        <v>3660651</v>
      </c>
      <c r="AG110" s="22"/>
    </row>
    <row r="111" spans="1:33" ht="10.5" customHeight="1" x14ac:dyDescent="0.15">
      <c r="A111" s="51" t="s">
        <v>117</v>
      </c>
      <c r="B111" s="41">
        <v>3</v>
      </c>
      <c r="C111" s="42">
        <v>1624992</v>
      </c>
      <c r="D111" s="42">
        <v>4877855</v>
      </c>
      <c r="E111" s="42">
        <v>2961828</v>
      </c>
      <c r="F111" s="42">
        <v>4792407</v>
      </c>
      <c r="G111" s="42">
        <v>20312400</v>
      </c>
      <c r="H111" s="43">
        <v>0.14599999999999999</v>
      </c>
      <c r="I111" s="43">
        <v>0.23599999999999999</v>
      </c>
      <c r="J111" s="43">
        <v>0.24</v>
      </c>
      <c r="K111" s="63">
        <v>2E-3</v>
      </c>
      <c r="L111" s="43">
        <f>Tabelle1[[#This Row],[Spalte12]]-Tabelle1[[#This Row],[Spalte11]]</f>
        <v>7.8E-2</v>
      </c>
      <c r="M111" s="43">
        <v>0.08</v>
      </c>
      <c r="N111" s="43">
        <v>9.8000000000000004E-2</v>
      </c>
      <c r="O111" s="43">
        <v>0.122</v>
      </c>
      <c r="P111" s="43">
        <v>4.9000000000000002E-2</v>
      </c>
      <c r="Q111" s="42">
        <v>97662183</v>
      </c>
      <c r="R111" s="44">
        <v>2.61</v>
      </c>
      <c r="S111" s="42">
        <v>24468966</v>
      </c>
      <c r="T111" s="42">
        <v>9362609</v>
      </c>
      <c r="U111" s="44">
        <v>3.24</v>
      </c>
      <c r="V111" s="42">
        <v>26162877</v>
      </c>
      <c r="W111" s="42">
        <v>8086134</v>
      </c>
      <c r="X111" s="44">
        <v>3.25</v>
      </c>
      <c r="Y111" s="42">
        <v>24637442</v>
      </c>
      <c r="Z111" s="42">
        <v>7575980</v>
      </c>
      <c r="AA111" s="44">
        <v>3.19</v>
      </c>
      <c r="AB111" s="42">
        <v>21737488</v>
      </c>
      <c r="AC111" s="42">
        <v>6820674</v>
      </c>
      <c r="AD111" s="45">
        <v>1.38</v>
      </c>
      <c r="AE111" s="42">
        <v>57209174</v>
      </c>
      <c r="AF111" s="42">
        <v>41394212</v>
      </c>
      <c r="AG111" s="22"/>
    </row>
    <row r="112" spans="1:33" ht="10.5" customHeight="1" x14ac:dyDescent="0.15">
      <c r="A112" s="52" t="s">
        <v>183</v>
      </c>
      <c r="B112" s="46">
        <v>5</v>
      </c>
      <c r="C112" s="47">
        <v>3523</v>
      </c>
      <c r="D112" s="47">
        <v>11637</v>
      </c>
      <c r="E112" s="47">
        <v>11637</v>
      </c>
      <c r="F112" s="47">
        <v>11637</v>
      </c>
      <c r="G112" s="47">
        <v>44040</v>
      </c>
      <c r="H112" s="48">
        <v>0.26400000000000001</v>
      </c>
      <c r="I112" s="48">
        <v>0.26400000000000001</v>
      </c>
      <c r="J112" s="48">
        <v>0.26400000000000001</v>
      </c>
      <c r="K112" s="64">
        <v>4.0000000000000001E-3</v>
      </c>
      <c r="L112" s="48">
        <f>Tabelle1[[#This Row],[Spalte12]]-Tabelle1[[#This Row],[Spalte11]]</f>
        <v>6.9999999999999993E-2</v>
      </c>
      <c r="M112" s="48">
        <v>7.3999999999999996E-2</v>
      </c>
      <c r="N112" s="48">
        <v>8.8999999999999996E-2</v>
      </c>
      <c r="O112" s="48">
        <v>0.109</v>
      </c>
      <c r="P112" s="48">
        <v>8.1000000000000003E-2</v>
      </c>
      <c r="Q112" s="47">
        <v>144467</v>
      </c>
      <c r="R112" s="49" t="s">
        <v>231</v>
      </c>
      <c r="S112" s="47">
        <v>56798</v>
      </c>
      <c r="T112" s="47">
        <v>64785</v>
      </c>
      <c r="U112" s="49" t="s">
        <v>232</v>
      </c>
      <c r="V112" s="47">
        <v>49249</v>
      </c>
      <c r="W112" s="47">
        <v>52715</v>
      </c>
      <c r="X112" s="49" t="s">
        <v>233</v>
      </c>
      <c r="Y112" s="47">
        <v>48673</v>
      </c>
      <c r="Z112" s="47">
        <v>59360</v>
      </c>
      <c r="AA112" s="49" t="s">
        <v>234</v>
      </c>
      <c r="AB112" s="47">
        <v>33047</v>
      </c>
      <c r="AC112" s="47">
        <v>35119</v>
      </c>
      <c r="AD112" s="50">
        <v>1.41</v>
      </c>
      <c r="AE112" s="47">
        <v>85008</v>
      </c>
      <c r="AF112" s="47">
        <v>60228</v>
      </c>
      <c r="AG112" s="22"/>
    </row>
    <row r="113" spans="1:33" ht="10.5" customHeight="1" x14ac:dyDescent="0.15">
      <c r="A113" s="51" t="s">
        <v>102</v>
      </c>
      <c r="B113" s="41">
        <v>3</v>
      </c>
      <c r="C113" s="42">
        <v>200440</v>
      </c>
      <c r="D113" s="42">
        <v>696304</v>
      </c>
      <c r="E113" s="42">
        <v>696304</v>
      </c>
      <c r="F113" s="42">
        <v>696304</v>
      </c>
      <c r="G113" s="42">
        <v>2505506</v>
      </c>
      <c r="H113" s="43">
        <v>0.27800000000000002</v>
      </c>
      <c r="I113" s="43">
        <v>0.27800000000000002</v>
      </c>
      <c r="J113" s="43">
        <v>0.27800000000000002</v>
      </c>
      <c r="K113" s="63">
        <v>5.0000000000000001E-3</v>
      </c>
      <c r="L113" s="43">
        <f>Tabelle1[[#This Row],[Spalte12]]-Tabelle1[[#This Row],[Spalte11]]</f>
        <v>7.8E-2</v>
      </c>
      <c r="M113" s="43">
        <v>8.3000000000000004E-2</v>
      </c>
      <c r="N113" s="43">
        <v>0.10100000000000001</v>
      </c>
      <c r="O113" s="43">
        <v>0.125</v>
      </c>
      <c r="P113" s="43">
        <v>9.9000000000000005E-2</v>
      </c>
      <c r="Q113" s="42">
        <v>7055717</v>
      </c>
      <c r="R113" s="44">
        <v>3.15</v>
      </c>
      <c r="S113" s="42">
        <v>1194534</v>
      </c>
      <c r="T113" s="42">
        <v>379376</v>
      </c>
      <c r="U113" s="44">
        <v>3.61</v>
      </c>
      <c r="V113" s="42">
        <v>1191555</v>
      </c>
      <c r="W113" s="42">
        <v>330076</v>
      </c>
      <c r="X113" s="44">
        <v>3.78</v>
      </c>
      <c r="Y113" s="42">
        <v>1195604</v>
      </c>
      <c r="Z113" s="42">
        <v>316444</v>
      </c>
      <c r="AA113" s="44">
        <v>3.26</v>
      </c>
      <c r="AB113" s="42">
        <v>1022264</v>
      </c>
      <c r="AC113" s="42">
        <v>313702</v>
      </c>
      <c r="AD113" s="45">
        <v>1.79</v>
      </c>
      <c r="AE113" s="42">
        <v>4510635</v>
      </c>
      <c r="AF113" s="42">
        <v>2514072</v>
      </c>
      <c r="AG113" s="22"/>
    </row>
    <row r="114" spans="1:33" ht="10.5" customHeight="1" x14ac:dyDescent="0.15">
      <c r="A114" s="52" t="s">
        <v>36</v>
      </c>
      <c r="B114" s="46">
        <v>4</v>
      </c>
      <c r="C114" s="47">
        <v>51716</v>
      </c>
      <c r="D114" s="47">
        <v>165747</v>
      </c>
      <c r="E114" s="47">
        <v>165747</v>
      </c>
      <c r="F114" s="47">
        <v>165747</v>
      </c>
      <c r="G114" s="47">
        <v>646445</v>
      </c>
      <c r="H114" s="48">
        <v>0.25600000000000001</v>
      </c>
      <c r="I114" s="48">
        <v>0.25600000000000001</v>
      </c>
      <c r="J114" s="48">
        <v>0.25600000000000001</v>
      </c>
      <c r="K114" s="64">
        <v>0.01</v>
      </c>
      <c r="L114" s="48">
        <f>Tabelle1[[#This Row],[Spalte12]]-Tabelle1[[#This Row],[Spalte11]]</f>
        <v>7.400000000000001E-2</v>
      </c>
      <c r="M114" s="48">
        <v>8.4000000000000005E-2</v>
      </c>
      <c r="N114" s="48">
        <v>0.1</v>
      </c>
      <c r="O114" s="48">
        <v>0.122</v>
      </c>
      <c r="P114" s="48">
        <v>0.11700000000000001</v>
      </c>
      <c r="Q114" s="47">
        <v>1421199</v>
      </c>
      <c r="R114" s="49">
        <v>1.28</v>
      </c>
      <c r="S114" s="47">
        <v>164645</v>
      </c>
      <c r="T114" s="47">
        <v>128199</v>
      </c>
      <c r="U114" s="49">
        <v>1.99</v>
      </c>
      <c r="V114" s="47">
        <v>262428</v>
      </c>
      <c r="W114" s="47">
        <v>131862</v>
      </c>
      <c r="X114" s="49">
        <v>1.81</v>
      </c>
      <c r="Y114" s="47">
        <v>257376</v>
      </c>
      <c r="Z114" s="47">
        <v>142515</v>
      </c>
      <c r="AA114" s="49">
        <v>1.82</v>
      </c>
      <c r="AB114" s="47">
        <v>258989</v>
      </c>
      <c r="AC114" s="47">
        <v>142407</v>
      </c>
      <c r="AD114" s="50">
        <v>1.45</v>
      </c>
      <c r="AE114" s="47">
        <v>1053935</v>
      </c>
      <c r="AF114" s="47">
        <v>727211</v>
      </c>
      <c r="AG114" s="22"/>
    </row>
    <row r="115" spans="1:33" ht="10.5" customHeight="1" x14ac:dyDescent="0.15">
      <c r="A115" s="51" t="s">
        <v>225</v>
      </c>
      <c r="B115" s="41">
        <v>4</v>
      </c>
      <c r="C115" s="42">
        <v>300116</v>
      </c>
      <c r="D115" s="42">
        <v>605286</v>
      </c>
      <c r="E115" s="42">
        <v>605286</v>
      </c>
      <c r="F115" s="42">
        <v>605286</v>
      </c>
      <c r="G115" s="42">
        <v>3751454</v>
      </c>
      <c r="H115" s="43">
        <v>0.161</v>
      </c>
      <c r="I115" s="43">
        <v>0.161</v>
      </c>
      <c r="J115" s="43">
        <v>0.161</v>
      </c>
      <c r="K115" s="63">
        <v>1.2999999999999999E-2</v>
      </c>
      <c r="L115" s="43">
        <f>Tabelle1[[#This Row],[Spalte12]]-Tabelle1[[#This Row],[Spalte11]]</f>
        <v>7.3999999999999996E-2</v>
      </c>
      <c r="M115" s="43">
        <v>8.6999999999999994E-2</v>
      </c>
      <c r="N115" s="43">
        <v>0.10299999999999999</v>
      </c>
      <c r="O115" s="43">
        <v>0.125</v>
      </c>
      <c r="P115" s="43">
        <v>7.0000000000000007E-2</v>
      </c>
      <c r="Q115" s="42">
        <v>8673845</v>
      </c>
      <c r="R115" s="44">
        <v>1.35</v>
      </c>
      <c r="S115" s="42">
        <v>1358833</v>
      </c>
      <c r="T115" s="42">
        <v>1005048</v>
      </c>
      <c r="U115" s="44">
        <v>1.35</v>
      </c>
      <c r="V115" s="42">
        <v>1143288</v>
      </c>
      <c r="W115" s="42">
        <v>848619</v>
      </c>
      <c r="X115" s="44">
        <v>1.34</v>
      </c>
      <c r="Y115" s="42">
        <v>1000880</v>
      </c>
      <c r="Z115" s="42">
        <v>746722</v>
      </c>
      <c r="AA115" s="44">
        <v>1.4</v>
      </c>
      <c r="AB115" s="42">
        <v>1141991</v>
      </c>
      <c r="AC115" s="42">
        <v>814890</v>
      </c>
      <c r="AD115" s="45">
        <v>1.18</v>
      </c>
      <c r="AE115" s="42">
        <v>6342489</v>
      </c>
      <c r="AF115" s="42">
        <v>5377316</v>
      </c>
      <c r="AG115" s="22"/>
    </row>
    <row r="116" spans="1:33" ht="10.5" customHeight="1" x14ac:dyDescent="0.15">
      <c r="A116" s="52" t="s">
        <v>14</v>
      </c>
      <c r="B116" s="46">
        <v>3</v>
      </c>
      <c r="C116" s="47">
        <v>2226684</v>
      </c>
      <c r="D116" s="47">
        <v>5007304</v>
      </c>
      <c r="E116" s="47">
        <v>3717248</v>
      </c>
      <c r="F116" s="47">
        <v>4527248</v>
      </c>
      <c r="G116" s="47">
        <v>27833554</v>
      </c>
      <c r="H116" s="48">
        <v>0.13400000000000001</v>
      </c>
      <c r="I116" s="48">
        <v>0.16300000000000001</v>
      </c>
      <c r="J116" s="48">
        <v>0.18</v>
      </c>
      <c r="K116" s="64">
        <v>0.01</v>
      </c>
      <c r="L116" s="48">
        <f>Tabelle1[[#This Row],[Spalte12]]-Tabelle1[[#This Row],[Spalte11]]</f>
        <v>7.8E-2</v>
      </c>
      <c r="M116" s="48">
        <v>8.7999999999999995E-2</v>
      </c>
      <c r="N116" s="48">
        <v>0.106</v>
      </c>
      <c r="O116" s="48">
        <v>0.13</v>
      </c>
      <c r="P116" s="48">
        <v>7.5999999999999998E-2</v>
      </c>
      <c r="Q116" s="47">
        <v>59560871</v>
      </c>
      <c r="R116" s="49">
        <v>1.49</v>
      </c>
      <c r="S116" s="47">
        <v>9988622</v>
      </c>
      <c r="T116" s="47">
        <v>6703347</v>
      </c>
      <c r="U116" s="49">
        <v>1.62</v>
      </c>
      <c r="V116" s="47">
        <v>10172041</v>
      </c>
      <c r="W116" s="47">
        <v>6284860</v>
      </c>
      <c r="X116" s="49">
        <v>1.56</v>
      </c>
      <c r="Y116" s="47">
        <v>8477577</v>
      </c>
      <c r="Z116" s="47">
        <v>5447453</v>
      </c>
      <c r="AA116" s="49">
        <v>1.6</v>
      </c>
      <c r="AB116" s="47">
        <v>7705789</v>
      </c>
      <c r="AC116" s="47">
        <v>4805046</v>
      </c>
      <c r="AD116" s="50">
        <v>1.32</v>
      </c>
      <c r="AE116" s="47">
        <v>40717483</v>
      </c>
      <c r="AF116" s="47">
        <v>30905943</v>
      </c>
      <c r="AG116" s="22"/>
    </row>
    <row r="117" spans="1:33" ht="10.5" customHeight="1" x14ac:dyDescent="0.15">
      <c r="A117" s="51" t="s">
        <v>202</v>
      </c>
      <c r="B117" s="41">
        <v>5</v>
      </c>
      <c r="C117" s="42">
        <v>21799</v>
      </c>
      <c r="D117" s="42">
        <v>93472</v>
      </c>
      <c r="E117" s="42">
        <v>67295</v>
      </c>
      <c r="F117" s="42">
        <v>83995</v>
      </c>
      <c r="G117" s="42">
        <v>272491</v>
      </c>
      <c r="H117" s="43">
        <v>0.247</v>
      </c>
      <c r="I117" s="43">
        <v>0.308</v>
      </c>
      <c r="J117" s="43">
        <v>0.34300000000000003</v>
      </c>
      <c r="K117" s="63">
        <v>5.0000000000000001E-3</v>
      </c>
      <c r="L117" s="43">
        <f>Tabelle1[[#This Row],[Spalte12]]-Tabelle1[[#This Row],[Spalte11]]</f>
        <v>6.9999999999999993E-2</v>
      </c>
      <c r="M117" s="43">
        <v>7.4999999999999997E-2</v>
      </c>
      <c r="N117" s="43">
        <v>0.09</v>
      </c>
      <c r="O117" s="43">
        <v>0.11</v>
      </c>
      <c r="P117" s="43">
        <v>0.109</v>
      </c>
      <c r="Q117" s="42">
        <v>770554</v>
      </c>
      <c r="R117" s="44">
        <v>2.75</v>
      </c>
      <c r="S117" s="42">
        <v>415096</v>
      </c>
      <c r="T117" s="42">
        <v>150787</v>
      </c>
      <c r="U117" s="44">
        <v>2.35</v>
      </c>
      <c r="V117" s="42">
        <v>415821</v>
      </c>
      <c r="W117" s="42">
        <v>176694</v>
      </c>
      <c r="X117" s="44">
        <v>2.2000000000000002</v>
      </c>
      <c r="Y117" s="42">
        <v>359924</v>
      </c>
      <c r="Z117" s="42">
        <v>163837</v>
      </c>
      <c r="AA117" s="44">
        <v>1.98</v>
      </c>
      <c r="AB117" s="42">
        <v>316891</v>
      </c>
      <c r="AC117" s="42">
        <v>160255</v>
      </c>
      <c r="AD117" s="45">
        <v>2.0099999999999998</v>
      </c>
      <c r="AE117" s="42">
        <v>547476</v>
      </c>
      <c r="AF117" s="42">
        <v>272469</v>
      </c>
      <c r="AG117" s="22"/>
    </row>
    <row r="118" spans="1:33" ht="10.5" customHeight="1" x14ac:dyDescent="0.15">
      <c r="A118" s="52" t="s">
        <v>226</v>
      </c>
      <c r="B118" s="46">
        <v>5</v>
      </c>
      <c r="C118" s="47">
        <v>6962</v>
      </c>
      <c r="D118" s="47">
        <v>45797</v>
      </c>
      <c r="E118" s="47">
        <v>45056</v>
      </c>
      <c r="F118" s="47">
        <v>45056</v>
      </c>
      <c r="G118" s="47">
        <v>87030</v>
      </c>
      <c r="H118" s="48">
        <v>0.51800000000000002</v>
      </c>
      <c r="I118" s="48">
        <v>0.51800000000000002</v>
      </c>
      <c r="J118" s="48">
        <v>0.52600000000000002</v>
      </c>
      <c r="K118" s="64">
        <v>0</v>
      </c>
      <c r="L118" s="48">
        <f>Tabelle1[[#This Row],[Spalte12]]-Tabelle1[[#This Row],[Spalte11]]</f>
        <v>7.0000000000000007E-2</v>
      </c>
      <c r="M118" s="48">
        <v>7.0000000000000007E-2</v>
      </c>
      <c r="N118" s="48">
        <v>8.5000000000000006E-2</v>
      </c>
      <c r="O118" s="48">
        <v>0.105</v>
      </c>
      <c r="P118" s="48">
        <v>0.06</v>
      </c>
      <c r="Q118" s="47">
        <v>752496</v>
      </c>
      <c r="R118" s="49">
        <v>5.57</v>
      </c>
      <c r="S118" s="47">
        <v>280648</v>
      </c>
      <c r="T118" s="47">
        <v>50372</v>
      </c>
      <c r="U118" s="49">
        <v>5.17</v>
      </c>
      <c r="V118" s="47">
        <v>354808</v>
      </c>
      <c r="W118" s="47">
        <v>68617</v>
      </c>
      <c r="X118" s="49">
        <v>4.29</v>
      </c>
      <c r="Y118" s="47">
        <v>456350</v>
      </c>
      <c r="Z118" s="47">
        <v>106430</v>
      </c>
      <c r="AA118" s="49">
        <v>7.51</v>
      </c>
      <c r="AB118" s="47">
        <v>472189</v>
      </c>
      <c r="AC118" s="47">
        <v>62895</v>
      </c>
      <c r="AD118" s="50">
        <v>4.37</v>
      </c>
      <c r="AE118" s="47">
        <v>499242</v>
      </c>
      <c r="AF118" s="47">
        <v>114347</v>
      </c>
      <c r="AG118" s="22"/>
    </row>
    <row r="119" spans="1:33" ht="10.5" customHeight="1" x14ac:dyDescent="0.15">
      <c r="A119" s="51" t="s">
        <v>58</v>
      </c>
      <c r="B119" s="41">
        <v>5</v>
      </c>
      <c r="C119" s="42">
        <v>5728</v>
      </c>
      <c r="D119" s="42">
        <v>33629</v>
      </c>
      <c r="E119" s="42">
        <v>33629</v>
      </c>
      <c r="F119" s="42">
        <v>33629</v>
      </c>
      <c r="G119" s="42">
        <v>71599</v>
      </c>
      <c r="H119" s="43">
        <v>0.47</v>
      </c>
      <c r="I119" s="43">
        <v>0.47</v>
      </c>
      <c r="J119" s="43">
        <v>0.47</v>
      </c>
      <c r="K119" s="63">
        <v>0</v>
      </c>
      <c r="L119" s="43">
        <f>Tabelle1[[#This Row],[Spalte12]]-Tabelle1[[#This Row],[Spalte11]]</f>
        <v>7.0000000000000007E-2</v>
      </c>
      <c r="M119" s="43">
        <v>7.0000000000000007E-2</v>
      </c>
      <c r="N119" s="43">
        <v>8.5000000000000006E-2</v>
      </c>
      <c r="O119" s="43">
        <v>0.105</v>
      </c>
      <c r="P119" s="43">
        <v>0.20799999999999999</v>
      </c>
      <c r="Q119" s="42">
        <v>161860</v>
      </c>
      <c r="R119" s="44">
        <v>1.33</v>
      </c>
      <c r="S119" s="42">
        <v>28089</v>
      </c>
      <c r="T119" s="42">
        <v>21090</v>
      </c>
      <c r="U119" s="44">
        <v>1.54</v>
      </c>
      <c r="V119" s="42">
        <v>28174</v>
      </c>
      <c r="W119" s="42">
        <v>18285</v>
      </c>
      <c r="X119" s="44">
        <v>1.31</v>
      </c>
      <c r="Y119" s="42">
        <v>27436</v>
      </c>
      <c r="Z119" s="42">
        <v>20983</v>
      </c>
      <c r="AA119" s="44">
        <v>1.55</v>
      </c>
      <c r="AB119" s="42">
        <v>27465</v>
      </c>
      <c r="AC119" s="42">
        <v>17773</v>
      </c>
      <c r="AD119" s="45">
        <v>1.59</v>
      </c>
      <c r="AE119" s="42">
        <v>122011</v>
      </c>
      <c r="AF119" s="42">
        <v>76718</v>
      </c>
      <c r="AG119" s="22"/>
    </row>
    <row r="120" spans="1:33" ht="10.5" customHeight="1" x14ac:dyDescent="0.15">
      <c r="A120" s="52" t="s">
        <v>60</v>
      </c>
      <c r="B120" s="46">
        <v>3</v>
      </c>
      <c r="C120" s="47">
        <v>1916849</v>
      </c>
      <c r="D120" s="47">
        <v>4887026</v>
      </c>
      <c r="E120" s="47">
        <v>4887026</v>
      </c>
      <c r="F120" s="47">
        <v>4887026</v>
      </c>
      <c r="G120" s="47">
        <v>23960609</v>
      </c>
      <c r="H120" s="48">
        <v>0.20399999999999999</v>
      </c>
      <c r="I120" s="48">
        <v>0.20399999999999999</v>
      </c>
      <c r="J120" s="48">
        <v>0.20399999999999999</v>
      </c>
      <c r="K120" s="64">
        <v>1.7000000000000001E-2</v>
      </c>
      <c r="L120" s="48">
        <f>Tabelle1[[#This Row],[Spalte12]]-Tabelle1[[#This Row],[Spalte11]]</f>
        <v>7.8E-2</v>
      </c>
      <c r="M120" s="48">
        <v>9.5000000000000001E-2</v>
      </c>
      <c r="N120" s="48">
        <v>0.113</v>
      </c>
      <c r="O120" s="48">
        <v>0.13700000000000001</v>
      </c>
      <c r="P120" s="48">
        <v>8.1000000000000003E-2</v>
      </c>
      <c r="Q120" s="47">
        <v>59966319</v>
      </c>
      <c r="R120" s="49">
        <v>1.4</v>
      </c>
      <c r="S120" s="47">
        <v>8033455</v>
      </c>
      <c r="T120" s="47">
        <v>5746524</v>
      </c>
      <c r="U120" s="49">
        <v>1.49</v>
      </c>
      <c r="V120" s="47">
        <v>7715744</v>
      </c>
      <c r="W120" s="47">
        <v>5189308</v>
      </c>
      <c r="X120" s="49">
        <v>1.43</v>
      </c>
      <c r="Y120" s="47">
        <v>7541236</v>
      </c>
      <c r="Z120" s="47">
        <v>5267716</v>
      </c>
      <c r="AA120" s="49">
        <v>1.4</v>
      </c>
      <c r="AB120" s="47">
        <v>7270871</v>
      </c>
      <c r="AC120" s="47">
        <v>5209013</v>
      </c>
      <c r="AD120" s="50">
        <v>1.47</v>
      </c>
      <c r="AE120" s="47">
        <v>50102212</v>
      </c>
      <c r="AF120" s="47">
        <v>34054339</v>
      </c>
      <c r="AG120" s="22"/>
    </row>
    <row r="121" spans="1:33" ht="10.5" customHeight="1" x14ac:dyDescent="0.15">
      <c r="A121" s="51" t="s">
        <v>172</v>
      </c>
      <c r="B121" s="41">
        <v>5</v>
      </c>
      <c r="C121" s="42">
        <v>19663</v>
      </c>
      <c r="D121" s="42">
        <v>158361</v>
      </c>
      <c r="E121" s="42">
        <v>113361</v>
      </c>
      <c r="F121" s="42">
        <v>158361</v>
      </c>
      <c r="G121" s="42">
        <v>245787</v>
      </c>
      <c r="H121" s="43">
        <v>0.46100000000000002</v>
      </c>
      <c r="I121" s="43">
        <v>0.64400000000000002</v>
      </c>
      <c r="J121" s="43">
        <v>0.64400000000000002</v>
      </c>
      <c r="K121" s="63">
        <v>0</v>
      </c>
      <c r="L121" s="43">
        <f>Tabelle1[[#This Row],[Spalte12]]-Tabelle1[[#This Row],[Spalte11]]</f>
        <v>7.0000000000000007E-2</v>
      </c>
      <c r="M121" s="43">
        <v>7.0000000000000007E-2</v>
      </c>
      <c r="N121" s="43">
        <v>8.5000000000000006E-2</v>
      </c>
      <c r="O121" s="43">
        <v>0.105</v>
      </c>
      <c r="P121" s="43">
        <v>0.22</v>
      </c>
      <c r="Q121" s="42">
        <v>721140</v>
      </c>
      <c r="R121" s="44">
        <v>2.21</v>
      </c>
      <c r="S121" s="42">
        <v>101803</v>
      </c>
      <c r="T121" s="42">
        <v>46127</v>
      </c>
      <c r="U121" s="44">
        <v>2.57</v>
      </c>
      <c r="V121" s="42">
        <v>121713</v>
      </c>
      <c r="W121" s="42">
        <v>47295</v>
      </c>
      <c r="X121" s="44">
        <v>2.11</v>
      </c>
      <c r="Y121" s="42">
        <v>112860</v>
      </c>
      <c r="Z121" s="42">
        <v>53406</v>
      </c>
      <c r="AA121" s="44">
        <v>2.14</v>
      </c>
      <c r="AB121" s="42">
        <v>119747</v>
      </c>
      <c r="AC121" s="42">
        <v>56074</v>
      </c>
      <c r="AD121" s="45">
        <v>1.25</v>
      </c>
      <c r="AE121" s="42">
        <v>303746</v>
      </c>
      <c r="AF121" s="42">
        <v>243768</v>
      </c>
      <c r="AG121" s="22"/>
    </row>
    <row r="122" spans="1:33" ht="10.5" customHeight="1" x14ac:dyDescent="0.15">
      <c r="A122" s="52" t="s">
        <v>184</v>
      </c>
      <c r="B122" s="46">
        <v>5</v>
      </c>
      <c r="C122" s="47">
        <v>15610</v>
      </c>
      <c r="D122" s="47">
        <v>73794</v>
      </c>
      <c r="E122" s="47">
        <v>73794</v>
      </c>
      <c r="F122" s="47">
        <v>73794</v>
      </c>
      <c r="G122" s="47">
        <v>195127</v>
      </c>
      <c r="H122" s="48">
        <v>0.378</v>
      </c>
      <c r="I122" s="48">
        <v>0.378</v>
      </c>
      <c r="J122" s="48">
        <v>0.378</v>
      </c>
      <c r="K122" s="64">
        <v>1E-3</v>
      </c>
      <c r="L122" s="48">
        <f>Tabelle1[[#This Row],[Spalte12]]-Tabelle1[[#This Row],[Spalte11]]</f>
        <v>6.9999999999999993E-2</v>
      </c>
      <c r="M122" s="48">
        <v>7.0999999999999994E-2</v>
      </c>
      <c r="N122" s="48">
        <v>8.5999999999999993E-2</v>
      </c>
      <c r="O122" s="48">
        <v>0.106</v>
      </c>
      <c r="P122" s="48">
        <v>0.25</v>
      </c>
      <c r="Q122" s="47">
        <v>295219</v>
      </c>
      <c r="R122" s="49">
        <v>1.71</v>
      </c>
      <c r="S122" s="47">
        <v>56443</v>
      </c>
      <c r="T122" s="47">
        <v>33003</v>
      </c>
      <c r="U122" s="49">
        <v>1.98</v>
      </c>
      <c r="V122" s="47">
        <v>56232</v>
      </c>
      <c r="W122" s="47">
        <v>28381</v>
      </c>
      <c r="X122" s="49">
        <v>1.48</v>
      </c>
      <c r="Y122" s="47">
        <v>37873</v>
      </c>
      <c r="Z122" s="47">
        <v>25514</v>
      </c>
      <c r="AA122" s="49">
        <v>1.65</v>
      </c>
      <c r="AB122" s="47">
        <v>35467</v>
      </c>
      <c r="AC122" s="47">
        <v>21485</v>
      </c>
      <c r="AD122" s="50">
        <v>1.62</v>
      </c>
      <c r="AE122" s="47">
        <v>194523</v>
      </c>
      <c r="AF122" s="47">
        <v>120189</v>
      </c>
      <c r="AG122" s="22"/>
    </row>
    <row r="123" spans="1:33" ht="10.5" customHeight="1" x14ac:dyDescent="0.15">
      <c r="A123" s="51" t="s">
        <v>203</v>
      </c>
      <c r="B123" s="41">
        <v>4</v>
      </c>
      <c r="C123" s="42">
        <v>219147</v>
      </c>
      <c r="D123" s="42">
        <v>524685</v>
      </c>
      <c r="E123" s="42">
        <v>524685</v>
      </c>
      <c r="F123" s="42">
        <v>524685</v>
      </c>
      <c r="G123" s="42">
        <v>2739340</v>
      </c>
      <c r="H123" s="43">
        <v>0.192</v>
      </c>
      <c r="I123" s="43">
        <v>0.192</v>
      </c>
      <c r="J123" s="43">
        <v>0.192</v>
      </c>
      <c r="K123" s="63">
        <v>1.4E-2</v>
      </c>
      <c r="L123" s="43">
        <f>Tabelle1[[#This Row],[Spalte12]]-Tabelle1[[#This Row],[Spalte11]]</f>
        <v>7.3999999999999996E-2</v>
      </c>
      <c r="M123" s="43">
        <v>8.7999999999999995E-2</v>
      </c>
      <c r="N123" s="43">
        <v>0.104</v>
      </c>
      <c r="O123" s="43">
        <v>0.126</v>
      </c>
      <c r="P123" s="43">
        <v>8.1000000000000003E-2</v>
      </c>
      <c r="Q123" s="42">
        <v>6489891</v>
      </c>
      <c r="R123" s="44">
        <v>1.8</v>
      </c>
      <c r="S123" s="42">
        <v>982521</v>
      </c>
      <c r="T123" s="42">
        <v>544659</v>
      </c>
      <c r="U123" s="44">
        <v>2.15</v>
      </c>
      <c r="V123" s="42">
        <v>1022826</v>
      </c>
      <c r="W123" s="42">
        <v>476634</v>
      </c>
      <c r="X123" s="44">
        <v>2.09</v>
      </c>
      <c r="Y123" s="42">
        <v>985307</v>
      </c>
      <c r="Z123" s="42">
        <v>472089</v>
      </c>
      <c r="AA123" s="44">
        <v>1.89</v>
      </c>
      <c r="AB123" s="42">
        <v>948144</v>
      </c>
      <c r="AC123" s="42">
        <v>501015</v>
      </c>
      <c r="AD123" s="45">
        <v>1.26</v>
      </c>
      <c r="AE123" s="42">
        <v>5302973</v>
      </c>
      <c r="AF123" s="42">
        <v>4217425</v>
      </c>
      <c r="AG123" s="22"/>
    </row>
    <row r="124" spans="1:33" ht="10.5" customHeight="1" x14ac:dyDescent="0.15">
      <c r="A124" s="52" t="s">
        <v>101</v>
      </c>
      <c r="B124" s="46">
        <v>5</v>
      </c>
      <c r="C124" s="47">
        <v>4220</v>
      </c>
      <c r="D124" s="47">
        <v>28152</v>
      </c>
      <c r="E124" s="47">
        <v>28152</v>
      </c>
      <c r="F124" s="47">
        <v>28152</v>
      </c>
      <c r="G124" s="47">
        <v>52752</v>
      </c>
      <c r="H124" s="48">
        <v>0.53400000000000003</v>
      </c>
      <c r="I124" s="48">
        <v>0.53400000000000003</v>
      </c>
      <c r="J124" s="48">
        <v>0.53400000000000003</v>
      </c>
      <c r="K124" s="64">
        <v>0</v>
      </c>
      <c r="L124" s="48">
        <f>Tabelle1[[#This Row],[Spalte12]]-Tabelle1[[#This Row],[Spalte11]]</f>
        <v>7.0000000000000007E-2</v>
      </c>
      <c r="M124" s="48">
        <v>7.0000000000000007E-2</v>
      </c>
      <c r="N124" s="48">
        <v>8.5000000000000006E-2</v>
      </c>
      <c r="O124" s="48">
        <v>0.105</v>
      </c>
      <c r="P124" s="48">
        <v>0.219</v>
      </c>
      <c r="Q124" s="47">
        <v>128698</v>
      </c>
      <c r="R124" s="49">
        <v>2.67</v>
      </c>
      <c r="S124" s="47">
        <v>86185</v>
      </c>
      <c r="T124" s="47">
        <v>32302</v>
      </c>
      <c r="U124" s="49">
        <v>2.8</v>
      </c>
      <c r="V124" s="47">
        <v>72483</v>
      </c>
      <c r="W124" s="47">
        <v>25872</v>
      </c>
      <c r="X124" s="49">
        <v>2.85</v>
      </c>
      <c r="Y124" s="47">
        <v>43539</v>
      </c>
      <c r="Z124" s="47">
        <v>15289</v>
      </c>
      <c r="AA124" s="49">
        <v>3.42</v>
      </c>
      <c r="AB124" s="47">
        <v>35287</v>
      </c>
      <c r="AC124" s="47">
        <v>10323</v>
      </c>
      <c r="AD124" s="50">
        <v>2.1</v>
      </c>
      <c r="AE124" s="47">
        <v>93012</v>
      </c>
      <c r="AF124" s="47">
        <v>44233</v>
      </c>
      <c r="AG124" s="22"/>
    </row>
    <row r="125" spans="1:33" ht="10.5" customHeight="1" x14ac:dyDescent="0.15">
      <c r="A125" s="51" t="s">
        <v>185</v>
      </c>
      <c r="B125" s="41">
        <v>4</v>
      </c>
      <c r="C125" s="42">
        <v>243504</v>
      </c>
      <c r="D125" s="42">
        <v>545392</v>
      </c>
      <c r="E125" s="42">
        <v>533405</v>
      </c>
      <c r="F125" s="42">
        <v>533405</v>
      </c>
      <c r="G125" s="42">
        <v>3043800</v>
      </c>
      <c r="H125" s="43">
        <v>0.17499999999999999</v>
      </c>
      <c r="I125" s="43">
        <v>0.17499999999999999</v>
      </c>
      <c r="J125" s="43">
        <v>0.17899999999999999</v>
      </c>
      <c r="K125" s="63">
        <v>8.9999999999999993E-3</v>
      </c>
      <c r="L125" s="43">
        <f>Tabelle1[[#This Row],[Spalte12]]-Tabelle1[[#This Row],[Spalte11]]</f>
        <v>7.400000000000001E-2</v>
      </c>
      <c r="M125" s="43">
        <v>8.3000000000000004E-2</v>
      </c>
      <c r="N125" s="43">
        <v>9.9000000000000005E-2</v>
      </c>
      <c r="O125" s="43">
        <v>0.121</v>
      </c>
      <c r="P125" s="43">
        <v>8.6999999999999994E-2</v>
      </c>
      <c r="Q125" s="42">
        <v>6158098</v>
      </c>
      <c r="R125" s="44">
        <v>1.55</v>
      </c>
      <c r="S125" s="42">
        <v>985331</v>
      </c>
      <c r="T125" s="42">
        <v>635665</v>
      </c>
      <c r="U125" s="44">
        <v>1.89</v>
      </c>
      <c r="V125" s="42">
        <v>1054617</v>
      </c>
      <c r="W125" s="42">
        <v>556552</v>
      </c>
      <c r="X125" s="44">
        <v>2.42</v>
      </c>
      <c r="Y125" s="42">
        <v>1302198</v>
      </c>
      <c r="Z125" s="42">
        <v>537418</v>
      </c>
      <c r="AA125" s="44">
        <v>1.95</v>
      </c>
      <c r="AB125" s="42">
        <v>1131559</v>
      </c>
      <c r="AC125" s="42">
        <v>579387</v>
      </c>
      <c r="AD125" s="45">
        <v>1.35</v>
      </c>
      <c r="AE125" s="42">
        <v>4932436</v>
      </c>
      <c r="AF125" s="42">
        <v>3659626</v>
      </c>
      <c r="AG125" s="22"/>
    </row>
    <row r="126" spans="1:33" ht="10.5" customHeight="1" x14ac:dyDescent="0.15">
      <c r="A126" s="52" t="s">
        <v>45</v>
      </c>
      <c r="B126" s="46">
        <v>5</v>
      </c>
      <c r="C126" s="47">
        <v>15373</v>
      </c>
      <c r="D126" s="47">
        <v>62112</v>
      </c>
      <c r="E126" s="47">
        <v>62112</v>
      </c>
      <c r="F126" s="47">
        <v>62112</v>
      </c>
      <c r="G126" s="47">
        <v>192167</v>
      </c>
      <c r="H126" s="48">
        <v>0.32300000000000001</v>
      </c>
      <c r="I126" s="48">
        <v>0.32300000000000001</v>
      </c>
      <c r="J126" s="48">
        <v>0.32300000000000001</v>
      </c>
      <c r="K126" s="64">
        <v>0</v>
      </c>
      <c r="L126" s="48">
        <f>Tabelle1[[#This Row],[Spalte12]]-Tabelle1[[#This Row],[Spalte11]]</f>
        <v>7.0000000000000007E-2</v>
      </c>
      <c r="M126" s="48">
        <v>7.0000000000000007E-2</v>
      </c>
      <c r="N126" s="48">
        <v>8.5000000000000006E-2</v>
      </c>
      <c r="O126" s="48">
        <v>0.105</v>
      </c>
      <c r="P126" s="48">
        <v>0.11799999999999999</v>
      </c>
      <c r="Q126" s="47">
        <v>525169</v>
      </c>
      <c r="R126" s="49">
        <v>2.02</v>
      </c>
      <c r="S126" s="47">
        <v>104925</v>
      </c>
      <c r="T126" s="47">
        <v>52017</v>
      </c>
      <c r="U126" s="49">
        <v>2.33</v>
      </c>
      <c r="V126" s="47">
        <v>119342</v>
      </c>
      <c r="W126" s="47">
        <v>51162</v>
      </c>
      <c r="X126" s="49">
        <v>3.05</v>
      </c>
      <c r="Y126" s="47">
        <v>122695</v>
      </c>
      <c r="Z126" s="47">
        <v>40188</v>
      </c>
      <c r="AA126" s="49">
        <v>2.81</v>
      </c>
      <c r="AB126" s="47">
        <v>102386</v>
      </c>
      <c r="AC126" s="47">
        <v>36403</v>
      </c>
      <c r="AD126" s="50">
        <v>2.44</v>
      </c>
      <c r="AE126" s="47">
        <v>336263</v>
      </c>
      <c r="AF126" s="47">
        <v>137743</v>
      </c>
      <c r="AG126" s="22"/>
    </row>
    <row r="127" spans="1:33" ht="10.5" customHeight="1" x14ac:dyDescent="0.15">
      <c r="A127" s="51" t="s">
        <v>186</v>
      </c>
      <c r="B127" s="41">
        <v>5</v>
      </c>
      <c r="C127" s="42">
        <v>13723</v>
      </c>
      <c r="D127" s="42">
        <v>43267</v>
      </c>
      <c r="E127" s="42">
        <v>41712</v>
      </c>
      <c r="F127" s="42">
        <v>41712</v>
      </c>
      <c r="G127" s="42">
        <v>171537</v>
      </c>
      <c r="H127" s="43">
        <v>0.24299999999999999</v>
      </c>
      <c r="I127" s="43">
        <v>0.24299999999999999</v>
      </c>
      <c r="J127" s="43">
        <v>0.252</v>
      </c>
      <c r="K127" s="63">
        <v>1E-3</v>
      </c>
      <c r="L127" s="43">
        <f>Tabelle1[[#This Row],[Spalte12]]-Tabelle1[[#This Row],[Spalte11]]</f>
        <v>6.9999999999999993E-2</v>
      </c>
      <c r="M127" s="43">
        <v>7.0999999999999994E-2</v>
      </c>
      <c r="N127" s="43">
        <v>8.5999999999999993E-2</v>
      </c>
      <c r="O127" s="43">
        <v>0.106</v>
      </c>
      <c r="P127" s="43">
        <v>7.8E-2</v>
      </c>
      <c r="Q127" s="42">
        <v>530919</v>
      </c>
      <c r="R127" s="44">
        <v>3.52</v>
      </c>
      <c r="S127" s="42">
        <v>196562</v>
      </c>
      <c r="T127" s="42">
        <v>55834</v>
      </c>
      <c r="U127" s="44">
        <v>3.75</v>
      </c>
      <c r="V127" s="42">
        <v>210146</v>
      </c>
      <c r="W127" s="42">
        <v>56004</v>
      </c>
      <c r="X127" s="44">
        <v>3.7</v>
      </c>
      <c r="Y127" s="42">
        <v>179176</v>
      </c>
      <c r="Z127" s="42">
        <v>48417</v>
      </c>
      <c r="AA127" s="44">
        <v>4.41</v>
      </c>
      <c r="AB127" s="42">
        <v>185402</v>
      </c>
      <c r="AC127" s="42">
        <v>42027</v>
      </c>
      <c r="AD127" s="45">
        <v>2.2599999999999998</v>
      </c>
      <c r="AE127" s="42">
        <v>349649</v>
      </c>
      <c r="AF127" s="42">
        <v>154765</v>
      </c>
      <c r="AG127" s="22"/>
    </row>
    <row r="128" spans="1:33" ht="10.5" customHeight="1" x14ac:dyDescent="0.15">
      <c r="A128" s="52" t="s">
        <v>47</v>
      </c>
      <c r="B128" s="46">
        <v>4</v>
      </c>
      <c r="C128" s="47">
        <v>36787</v>
      </c>
      <c r="D128" s="47">
        <v>76868</v>
      </c>
      <c r="E128" s="47">
        <v>76868</v>
      </c>
      <c r="F128" s="47">
        <v>76868</v>
      </c>
      <c r="G128" s="47">
        <v>459833</v>
      </c>
      <c r="H128" s="48">
        <v>0.16700000000000001</v>
      </c>
      <c r="I128" s="48">
        <v>0.16700000000000001</v>
      </c>
      <c r="J128" s="48">
        <v>0.16700000000000001</v>
      </c>
      <c r="K128" s="64">
        <v>1.2E-2</v>
      </c>
      <c r="L128" s="48">
        <f>Tabelle1[[#This Row],[Spalte12]]-Tabelle1[[#This Row],[Spalte11]]</f>
        <v>7.3999999999999996E-2</v>
      </c>
      <c r="M128" s="48">
        <v>8.5999999999999993E-2</v>
      </c>
      <c r="N128" s="48">
        <v>0.10199999999999999</v>
      </c>
      <c r="O128" s="48">
        <v>0.124</v>
      </c>
      <c r="P128" s="48">
        <v>5.8999999999999997E-2</v>
      </c>
      <c r="Q128" s="47">
        <v>1295989</v>
      </c>
      <c r="R128" s="49">
        <v>1.3</v>
      </c>
      <c r="S128" s="47">
        <v>254125</v>
      </c>
      <c r="T128" s="47">
        <v>195723</v>
      </c>
      <c r="U128" s="49">
        <v>1.46</v>
      </c>
      <c r="V128" s="47">
        <v>269535</v>
      </c>
      <c r="W128" s="47">
        <v>185195</v>
      </c>
      <c r="X128" s="49">
        <v>1.76</v>
      </c>
      <c r="Y128" s="47">
        <v>247639</v>
      </c>
      <c r="Z128" s="47">
        <v>140393</v>
      </c>
      <c r="AA128" s="49">
        <v>2.19</v>
      </c>
      <c r="AB128" s="47">
        <v>267180</v>
      </c>
      <c r="AC128" s="47">
        <v>121848</v>
      </c>
      <c r="AD128" s="50">
        <v>1.44</v>
      </c>
      <c r="AE128" s="47">
        <v>817348</v>
      </c>
      <c r="AF128" s="47">
        <v>566288</v>
      </c>
      <c r="AG128" s="22"/>
    </row>
    <row r="129" spans="1:33" ht="10.5" customHeight="1" x14ac:dyDescent="0.15">
      <c r="A129" s="51" t="s">
        <v>204</v>
      </c>
      <c r="B129" s="41">
        <v>4</v>
      </c>
      <c r="C129" s="42">
        <v>99062</v>
      </c>
      <c r="D129" s="42">
        <v>390525</v>
      </c>
      <c r="E129" s="42">
        <v>390525</v>
      </c>
      <c r="F129" s="42">
        <v>390525</v>
      </c>
      <c r="G129" s="42">
        <v>1238279</v>
      </c>
      <c r="H129" s="43">
        <v>0.315</v>
      </c>
      <c r="I129" s="43">
        <v>0.315</v>
      </c>
      <c r="J129" s="43">
        <v>0.315</v>
      </c>
      <c r="K129" s="63">
        <v>3.0000000000000001E-3</v>
      </c>
      <c r="L129" s="43">
        <f>Tabelle1[[#This Row],[Spalte12]]-Tabelle1[[#This Row],[Spalte11]]</f>
        <v>7.3999999999999996E-2</v>
      </c>
      <c r="M129" s="43">
        <v>7.6999999999999999E-2</v>
      </c>
      <c r="N129" s="43">
        <v>9.2999999999999999E-2</v>
      </c>
      <c r="O129" s="43">
        <v>0.115</v>
      </c>
      <c r="P129" s="43">
        <v>0.14699999999999999</v>
      </c>
      <c r="Q129" s="42">
        <v>2654003</v>
      </c>
      <c r="R129" s="44">
        <v>1.54</v>
      </c>
      <c r="S129" s="42">
        <v>612211</v>
      </c>
      <c r="T129" s="42">
        <v>398354</v>
      </c>
      <c r="U129" s="44">
        <v>1.54</v>
      </c>
      <c r="V129" s="42">
        <v>580583</v>
      </c>
      <c r="W129" s="42">
        <v>376020</v>
      </c>
      <c r="X129" s="44">
        <v>1.79</v>
      </c>
      <c r="Y129" s="42">
        <v>589072</v>
      </c>
      <c r="Z129" s="42">
        <v>329890</v>
      </c>
      <c r="AA129" s="44">
        <v>1.95</v>
      </c>
      <c r="AB129" s="42">
        <v>595849</v>
      </c>
      <c r="AC129" s="42">
        <v>304965</v>
      </c>
      <c r="AD129" s="45">
        <v>1.46</v>
      </c>
      <c r="AE129" s="42">
        <v>1861957</v>
      </c>
      <c r="AF129" s="42">
        <v>1271287</v>
      </c>
      <c r="AG129" s="22"/>
    </row>
    <row r="130" spans="1:33" ht="10.5" customHeight="1" x14ac:dyDescent="0.15">
      <c r="A130" s="52" t="s">
        <v>57</v>
      </c>
      <c r="B130" s="46">
        <v>5</v>
      </c>
      <c r="C130" s="47">
        <v>10763</v>
      </c>
      <c r="D130" s="47">
        <v>59381</v>
      </c>
      <c r="E130" s="47">
        <v>59381</v>
      </c>
      <c r="F130" s="47">
        <v>59381</v>
      </c>
      <c r="G130" s="47">
        <v>134542</v>
      </c>
      <c r="H130" s="48">
        <v>0.441</v>
      </c>
      <c r="I130" s="48">
        <v>0.441</v>
      </c>
      <c r="J130" s="48">
        <v>0.441</v>
      </c>
      <c r="K130" s="64">
        <v>0</v>
      </c>
      <c r="L130" s="48">
        <f>Tabelle1[[#This Row],[Spalte12]]-Tabelle1[[#This Row],[Spalte11]]</f>
        <v>7.0000000000000007E-2</v>
      </c>
      <c r="M130" s="48">
        <v>7.0000000000000007E-2</v>
      </c>
      <c r="N130" s="48">
        <v>8.5000000000000006E-2</v>
      </c>
      <c r="O130" s="48">
        <v>0.105</v>
      </c>
      <c r="P130" s="48">
        <v>0.127</v>
      </c>
      <c r="Q130" s="47">
        <v>467198</v>
      </c>
      <c r="R130" s="49">
        <v>5.25</v>
      </c>
      <c r="S130" s="47">
        <v>179664</v>
      </c>
      <c r="T130" s="47">
        <v>34230</v>
      </c>
      <c r="U130" s="49">
        <v>5.37</v>
      </c>
      <c r="V130" s="47">
        <v>191818</v>
      </c>
      <c r="W130" s="47">
        <v>35715</v>
      </c>
      <c r="X130" s="49">
        <v>6.29</v>
      </c>
      <c r="Y130" s="47">
        <v>197595</v>
      </c>
      <c r="Z130" s="47">
        <v>31437</v>
      </c>
      <c r="AA130" s="49">
        <v>6.57</v>
      </c>
      <c r="AB130" s="47">
        <v>196434</v>
      </c>
      <c r="AC130" s="47">
        <v>29887</v>
      </c>
      <c r="AD130" s="50">
        <v>4.92</v>
      </c>
      <c r="AE130" s="47">
        <v>329006</v>
      </c>
      <c r="AF130" s="47">
        <v>66850</v>
      </c>
      <c r="AG130" s="22"/>
    </row>
    <row r="131" spans="1:33" ht="10.5" customHeight="1" x14ac:dyDescent="0.15">
      <c r="A131" s="51" t="s">
        <v>35</v>
      </c>
      <c r="B131" s="41">
        <v>5</v>
      </c>
      <c r="C131" s="42">
        <v>39758</v>
      </c>
      <c r="D131" s="42">
        <v>106180</v>
      </c>
      <c r="E131" s="42">
        <v>105212</v>
      </c>
      <c r="F131" s="42">
        <v>105212</v>
      </c>
      <c r="G131" s="42">
        <v>496971</v>
      </c>
      <c r="H131" s="43">
        <v>0.21199999999999999</v>
      </c>
      <c r="I131" s="43">
        <v>0.21199999999999999</v>
      </c>
      <c r="J131" s="43">
        <v>0.214</v>
      </c>
      <c r="K131" s="63">
        <v>8.9999999999999993E-3</v>
      </c>
      <c r="L131" s="43">
        <f>Tabelle1[[#This Row],[Spalte12]]-Tabelle1[[#This Row],[Spalte11]]</f>
        <v>7.0000000000000007E-2</v>
      </c>
      <c r="M131" s="43">
        <v>7.9000000000000001E-2</v>
      </c>
      <c r="N131" s="43">
        <v>9.4E-2</v>
      </c>
      <c r="O131" s="43">
        <v>0.114</v>
      </c>
      <c r="P131" s="43">
        <v>9.2999999999999999E-2</v>
      </c>
      <c r="Q131" s="42">
        <v>1133596</v>
      </c>
      <c r="R131" s="44">
        <v>1.52</v>
      </c>
      <c r="S131" s="42">
        <v>447398</v>
      </c>
      <c r="T131" s="42">
        <v>295118</v>
      </c>
      <c r="U131" s="44">
        <v>1.54</v>
      </c>
      <c r="V131" s="42">
        <v>424982</v>
      </c>
      <c r="W131" s="42">
        <v>275813</v>
      </c>
      <c r="X131" s="44">
        <v>1.45</v>
      </c>
      <c r="Y131" s="42">
        <v>322534</v>
      </c>
      <c r="Z131" s="42">
        <v>222542</v>
      </c>
      <c r="AA131" s="44">
        <v>1.28</v>
      </c>
      <c r="AB131" s="42">
        <v>285643</v>
      </c>
      <c r="AC131" s="42">
        <v>222516</v>
      </c>
      <c r="AD131" s="45">
        <v>1.1200000000000001</v>
      </c>
      <c r="AE131" s="42">
        <v>654722</v>
      </c>
      <c r="AF131" s="42">
        <v>585458</v>
      </c>
      <c r="AG131" s="22"/>
    </row>
    <row r="132" spans="1:33" ht="10.5" customHeight="1" x14ac:dyDescent="0.15">
      <c r="A132" s="52" t="s">
        <v>114</v>
      </c>
      <c r="B132" s="46">
        <v>5</v>
      </c>
      <c r="C132" s="47">
        <v>33816</v>
      </c>
      <c r="D132" s="47">
        <v>174139</v>
      </c>
      <c r="E132" s="47">
        <v>154139</v>
      </c>
      <c r="F132" s="47">
        <v>154139</v>
      </c>
      <c r="G132" s="47">
        <v>422699</v>
      </c>
      <c r="H132" s="48">
        <v>0.36499999999999999</v>
      </c>
      <c r="I132" s="48">
        <v>0.36499999999999999</v>
      </c>
      <c r="J132" s="48">
        <v>0.41199999999999998</v>
      </c>
      <c r="K132" s="64">
        <v>0</v>
      </c>
      <c r="L132" s="48">
        <f>Tabelle1[[#This Row],[Spalte12]]-Tabelle1[[#This Row],[Spalte11]]</f>
        <v>7.0000000000000007E-2</v>
      </c>
      <c r="M132" s="48">
        <v>7.0000000000000007E-2</v>
      </c>
      <c r="N132" s="48">
        <v>8.5000000000000006E-2</v>
      </c>
      <c r="O132" s="48">
        <v>0.105</v>
      </c>
      <c r="P132" s="48">
        <v>0.185</v>
      </c>
      <c r="Q132" s="47">
        <v>831579</v>
      </c>
      <c r="R132" s="49">
        <v>7.93</v>
      </c>
      <c r="S132" s="47">
        <v>46518</v>
      </c>
      <c r="T132" s="47">
        <v>5867</v>
      </c>
      <c r="U132" s="49">
        <v>11.82</v>
      </c>
      <c r="V132" s="47">
        <v>65692</v>
      </c>
      <c r="W132" s="47">
        <v>5558</v>
      </c>
      <c r="X132" s="49">
        <v>11.72</v>
      </c>
      <c r="Y132" s="47">
        <v>58667</v>
      </c>
      <c r="Z132" s="47">
        <v>5007</v>
      </c>
      <c r="AA132" s="49">
        <v>11.06</v>
      </c>
      <c r="AB132" s="47">
        <v>57688</v>
      </c>
      <c r="AC132" s="47">
        <v>5216</v>
      </c>
      <c r="AD132" s="50">
        <v>1.1299999999999999</v>
      </c>
      <c r="AE132" s="47">
        <v>497127</v>
      </c>
      <c r="AF132" s="47">
        <v>441290</v>
      </c>
      <c r="AG132" s="22"/>
    </row>
    <row r="133" spans="1:33" ht="10.5" customHeight="1" x14ac:dyDescent="0.15">
      <c r="A133" s="51" t="s">
        <v>85</v>
      </c>
      <c r="B133" s="41">
        <v>5</v>
      </c>
      <c r="C133" s="42">
        <v>1370</v>
      </c>
      <c r="D133" s="42">
        <v>3121</v>
      </c>
      <c r="E133" s="42">
        <v>3121</v>
      </c>
      <c r="F133" s="42">
        <v>3121</v>
      </c>
      <c r="G133" s="42">
        <v>17127</v>
      </c>
      <c r="H133" s="43">
        <v>0.182</v>
      </c>
      <c r="I133" s="43">
        <v>0.182</v>
      </c>
      <c r="J133" s="43">
        <v>0.182</v>
      </c>
      <c r="K133" s="63">
        <v>0</v>
      </c>
      <c r="L133" s="43">
        <f>Tabelle1[[#This Row],[Spalte12]]-Tabelle1[[#This Row],[Spalte11]]</f>
        <v>7.0000000000000007E-2</v>
      </c>
      <c r="M133" s="43">
        <v>7.0000000000000007E-2</v>
      </c>
      <c r="N133" s="43">
        <v>8.5000000000000006E-2</v>
      </c>
      <c r="O133" s="43">
        <v>0.105</v>
      </c>
      <c r="P133" s="43">
        <v>0.78300000000000003</v>
      </c>
      <c r="Q133" s="42">
        <v>3988</v>
      </c>
      <c r="R133" s="44">
        <v>18.75</v>
      </c>
      <c r="S133" s="42">
        <v>302</v>
      </c>
      <c r="T133" s="42">
        <v>16</v>
      </c>
      <c r="U133" s="44">
        <v>4.7</v>
      </c>
      <c r="V133" s="42">
        <v>102</v>
      </c>
      <c r="W133" s="42">
        <v>22</v>
      </c>
      <c r="X133" s="44">
        <v>6.89</v>
      </c>
      <c r="Y133" s="42">
        <v>102</v>
      </c>
      <c r="Z133" s="42">
        <v>15</v>
      </c>
      <c r="AA133" s="44">
        <v>10.87</v>
      </c>
      <c r="AB133" s="42">
        <v>103</v>
      </c>
      <c r="AC133" s="42">
        <v>9</v>
      </c>
      <c r="AD133" s="45">
        <v>1.39</v>
      </c>
      <c r="AE133" s="42">
        <v>3477</v>
      </c>
      <c r="AF133" s="42">
        <v>2497</v>
      </c>
      <c r="AG133" s="22"/>
    </row>
    <row r="134" spans="1:33" ht="10.5" customHeight="1" x14ac:dyDescent="0.15">
      <c r="A134" s="52" t="s">
        <v>88</v>
      </c>
      <c r="B134" s="46">
        <v>5</v>
      </c>
      <c r="C134" s="47">
        <v>6886</v>
      </c>
      <c r="D134" s="47">
        <v>60208</v>
      </c>
      <c r="E134" s="47">
        <v>60208</v>
      </c>
      <c r="F134" s="47">
        <v>60208</v>
      </c>
      <c r="G134" s="47">
        <v>86074</v>
      </c>
      <c r="H134" s="48">
        <v>0.69899999999999995</v>
      </c>
      <c r="I134" s="48">
        <v>0.69899999999999995</v>
      </c>
      <c r="J134" s="48">
        <v>0.69899999999999995</v>
      </c>
      <c r="K134" s="64">
        <v>0</v>
      </c>
      <c r="L134" s="48">
        <f>Tabelle1[[#This Row],[Spalte12]]-Tabelle1[[#This Row],[Spalte11]]</f>
        <v>7.0000000000000007E-2</v>
      </c>
      <c r="M134" s="48">
        <v>7.0000000000000007E-2</v>
      </c>
      <c r="N134" s="48">
        <v>8.5000000000000006E-2</v>
      </c>
      <c r="O134" s="48">
        <v>0.105</v>
      </c>
      <c r="P134" s="48">
        <v>0.25600000000000001</v>
      </c>
      <c r="Q134" s="47">
        <v>235065</v>
      </c>
      <c r="R134" s="49">
        <v>1.85</v>
      </c>
      <c r="S134" s="47">
        <v>76101</v>
      </c>
      <c r="T134" s="47">
        <v>41088</v>
      </c>
      <c r="U134" s="49">
        <v>1.93</v>
      </c>
      <c r="V134" s="47">
        <v>88417</v>
      </c>
      <c r="W134" s="47">
        <v>45849</v>
      </c>
      <c r="X134" s="49">
        <v>1.29</v>
      </c>
      <c r="Y134" s="47">
        <v>69964</v>
      </c>
      <c r="Z134" s="47">
        <v>54343</v>
      </c>
      <c r="AA134" s="49">
        <v>1.43</v>
      </c>
      <c r="AB134" s="47">
        <v>65578</v>
      </c>
      <c r="AC134" s="47">
        <v>45765</v>
      </c>
      <c r="AD134" s="50">
        <v>1.49</v>
      </c>
      <c r="AE134" s="47">
        <v>147447</v>
      </c>
      <c r="AF134" s="47">
        <v>98726</v>
      </c>
      <c r="AG134" s="22"/>
    </row>
    <row r="135" spans="1:33" ht="10.5" customHeight="1" x14ac:dyDescent="0.15">
      <c r="A135" s="51" t="s">
        <v>205</v>
      </c>
      <c r="B135" s="41">
        <v>5</v>
      </c>
      <c r="C135" s="42">
        <v>2393</v>
      </c>
      <c r="D135" s="42">
        <v>35400</v>
      </c>
      <c r="E135" s="42">
        <v>35400</v>
      </c>
      <c r="F135" s="42">
        <v>35400</v>
      </c>
      <c r="G135" s="42">
        <v>29918</v>
      </c>
      <c r="H135" s="43">
        <v>1.1830000000000001</v>
      </c>
      <c r="I135" s="43">
        <v>1.1830000000000001</v>
      </c>
      <c r="J135" s="43">
        <v>1.1830000000000001</v>
      </c>
      <c r="K135" s="63">
        <v>0</v>
      </c>
      <c r="L135" s="43">
        <f>Tabelle1[[#This Row],[Spalte12]]-Tabelle1[[#This Row],[Spalte11]]</f>
        <v>7.0000000000000007E-2</v>
      </c>
      <c r="M135" s="43">
        <v>7.0000000000000007E-2</v>
      </c>
      <c r="N135" s="43">
        <v>8.5000000000000006E-2</v>
      </c>
      <c r="O135" s="43">
        <v>0.105</v>
      </c>
      <c r="P135" s="43">
        <v>0.57099999999999995</v>
      </c>
      <c r="Q135" s="42">
        <v>61943</v>
      </c>
      <c r="R135" s="40" t="s">
        <v>214</v>
      </c>
      <c r="S135" s="40" t="s">
        <v>214</v>
      </c>
      <c r="T135" s="40" t="s">
        <v>214</v>
      </c>
      <c r="U135" s="40" t="s">
        <v>214</v>
      </c>
      <c r="V135" s="40" t="s">
        <v>214</v>
      </c>
      <c r="W135" s="40" t="s">
        <v>214</v>
      </c>
      <c r="X135" s="40" t="s">
        <v>214</v>
      </c>
      <c r="Y135" s="40" t="s">
        <v>214</v>
      </c>
      <c r="Z135" s="40" t="s">
        <v>214</v>
      </c>
      <c r="AA135" s="40" t="s">
        <v>214</v>
      </c>
      <c r="AB135" s="40" t="s">
        <v>214</v>
      </c>
      <c r="AC135" s="40" t="s">
        <v>214</v>
      </c>
      <c r="AD135" s="40" t="s">
        <v>214</v>
      </c>
      <c r="AE135" s="40" t="s">
        <v>214</v>
      </c>
      <c r="AF135" s="40" t="s">
        <v>214</v>
      </c>
      <c r="AG135" s="22"/>
    </row>
    <row r="136" spans="1:33" ht="10.5" customHeight="1" x14ac:dyDescent="0.15">
      <c r="A136" s="52" t="s">
        <v>31</v>
      </c>
      <c r="B136" s="46">
        <v>4</v>
      </c>
      <c r="C136" s="47">
        <v>134423</v>
      </c>
      <c r="D136" s="47">
        <v>284001</v>
      </c>
      <c r="E136" s="47">
        <v>271383</v>
      </c>
      <c r="F136" s="47">
        <v>271383</v>
      </c>
      <c r="G136" s="47">
        <v>1680287</v>
      </c>
      <c r="H136" s="48">
        <v>0.16200000000000001</v>
      </c>
      <c r="I136" s="48">
        <v>0.16200000000000001</v>
      </c>
      <c r="J136" s="48">
        <v>0.16900000000000001</v>
      </c>
      <c r="K136" s="64">
        <v>1.2E-2</v>
      </c>
      <c r="L136" s="48">
        <f>Tabelle1[[#This Row],[Spalte12]]-Tabelle1[[#This Row],[Spalte11]]</f>
        <v>7.3999999999999996E-2</v>
      </c>
      <c r="M136" s="48">
        <v>8.5999999999999993E-2</v>
      </c>
      <c r="N136" s="48">
        <v>0.10199999999999999</v>
      </c>
      <c r="O136" s="48">
        <v>0.124</v>
      </c>
      <c r="P136" s="48">
        <v>7.9000000000000001E-2</v>
      </c>
      <c r="Q136" s="47">
        <v>3422152</v>
      </c>
      <c r="R136" s="49">
        <v>1.44</v>
      </c>
      <c r="S136" s="47">
        <v>461824</v>
      </c>
      <c r="T136" s="47">
        <v>321277</v>
      </c>
      <c r="U136" s="49">
        <v>1.69</v>
      </c>
      <c r="V136" s="47">
        <v>470594</v>
      </c>
      <c r="W136" s="47">
        <v>278511</v>
      </c>
      <c r="X136" s="49">
        <v>1.77</v>
      </c>
      <c r="Y136" s="47">
        <v>458097</v>
      </c>
      <c r="Z136" s="47">
        <v>258785</v>
      </c>
      <c r="AA136" s="49">
        <v>1.77</v>
      </c>
      <c r="AB136" s="47">
        <v>439513</v>
      </c>
      <c r="AC136" s="47">
        <v>248744</v>
      </c>
      <c r="AD136" s="50">
        <v>1.31</v>
      </c>
      <c r="AE136" s="47">
        <v>2903211</v>
      </c>
      <c r="AF136" s="47">
        <v>2208089</v>
      </c>
      <c r="AG136" s="22"/>
    </row>
    <row r="137" spans="1:33" ht="10.5" customHeight="1" x14ac:dyDescent="0.15">
      <c r="A137" s="51" t="s">
        <v>125</v>
      </c>
      <c r="B137" s="41">
        <v>5</v>
      </c>
      <c r="C137" s="42">
        <v>1302</v>
      </c>
      <c r="D137" s="42">
        <v>4289</v>
      </c>
      <c r="E137" s="42">
        <v>4289</v>
      </c>
      <c r="F137" s="42">
        <v>4289</v>
      </c>
      <c r="G137" s="42">
        <v>16273</v>
      </c>
      <c r="H137" s="43">
        <v>0.26400000000000001</v>
      </c>
      <c r="I137" s="43">
        <v>0.26400000000000001</v>
      </c>
      <c r="J137" s="43">
        <v>0.26400000000000001</v>
      </c>
      <c r="K137" s="63">
        <v>0</v>
      </c>
      <c r="L137" s="43">
        <f>Tabelle1[[#This Row],[Spalte12]]-Tabelle1[[#This Row],[Spalte11]]</f>
        <v>7.0000000000000007E-2</v>
      </c>
      <c r="M137" s="43">
        <v>7.0000000000000007E-2</v>
      </c>
      <c r="N137" s="43">
        <v>8.5000000000000006E-2</v>
      </c>
      <c r="O137" s="43">
        <v>0.105</v>
      </c>
      <c r="P137" s="43">
        <v>0.13600000000000001</v>
      </c>
      <c r="Q137" s="42">
        <v>31525</v>
      </c>
      <c r="R137" s="44">
        <v>1.43</v>
      </c>
      <c r="S137" s="42">
        <v>13124</v>
      </c>
      <c r="T137" s="42">
        <v>9193</v>
      </c>
      <c r="U137" s="44">
        <v>1.68</v>
      </c>
      <c r="V137" s="42">
        <v>15505</v>
      </c>
      <c r="W137" s="42">
        <v>9226</v>
      </c>
      <c r="X137" s="44">
        <v>1.91</v>
      </c>
      <c r="Y137" s="42">
        <v>18198</v>
      </c>
      <c r="Z137" s="42">
        <v>9513</v>
      </c>
      <c r="AA137" s="44">
        <v>2.1800000000000002</v>
      </c>
      <c r="AB137" s="42">
        <v>18623</v>
      </c>
      <c r="AC137" s="42">
        <v>8532</v>
      </c>
      <c r="AD137" s="45">
        <v>2.13</v>
      </c>
      <c r="AE137" s="42">
        <v>14509</v>
      </c>
      <c r="AF137" s="42">
        <v>6824</v>
      </c>
      <c r="AG137" s="22"/>
    </row>
    <row r="138" spans="1:33" ht="10.5" customHeight="1" x14ac:dyDescent="0.15">
      <c r="A138" s="52" t="s">
        <v>53</v>
      </c>
      <c r="B138" s="46">
        <v>4</v>
      </c>
      <c r="C138" s="47">
        <v>83219</v>
      </c>
      <c r="D138" s="47">
        <v>176518</v>
      </c>
      <c r="E138" s="47">
        <v>151408</v>
      </c>
      <c r="F138" s="47">
        <v>176518</v>
      </c>
      <c r="G138" s="47">
        <v>1040238</v>
      </c>
      <c r="H138" s="48">
        <v>0.14599999999999999</v>
      </c>
      <c r="I138" s="48">
        <v>0.17</v>
      </c>
      <c r="J138" s="48">
        <v>0.17</v>
      </c>
      <c r="K138" s="64">
        <v>0</v>
      </c>
      <c r="L138" s="48">
        <f>Tabelle1[[#This Row],[Spalte12]]-Tabelle1[[#This Row],[Spalte11]]</f>
        <v>7.3999999999999996E-2</v>
      </c>
      <c r="M138" s="48">
        <v>7.3999999999999996E-2</v>
      </c>
      <c r="N138" s="48">
        <v>0.09</v>
      </c>
      <c r="O138" s="48">
        <v>0.112</v>
      </c>
      <c r="P138" s="48">
        <v>7.1999999999999995E-2</v>
      </c>
      <c r="Q138" s="47">
        <v>2435466</v>
      </c>
      <c r="R138" s="49">
        <v>1.69</v>
      </c>
      <c r="S138" s="47">
        <v>549917</v>
      </c>
      <c r="T138" s="47">
        <v>325604</v>
      </c>
      <c r="U138" s="49">
        <v>1.99</v>
      </c>
      <c r="V138" s="47">
        <v>464621</v>
      </c>
      <c r="W138" s="47">
        <v>233992</v>
      </c>
      <c r="X138" s="49">
        <v>1.72</v>
      </c>
      <c r="Y138" s="47">
        <v>349371</v>
      </c>
      <c r="Z138" s="47">
        <v>203402</v>
      </c>
      <c r="AA138" s="49">
        <v>1.62</v>
      </c>
      <c r="AB138" s="47">
        <v>334501</v>
      </c>
      <c r="AC138" s="47">
        <v>206968</v>
      </c>
      <c r="AD138" s="50">
        <v>1.18</v>
      </c>
      <c r="AE138" s="47">
        <v>1179468</v>
      </c>
      <c r="AF138" s="47">
        <v>1000657</v>
      </c>
      <c r="AG138" s="22"/>
    </row>
    <row r="139" spans="1:33" ht="10.5" customHeight="1" x14ac:dyDescent="0.15">
      <c r="A139" s="51" t="s">
        <v>48</v>
      </c>
      <c r="B139" s="41">
        <v>4</v>
      </c>
      <c r="C139" s="42">
        <v>73365</v>
      </c>
      <c r="D139" s="42">
        <v>253901</v>
      </c>
      <c r="E139" s="42">
        <v>253901</v>
      </c>
      <c r="F139" s="42">
        <v>253901</v>
      </c>
      <c r="G139" s="42">
        <v>917061</v>
      </c>
      <c r="H139" s="43">
        <v>0.27700000000000002</v>
      </c>
      <c r="I139" s="43">
        <v>0.27700000000000002</v>
      </c>
      <c r="J139" s="43">
        <v>0.27700000000000002</v>
      </c>
      <c r="K139" s="63">
        <v>1E-3</v>
      </c>
      <c r="L139" s="43">
        <f>Tabelle1[[#This Row],[Spalte12]]-Tabelle1[[#This Row],[Spalte11]]</f>
        <v>7.3999999999999996E-2</v>
      </c>
      <c r="M139" s="43">
        <v>7.4999999999999997E-2</v>
      </c>
      <c r="N139" s="43">
        <v>9.0999999999999998E-2</v>
      </c>
      <c r="O139" s="43">
        <v>0.113</v>
      </c>
      <c r="P139" s="43">
        <v>5.2999999999999999E-2</v>
      </c>
      <c r="Q139" s="42">
        <v>4811615</v>
      </c>
      <c r="R139" s="44">
        <v>1.34</v>
      </c>
      <c r="S139" s="42">
        <v>2335308</v>
      </c>
      <c r="T139" s="42">
        <v>1746862</v>
      </c>
      <c r="U139" s="44">
        <v>1.58</v>
      </c>
      <c r="V139" s="42">
        <v>2116007</v>
      </c>
      <c r="W139" s="42">
        <v>1341361</v>
      </c>
      <c r="X139" s="44">
        <v>1.5</v>
      </c>
      <c r="Y139" s="42">
        <v>2052197</v>
      </c>
      <c r="Z139" s="42">
        <v>1370321</v>
      </c>
      <c r="AA139" s="44">
        <v>1.4</v>
      </c>
      <c r="AB139" s="42">
        <v>2583692</v>
      </c>
      <c r="AC139" s="42">
        <v>1843618</v>
      </c>
      <c r="AD139" s="45">
        <v>1.62</v>
      </c>
      <c r="AE139" s="42">
        <v>1662506</v>
      </c>
      <c r="AF139" s="42">
        <v>1025588</v>
      </c>
      <c r="AG139" s="22"/>
    </row>
    <row r="140" spans="1:33" ht="10.5" customHeight="1" x14ac:dyDescent="0.15">
      <c r="A140" s="52" t="s">
        <v>173</v>
      </c>
      <c r="B140" s="46">
        <v>5</v>
      </c>
      <c r="C140" s="47">
        <v>13666</v>
      </c>
      <c r="D140" s="47">
        <v>56551</v>
      </c>
      <c r="E140" s="47">
        <v>56551</v>
      </c>
      <c r="F140" s="47">
        <v>56551</v>
      </c>
      <c r="G140" s="47">
        <v>170822</v>
      </c>
      <c r="H140" s="48">
        <v>0.33100000000000002</v>
      </c>
      <c r="I140" s="48">
        <v>0.33100000000000002</v>
      </c>
      <c r="J140" s="48">
        <v>0.33100000000000002</v>
      </c>
      <c r="K140" s="64">
        <v>0</v>
      </c>
      <c r="L140" s="48">
        <f>Tabelle1[[#This Row],[Spalte12]]-Tabelle1[[#This Row],[Spalte11]]</f>
        <v>7.0000000000000007E-2</v>
      </c>
      <c r="M140" s="48">
        <v>7.0000000000000007E-2</v>
      </c>
      <c r="N140" s="48">
        <v>8.5000000000000006E-2</v>
      </c>
      <c r="O140" s="48">
        <v>0.105</v>
      </c>
      <c r="P140" s="48">
        <v>0.24299999999999999</v>
      </c>
      <c r="Q140" s="47">
        <v>233061</v>
      </c>
      <c r="R140" s="39" t="s">
        <v>214</v>
      </c>
      <c r="S140" s="39" t="s">
        <v>214</v>
      </c>
      <c r="T140" s="39" t="s">
        <v>214</v>
      </c>
      <c r="U140" s="39" t="s">
        <v>214</v>
      </c>
      <c r="V140" s="39" t="s">
        <v>214</v>
      </c>
      <c r="W140" s="39" t="s">
        <v>214</v>
      </c>
      <c r="X140" s="39" t="s">
        <v>214</v>
      </c>
      <c r="Y140" s="39" t="s">
        <v>214</v>
      </c>
      <c r="Z140" s="39" t="s">
        <v>214</v>
      </c>
      <c r="AA140" s="39" t="s">
        <v>214</v>
      </c>
      <c r="AB140" s="39" t="s">
        <v>214</v>
      </c>
      <c r="AC140" s="39" t="s">
        <v>214</v>
      </c>
      <c r="AD140" s="39" t="s">
        <v>214</v>
      </c>
      <c r="AE140" s="39" t="s">
        <v>214</v>
      </c>
      <c r="AF140" s="39" t="s">
        <v>214</v>
      </c>
      <c r="AG140" s="22"/>
    </row>
    <row r="141" spans="1:33" ht="10.5" customHeight="1" x14ac:dyDescent="0.15">
      <c r="A141" s="51" t="s">
        <v>72</v>
      </c>
      <c r="B141" s="41">
        <v>5</v>
      </c>
      <c r="C141" s="42">
        <v>12743</v>
      </c>
      <c r="D141" s="42">
        <v>43877</v>
      </c>
      <c r="E141" s="42">
        <v>43877</v>
      </c>
      <c r="F141" s="42">
        <v>43877</v>
      </c>
      <c r="G141" s="42">
        <v>159289</v>
      </c>
      <c r="H141" s="43">
        <v>0.27500000000000002</v>
      </c>
      <c r="I141" s="43">
        <v>0.27500000000000002</v>
      </c>
      <c r="J141" s="43">
        <v>0.27500000000000002</v>
      </c>
      <c r="K141" s="63">
        <v>0</v>
      </c>
      <c r="L141" s="43">
        <f>Tabelle1[[#This Row],[Spalte12]]-Tabelle1[[#This Row],[Spalte11]]</f>
        <v>7.0000000000000007E-2</v>
      </c>
      <c r="M141" s="43">
        <v>7.0000000000000007E-2</v>
      </c>
      <c r="N141" s="43">
        <v>8.5000000000000006E-2</v>
      </c>
      <c r="O141" s="43">
        <v>0.105</v>
      </c>
      <c r="P141" s="43">
        <v>8.1000000000000003E-2</v>
      </c>
      <c r="Q141" s="42">
        <v>541499</v>
      </c>
      <c r="R141" s="44">
        <v>1.77</v>
      </c>
      <c r="S141" s="42">
        <v>475708</v>
      </c>
      <c r="T141" s="42">
        <v>269300</v>
      </c>
      <c r="U141" s="44">
        <v>1.73</v>
      </c>
      <c r="V141" s="42">
        <v>461941</v>
      </c>
      <c r="W141" s="42">
        <v>266820</v>
      </c>
      <c r="X141" s="44">
        <v>1.85</v>
      </c>
      <c r="Y141" s="42">
        <v>444640</v>
      </c>
      <c r="Z141" s="42">
        <v>240159</v>
      </c>
      <c r="AA141" s="44">
        <v>2.21</v>
      </c>
      <c r="AB141" s="42">
        <v>354545</v>
      </c>
      <c r="AC141" s="42">
        <v>160285</v>
      </c>
      <c r="AD141" s="45">
        <v>3.5</v>
      </c>
      <c r="AE141" s="42">
        <v>248500</v>
      </c>
      <c r="AF141" s="42">
        <v>70991</v>
      </c>
      <c r="AG141" s="22"/>
    </row>
    <row r="142" spans="1:33" ht="10.5" customHeight="1" x14ac:dyDescent="0.15">
      <c r="A142" s="52" t="s">
        <v>50</v>
      </c>
      <c r="B142" s="46">
        <v>4</v>
      </c>
      <c r="C142" s="47">
        <v>56465</v>
      </c>
      <c r="D142" s="47">
        <v>147254</v>
      </c>
      <c r="E142" s="47">
        <v>147254</v>
      </c>
      <c r="F142" s="47">
        <v>147254</v>
      </c>
      <c r="G142" s="47">
        <v>705811</v>
      </c>
      <c r="H142" s="48">
        <v>0.20899999999999999</v>
      </c>
      <c r="I142" s="48">
        <v>0.20899999999999999</v>
      </c>
      <c r="J142" s="48">
        <v>0.20899999999999999</v>
      </c>
      <c r="K142" s="64">
        <v>1.4999999999999999E-2</v>
      </c>
      <c r="L142" s="48">
        <f>Tabelle1[[#This Row],[Spalte12]]-Tabelle1[[#This Row],[Spalte11]]</f>
        <v>7.3999999999999996E-2</v>
      </c>
      <c r="M142" s="48">
        <v>8.8999999999999996E-2</v>
      </c>
      <c r="N142" s="48">
        <v>0.105</v>
      </c>
      <c r="O142" s="48">
        <v>0.127</v>
      </c>
      <c r="P142" s="48">
        <v>0.08</v>
      </c>
      <c r="Q142" s="47">
        <v>1849436</v>
      </c>
      <c r="R142" s="49">
        <v>1.66</v>
      </c>
      <c r="S142" s="47">
        <v>355327</v>
      </c>
      <c r="T142" s="47">
        <v>213725</v>
      </c>
      <c r="U142" s="49">
        <v>1.77</v>
      </c>
      <c r="V142" s="47">
        <v>388541</v>
      </c>
      <c r="W142" s="47">
        <v>219212</v>
      </c>
      <c r="X142" s="49">
        <v>1.81</v>
      </c>
      <c r="Y142" s="47">
        <v>390700</v>
      </c>
      <c r="Z142" s="47">
        <v>215308</v>
      </c>
      <c r="AA142" s="49">
        <v>1.69</v>
      </c>
      <c r="AB142" s="47">
        <v>348116</v>
      </c>
      <c r="AC142" s="47">
        <v>205650</v>
      </c>
      <c r="AD142" s="50">
        <v>1.45</v>
      </c>
      <c r="AE142" s="47">
        <v>1545618</v>
      </c>
      <c r="AF142" s="47">
        <v>1062877</v>
      </c>
      <c r="AG142" s="22"/>
    </row>
    <row r="143" spans="1:33" ht="10.5" customHeight="1" x14ac:dyDescent="0.15">
      <c r="A143" s="51" t="s">
        <v>27</v>
      </c>
      <c r="B143" s="41">
        <v>4</v>
      </c>
      <c r="C143" s="42">
        <v>362008</v>
      </c>
      <c r="D143" s="42">
        <v>1162472</v>
      </c>
      <c r="E143" s="42">
        <v>1144624</v>
      </c>
      <c r="F143" s="42">
        <v>1144624</v>
      </c>
      <c r="G143" s="42">
        <v>4525103</v>
      </c>
      <c r="H143" s="43">
        <v>0.253</v>
      </c>
      <c r="I143" s="43">
        <v>0.253</v>
      </c>
      <c r="J143" s="43">
        <v>0.25700000000000001</v>
      </c>
      <c r="K143" s="63">
        <v>1.2999999999999999E-2</v>
      </c>
      <c r="L143" s="43">
        <f>Tabelle1[[#This Row],[Spalte12]]-Tabelle1[[#This Row],[Spalte11]]</f>
        <v>7.3999999999999996E-2</v>
      </c>
      <c r="M143" s="43">
        <v>8.6999999999999994E-2</v>
      </c>
      <c r="N143" s="43">
        <v>0.10299999999999999</v>
      </c>
      <c r="O143" s="43">
        <v>0.125</v>
      </c>
      <c r="P143" s="43">
        <v>0.11899999999999999</v>
      </c>
      <c r="Q143" s="42">
        <v>9651146</v>
      </c>
      <c r="R143" s="44">
        <v>1.31</v>
      </c>
      <c r="S143" s="42">
        <v>1427488</v>
      </c>
      <c r="T143" s="42">
        <v>1088175</v>
      </c>
      <c r="U143" s="44">
        <v>1.34</v>
      </c>
      <c r="V143" s="42">
        <v>1275026</v>
      </c>
      <c r="W143" s="42">
        <v>950362</v>
      </c>
      <c r="X143" s="44">
        <v>1.24</v>
      </c>
      <c r="Y143" s="42">
        <v>1140722</v>
      </c>
      <c r="Z143" s="42">
        <v>923566</v>
      </c>
      <c r="AA143" s="44">
        <v>1.43</v>
      </c>
      <c r="AB143" s="42">
        <v>1082724</v>
      </c>
      <c r="AC143" s="42">
        <v>755939</v>
      </c>
      <c r="AD143" s="45">
        <v>1.21</v>
      </c>
      <c r="AE143" s="42">
        <v>7127749</v>
      </c>
      <c r="AF143" s="42">
        <v>5877174</v>
      </c>
      <c r="AG143" s="22"/>
    </row>
    <row r="144" spans="1:33" ht="10.5" customHeight="1" x14ac:dyDescent="0.15">
      <c r="A144" s="52" t="s">
        <v>69</v>
      </c>
      <c r="B144" s="46">
        <v>5</v>
      </c>
      <c r="C144" s="47">
        <v>27863</v>
      </c>
      <c r="D144" s="47">
        <v>159956</v>
      </c>
      <c r="E144" s="47">
        <v>159956</v>
      </c>
      <c r="F144" s="47">
        <v>159956</v>
      </c>
      <c r="G144" s="47">
        <v>348283</v>
      </c>
      <c r="H144" s="48">
        <v>0.45900000000000002</v>
      </c>
      <c r="I144" s="48">
        <v>0.45900000000000002</v>
      </c>
      <c r="J144" s="48">
        <v>0.45900000000000002</v>
      </c>
      <c r="K144" s="64">
        <v>0</v>
      </c>
      <c r="L144" s="48">
        <f>Tabelle1[[#This Row],[Spalte12]]-Tabelle1[[#This Row],[Spalte11]]</f>
        <v>7.0000000000000007E-2</v>
      </c>
      <c r="M144" s="48">
        <v>7.0000000000000007E-2</v>
      </c>
      <c r="N144" s="48">
        <v>8.5000000000000006E-2</v>
      </c>
      <c r="O144" s="48">
        <v>0.105</v>
      </c>
      <c r="P144" s="48">
        <v>0.26</v>
      </c>
      <c r="Q144" s="47">
        <v>616046</v>
      </c>
      <c r="R144" s="49">
        <v>6.49</v>
      </c>
      <c r="S144" s="47">
        <v>412678</v>
      </c>
      <c r="T144" s="47">
        <v>63633</v>
      </c>
      <c r="U144" s="49">
        <v>4.7</v>
      </c>
      <c r="V144" s="47">
        <v>394963</v>
      </c>
      <c r="W144" s="47">
        <v>84076</v>
      </c>
      <c r="X144" s="49">
        <v>3.98</v>
      </c>
      <c r="Y144" s="47">
        <v>343165</v>
      </c>
      <c r="Z144" s="47">
        <v>86169</v>
      </c>
      <c r="AA144" s="49">
        <v>4.3</v>
      </c>
      <c r="AB144" s="47">
        <v>341716</v>
      </c>
      <c r="AC144" s="47">
        <v>79427</v>
      </c>
      <c r="AD144" s="50">
        <v>2.25</v>
      </c>
      <c r="AE144" s="47">
        <v>468129</v>
      </c>
      <c r="AF144" s="47">
        <v>207696</v>
      </c>
      <c r="AG144" s="22"/>
    </row>
    <row r="145" spans="1:33" ht="10.5" customHeight="1" x14ac:dyDescent="0.15">
      <c r="A145" s="51" t="s">
        <v>28</v>
      </c>
      <c r="B145" s="41">
        <v>3</v>
      </c>
      <c r="C145" s="42">
        <v>766683</v>
      </c>
      <c r="D145" s="42">
        <v>2313057</v>
      </c>
      <c r="E145" s="42">
        <v>2201658</v>
      </c>
      <c r="F145" s="42">
        <v>2201658</v>
      </c>
      <c r="G145" s="42">
        <v>9583539</v>
      </c>
      <c r="H145" s="43">
        <v>0.23</v>
      </c>
      <c r="I145" s="43">
        <v>0.23</v>
      </c>
      <c r="J145" s="43">
        <v>0.24099999999999999</v>
      </c>
      <c r="K145" s="63">
        <v>1.4E-2</v>
      </c>
      <c r="L145" s="43">
        <f>Tabelle1[[#This Row],[Spalte12]]-Tabelle1[[#This Row],[Spalte11]]</f>
        <v>7.8E-2</v>
      </c>
      <c r="M145" s="43">
        <v>9.1999999999999998E-2</v>
      </c>
      <c r="N145" s="43">
        <v>0.11</v>
      </c>
      <c r="O145" s="43">
        <v>0.13400000000000001</v>
      </c>
      <c r="P145" s="43">
        <v>9.1999999999999998E-2</v>
      </c>
      <c r="Q145" s="42">
        <v>23885718</v>
      </c>
      <c r="R145" s="44">
        <v>1.46</v>
      </c>
      <c r="S145" s="42">
        <v>4836563</v>
      </c>
      <c r="T145" s="42">
        <v>3308590</v>
      </c>
      <c r="U145" s="44">
        <v>1.56</v>
      </c>
      <c r="V145" s="42">
        <v>4249546</v>
      </c>
      <c r="W145" s="42">
        <v>2720800</v>
      </c>
      <c r="X145" s="44">
        <v>1.42</v>
      </c>
      <c r="Y145" s="42">
        <v>3823314</v>
      </c>
      <c r="Z145" s="42">
        <v>2692637</v>
      </c>
      <c r="AA145" s="44">
        <v>1.32</v>
      </c>
      <c r="AB145" s="42">
        <v>3311956</v>
      </c>
      <c r="AC145" s="42">
        <v>2513916</v>
      </c>
      <c r="AD145" s="45">
        <v>1.45</v>
      </c>
      <c r="AE145" s="42">
        <v>17623343</v>
      </c>
      <c r="AF145" s="42">
        <v>12149396</v>
      </c>
      <c r="AG145" s="22"/>
    </row>
    <row r="146" spans="1:33" ht="10.5" customHeight="1" x14ac:dyDescent="0.15">
      <c r="A146" s="52" t="s">
        <v>79</v>
      </c>
      <c r="B146" s="46">
        <v>5</v>
      </c>
      <c r="C146" s="47">
        <v>10899</v>
      </c>
      <c r="D146" s="47">
        <v>118112</v>
      </c>
      <c r="E146" s="47">
        <v>108462</v>
      </c>
      <c r="F146" s="47">
        <v>108462</v>
      </c>
      <c r="G146" s="47">
        <v>136232</v>
      </c>
      <c r="H146" s="48">
        <v>0.79600000000000004</v>
      </c>
      <c r="I146" s="48">
        <v>0.79600000000000004</v>
      </c>
      <c r="J146" s="48">
        <v>0.86699999999999999</v>
      </c>
      <c r="K146" s="64">
        <v>0</v>
      </c>
      <c r="L146" s="48">
        <f>Tabelle1[[#This Row],[Spalte12]]-Tabelle1[[#This Row],[Spalte11]]</f>
        <v>7.0000000000000007E-2</v>
      </c>
      <c r="M146" s="48">
        <v>7.0000000000000007E-2</v>
      </c>
      <c r="N146" s="48">
        <v>8.5000000000000006E-2</v>
      </c>
      <c r="O146" s="48">
        <v>0.105</v>
      </c>
      <c r="P146" s="48">
        <v>0.124</v>
      </c>
      <c r="Q146" s="47">
        <v>871529</v>
      </c>
      <c r="R146" s="49">
        <v>10.46</v>
      </c>
      <c r="S146" s="47">
        <v>678434</v>
      </c>
      <c r="T146" s="47">
        <v>64841</v>
      </c>
      <c r="U146" s="49">
        <v>9.41</v>
      </c>
      <c r="V146" s="47">
        <v>877171</v>
      </c>
      <c r="W146" s="47">
        <v>93185</v>
      </c>
      <c r="X146" s="49">
        <v>11.01</v>
      </c>
      <c r="Y146" s="47">
        <v>763958</v>
      </c>
      <c r="Z146" s="47">
        <v>69383</v>
      </c>
      <c r="AA146" s="49">
        <v>11.06</v>
      </c>
      <c r="AB146" s="47">
        <v>636003</v>
      </c>
      <c r="AC146" s="47">
        <v>57528</v>
      </c>
      <c r="AD146" s="50">
        <v>7.05</v>
      </c>
      <c r="AE146" s="47">
        <v>707571</v>
      </c>
      <c r="AF146" s="47">
        <v>100300</v>
      </c>
      <c r="AG146" s="22"/>
    </row>
    <row r="147" spans="1:33" ht="10.5" customHeight="1" x14ac:dyDescent="0.15">
      <c r="A147" s="51" t="s">
        <v>99</v>
      </c>
      <c r="B147" s="41">
        <v>5</v>
      </c>
      <c r="C147" s="42">
        <v>48618</v>
      </c>
      <c r="D147" s="42">
        <v>106883</v>
      </c>
      <c r="E147" s="42">
        <v>105683</v>
      </c>
      <c r="F147" s="42">
        <v>105683</v>
      </c>
      <c r="G147" s="42">
        <v>607726</v>
      </c>
      <c r="H147" s="43">
        <v>0.17399999999999999</v>
      </c>
      <c r="I147" s="43">
        <v>0.17399999999999999</v>
      </c>
      <c r="J147" s="43">
        <v>0.17599999999999999</v>
      </c>
      <c r="K147" s="63">
        <v>1.7000000000000001E-2</v>
      </c>
      <c r="L147" s="43">
        <f>Tabelle1[[#This Row],[Spalte12]]-Tabelle1[[#This Row],[Spalte11]]</f>
        <v>6.9999999999999993E-2</v>
      </c>
      <c r="M147" s="43">
        <v>8.6999999999999994E-2</v>
      </c>
      <c r="N147" s="43">
        <v>0.10199999999999999</v>
      </c>
      <c r="O147" s="43">
        <v>0.122</v>
      </c>
      <c r="P147" s="43">
        <v>7.0999999999999994E-2</v>
      </c>
      <c r="Q147" s="42">
        <v>1479328</v>
      </c>
      <c r="R147" s="40" t="s">
        <v>214</v>
      </c>
      <c r="S147" s="40" t="s">
        <v>214</v>
      </c>
      <c r="T147" s="40" t="s">
        <v>214</v>
      </c>
      <c r="U147" s="40" t="s">
        <v>214</v>
      </c>
      <c r="V147" s="40" t="s">
        <v>214</v>
      </c>
      <c r="W147" s="40" t="s">
        <v>214</v>
      </c>
      <c r="X147" s="40" t="s">
        <v>214</v>
      </c>
      <c r="Y147" s="40" t="s">
        <v>214</v>
      </c>
      <c r="Z147" s="40" t="s">
        <v>214</v>
      </c>
      <c r="AA147" s="40" t="s">
        <v>214</v>
      </c>
      <c r="AB147" s="40" t="s">
        <v>214</v>
      </c>
      <c r="AC147" s="40" t="s">
        <v>214</v>
      </c>
      <c r="AD147" s="40" t="s">
        <v>214</v>
      </c>
      <c r="AE147" s="40" t="s">
        <v>214</v>
      </c>
      <c r="AF147" s="40" t="s">
        <v>214</v>
      </c>
      <c r="AG147" s="22"/>
    </row>
    <row r="148" spans="1:33" ht="10.5" customHeight="1" x14ac:dyDescent="0.15">
      <c r="A148" s="52" t="s">
        <v>52</v>
      </c>
      <c r="B148" s="46">
        <v>5</v>
      </c>
      <c r="C148" s="47">
        <v>815</v>
      </c>
      <c r="D148" s="47">
        <v>2709</v>
      </c>
      <c r="E148" s="47">
        <v>2709</v>
      </c>
      <c r="F148" s="47">
        <v>2709</v>
      </c>
      <c r="G148" s="47">
        <v>10183</v>
      </c>
      <c r="H148" s="48">
        <v>0.26600000000000001</v>
      </c>
      <c r="I148" s="48">
        <v>0.26600000000000001</v>
      </c>
      <c r="J148" s="48">
        <v>0.26600000000000001</v>
      </c>
      <c r="K148" s="64">
        <v>0</v>
      </c>
      <c r="L148" s="48">
        <f>Tabelle1[[#This Row],[Spalte12]]-Tabelle1[[#This Row],[Spalte11]]</f>
        <v>7.0000000000000007E-2</v>
      </c>
      <c r="M148" s="48">
        <v>7.0000000000000007E-2</v>
      </c>
      <c r="N148" s="48">
        <v>8.5000000000000006E-2</v>
      </c>
      <c r="O148" s="48">
        <v>0.105</v>
      </c>
      <c r="P148" s="48">
        <v>9.1999999999999998E-2</v>
      </c>
      <c r="Q148" s="47">
        <v>29455</v>
      </c>
      <c r="R148" s="49">
        <v>1.99</v>
      </c>
      <c r="S148" s="47">
        <v>7067</v>
      </c>
      <c r="T148" s="47">
        <v>3551</v>
      </c>
      <c r="U148" s="49">
        <v>1.77</v>
      </c>
      <c r="V148" s="47">
        <v>7651</v>
      </c>
      <c r="W148" s="47">
        <v>4334</v>
      </c>
      <c r="X148" s="49">
        <v>1.96</v>
      </c>
      <c r="Y148" s="47">
        <v>7137</v>
      </c>
      <c r="Z148" s="47">
        <v>3638</v>
      </c>
      <c r="AA148" s="49">
        <v>1.51</v>
      </c>
      <c r="AB148" s="47">
        <v>8161</v>
      </c>
      <c r="AC148" s="47">
        <v>5392</v>
      </c>
      <c r="AD148" s="50">
        <v>1.58</v>
      </c>
      <c r="AE148" s="47">
        <v>11096</v>
      </c>
      <c r="AF148" s="47">
        <v>7031</v>
      </c>
      <c r="AG148" s="22"/>
    </row>
    <row r="149" spans="1:33" ht="10.5" customHeight="1" x14ac:dyDescent="0.15">
      <c r="A149" s="51" t="s">
        <v>187</v>
      </c>
      <c r="B149" s="41">
        <v>5</v>
      </c>
      <c r="C149" s="42">
        <v>8755</v>
      </c>
      <c r="D149" s="42">
        <v>23709</v>
      </c>
      <c r="E149" s="42">
        <v>23709</v>
      </c>
      <c r="F149" s="42">
        <v>23709</v>
      </c>
      <c r="G149" s="42">
        <v>109437</v>
      </c>
      <c r="H149" s="43">
        <v>0.217</v>
      </c>
      <c r="I149" s="43">
        <v>0.217</v>
      </c>
      <c r="J149" s="43">
        <v>0.217</v>
      </c>
      <c r="K149" s="63">
        <v>0</v>
      </c>
      <c r="L149" s="43">
        <f>Tabelle1[[#This Row],[Spalte12]]-Tabelle1[[#This Row],[Spalte11]]</f>
        <v>7.0000000000000007E-2</v>
      </c>
      <c r="M149" s="43">
        <v>7.0000000000000007E-2</v>
      </c>
      <c r="N149" s="43">
        <v>8.5000000000000006E-2</v>
      </c>
      <c r="O149" s="43">
        <v>0.105</v>
      </c>
      <c r="P149" s="43">
        <v>6.8000000000000005E-2</v>
      </c>
      <c r="Q149" s="42">
        <v>346476</v>
      </c>
      <c r="R149" s="40" t="s">
        <v>214</v>
      </c>
      <c r="S149" s="40" t="s">
        <v>214</v>
      </c>
      <c r="T149" s="40" t="s">
        <v>214</v>
      </c>
      <c r="U149" s="40" t="s">
        <v>214</v>
      </c>
      <c r="V149" s="40" t="s">
        <v>214</v>
      </c>
      <c r="W149" s="40" t="s">
        <v>214</v>
      </c>
      <c r="X149" s="40" t="s">
        <v>214</v>
      </c>
      <c r="Y149" s="40" t="s">
        <v>214</v>
      </c>
      <c r="Z149" s="40" t="s">
        <v>214</v>
      </c>
      <c r="AA149" s="40" t="s">
        <v>214</v>
      </c>
      <c r="AB149" s="40" t="s">
        <v>214</v>
      </c>
      <c r="AC149" s="40" t="s">
        <v>214</v>
      </c>
      <c r="AD149" s="40" t="s">
        <v>214</v>
      </c>
      <c r="AE149" s="40" t="s">
        <v>214</v>
      </c>
      <c r="AF149" s="40" t="s">
        <v>214</v>
      </c>
      <c r="AG149" s="22"/>
    </row>
    <row r="150" spans="1:33" ht="10.5" customHeight="1" x14ac:dyDescent="0.15">
      <c r="A150" s="52" t="s">
        <v>80</v>
      </c>
      <c r="B150" s="46">
        <v>4</v>
      </c>
      <c r="C150" s="47">
        <v>113559</v>
      </c>
      <c r="D150" s="47">
        <v>447536</v>
      </c>
      <c r="E150" s="47">
        <v>447536</v>
      </c>
      <c r="F150" s="47">
        <v>447536</v>
      </c>
      <c r="G150" s="47">
        <v>1419484</v>
      </c>
      <c r="H150" s="48">
        <v>0.315</v>
      </c>
      <c r="I150" s="48">
        <v>0.315</v>
      </c>
      <c r="J150" s="48">
        <v>0.315</v>
      </c>
      <c r="K150" s="64">
        <v>2E-3</v>
      </c>
      <c r="L150" s="48">
        <f>Tabelle1[[#This Row],[Spalte12]]-Tabelle1[[#This Row],[Spalte11]]</f>
        <v>7.3999999999999996E-2</v>
      </c>
      <c r="M150" s="48">
        <v>7.5999999999999998E-2</v>
      </c>
      <c r="N150" s="48">
        <v>9.1999999999999998E-2</v>
      </c>
      <c r="O150" s="48">
        <v>0.114</v>
      </c>
      <c r="P150" s="48">
        <v>0.107</v>
      </c>
      <c r="Q150" s="47">
        <v>4198633</v>
      </c>
      <c r="R150" s="49">
        <v>1.86</v>
      </c>
      <c r="S150" s="47">
        <v>849626</v>
      </c>
      <c r="T150" s="47">
        <v>456014</v>
      </c>
      <c r="U150" s="49">
        <v>1.87</v>
      </c>
      <c r="V150" s="47">
        <v>768933</v>
      </c>
      <c r="W150" s="47">
        <v>411027</v>
      </c>
      <c r="X150" s="49">
        <v>1.9</v>
      </c>
      <c r="Y150" s="47">
        <v>808998</v>
      </c>
      <c r="Z150" s="47">
        <v>425742</v>
      </c>
      <c r="AA150" s="49">
        <v>1.52</v>
      </c>
      <c r="AB150" s="47">
        <v>810588</v>
      </c>
      <c r="AC150" s="47">
        <v>533882</v>
      </c>
      <c r="AD150" s="50">
        <v>1.1000000000000001</v>
      </c>
      <c r="AE150" s="47">
        <v>1851035</v>
      </c>
      <c r="AF150" s="47">
        <v>1675634</v>
      </c>
      <c r="AG150" s="22"/>
    </row>
    <row r="151" spans="1:33" ht="10.5" customHeight="1" x14ac:dyDescent="0.15">
      <c r="A151" s="51" t="s">
        <v>20</v>
      </c>
      <c r="B151" s="41">
        <v>5</v>
      </c>
      <c r="C151" s="42">
        <v>24989</v>
      </c>
      <c r="D151" s="42">
        <v>70914</v>
      </c>
      <c r="E151" s="42">
        <v>70914</v>
      </c>
      <c r="F151" s="42">
        <v>70914</v>
      </c>
      <c r="G151" s="42">
        <v>312366</v>
      </c>
      <c r="H151" s="43">
        <v>0.22700000000000001</v>
      </c>
      <c r="I151" s="43">
        <v>0.22700000000000001</v>
      </c>
      <c r="J151" s="43">
        <v>0.22700000000000001</v>
      </c>
      <c r="K151" s="63">
        <v>1.2999999999999999E-2</v>
      </c>
      <c r="L151" s="43">
        <f>Tabelle1[[#This Row],[Spalte12]]-Tabelle1[[#This Row],[Spalte11]]</f>
        <v>7.0000000000000007E-2</v>
      </c>
      <c r="M151" s="43">
        <v>8.3000000000000004E-2</v>
      </c>
      <c r="N151" s="43">
        <v>9.8000000000000004E-2</v>
      </c>
      <c r="O151" s="43">
        <v>0.11799999999999999</v>
      </c>
      <c r="P151" s="43">
        <v>0.107</v>
      </c>
      <c r="Q151" s="42">
        <v>661871</v>
      </c>
      <c r="R151" s="44">
        <v>1.8</v>
      </c>
      <c r="S151" s="42">
        <v>65544</v>
      </c>
      <c r="T151" s="42">
        <v>36422</v>
      </c>
      <c r="U151" s="44">
        <v>1.75</v>
      </c>
      <c r="V151" s="42">
        <v>61618</v>
      </c>
      <c r="W151" s="42">
        <v>35112</v>
      </c>
      <c r="X151" s="44">
        <v>1.94</v>
      </c>
      <c r="Y151" s="42">
        <v>65826</v>
      </c>
      <c r="Z151" s="42">
        <v>33912</v>
      </c>
      <c r="AA151" s="44">
        <v>2.0099999999999998</v>
      </c>
      <c r="AB151" s="42">
        <v>65464</v>
      </c>
      <c r="AC151" s="42">
        <v>32582</v>
      </c>
      <c r="AD151" s="45">
        <v>1.3</v>
      </c>
      <c r="AE151" s="42">
        <v>575565</v>
      </c>
      <c r="AF151" s="42">
        <v>442310</v>
      </c>
      <c r="AG151" s="22"/>
    </row>
    <row r="152" spans="1:33" ht="10.5" customHeight="1" x14ac:dyDescent="0.15">
      <c r="A152" s="52" t="s">
        <v>206</v>
      </c>
      <c r="B152" s="46">
        <v>5</v>
      </c>
      <c r="C152" s="47">
        <v>24641</v>
      </c>
      <c r="D152" s="47">
        <v>53966</v>
      </c>
      <c r="E152" s="47">
        <v>53966</v>
      </c>
      <c r="F152" s="47">
        <v>53966</v>
      </c>
      <c r="G152" s="47">
        <v>308012</v>
      </c>
      <c r="H152" s="48">
        <v>0.17499999999999999</v>
      </c>
      <c r="I152" s="48">
        <v>0.17499999999999999</v>
      </c>
      <c r="J152" s="48">
        <v>0.17499999999999999</v>
      </c>
      <c r="K152" s="64">
        <v>1.2E-2</v>
      </c>
      <c r="L152" s="48">
        <f>Tabelle1[[#This Row],[Spalte12]]-Tabelle1[[#This Row],[Spalte11]]</f>
        <v>7.0000000000000007E-2</v>
      </c>
      <c r="M152" s="48">
        <v>8.2000000000000003E-2</v>
      </c>
      <c r="N152" s="48">
        <v>9.7000000000000003E-2</v>
      </c>
      <c r="O152" s="48">
        <v>0.11700000000000001</v>
      </c>
      <c r="P152" s="48">
        <v>7.0999999999999994E-2</v>
      </c>
      <c r="Q152" s="47">
        <v>764076</v>
      </c>
      <c r="R152" s="49">
        <v>1.1499999999999999</v>
      </c>
      <c r="S152" s="47">
        <v>80790</v>
      </c>
      <c r="T152" s="47">
        <v>70425</v>
      </c>
      <c r="U152" s="49">
        <v>1.42</v>
      </c>
      <c r="V152" s="47">
        <v>82417</v>
      </c>
      <c r="W152" s="47">
        <v>58085</v>
      </c>
      <c r="X152" s="49">
        <v>1.89</v>
      </c>
      <c r="Y152" s="47">
        <v>89580</v>
      </c>
      <c r="Z152" s="47">
        <v>47349</v>
      </c>
      <c r="AA152" s="49">
        <v>2.2000000000000002</v>
      </c>
      <c r="AB152" s="47">
        <v>105691</v>
      </c>
      <c r="AC152" s="47">
        <v>48054</v>
      </c>
      <c r="AD152" s="50">
        <v>1.29</v>
      </c>
      <c r="AE152" s="47">
        <v>657158</v>
      </c>
      <c r="AF152" s="47">
        <v>508697</v>
      </c>
      <c r="AG152" s="22"/>
    </row>
    <row r="153" spans="1:33" ht="10.5" customHeight="1" x14ac:dyDescent="0.15">
      <c r="A153" s="51" t="s">
        <v>207</v>
      </c>
      <c r="B153" s="41">
        <v>5</v>
      </c>
      <c r="C153" s="42">
        <v>35524</v>
      </c>
      <c r="D153" s="42">
        <v>77290</v>
      </c>
      <c r="E153" s="42">
        <v>77290</v>
      </c>
      <c r="F153" s="42">
        <v>77290</v>
      </c>
      <c r="G153" s="42">
        <v>444047</v>
      </c>
      <c r="H153" s="43">
        <v>0.17399999999999999</v>
      </c>
      <c r="I153" s="43">
        <v>0.17399999999999999</v>
      </c>
      <c r="J153" s="43">
        <v>0.17399999999999999</v>
      </c>
      <c r="K153" s="63">
        <v>8.0000000000000002E-3</v>
      </c>
      <c r="L153" s="43">
        <f>Tabelle1[[#This Row],[Spalte12]]-Tabelle1[[#This Row],[Spalte11]]</f>
        <v>7.0000000000000007E-2</v>
      </c>
      <c r="M153" s="43">
        <v>7.8E-2</v>
      </c>
      <c r="N153" s="43">
        <v>9.2999999999999999E-2</v>
      </c>
      <c r="O153" s="43">
        <v>0.113</v>
      </c>
      <c r="P153" s="43">
        <v>8.6999999999999994E-2</v>
      </c>
      <c r="Q153" s="42">
        <v>890800</v>
      </c>
      <c r="R153" s="40" t="s">
        <v>214</v>
      </c>
      <c r="S153" s="40" t="s">
        <v>214</v>
      </c>
      <c r="T153" s="40" t="s">
        <v>214</v>
      </c>
      <c r="U153" s="40" t="s">
        <v>214</v>
      </c>
      <c r="V153" s="40" t="s">
        <v>214</v>
      </c>
      <c r="W153" s="40" t="s">
        <v>214</v>
      </c>
      <c r="X153" s="40" t="s">
        <v>214</v>
      </c>
      <c r="Y153" s="40" t="s">
        <v>214</v>
      </c>
      <c r="Z153" s="40" t="s">
        <v>214</v>
      </c>
      <c r="AA153" s="40" t="s">
        <v>214</v>
      </c>
      <c r="AB153" s="40" t="s">
        <v>214</v>
      </c>
      <c r="AC153" s="40" t="s">
        <v>214</v>
      </c>
      <c r="AD153" s="40" t="s">
        <v>214</v>
      </c>
      <c r="AE153" s="40" t="s">
        <v>214</v>
      </c>
      <c r="AF153" s="40" t="s">
        <v>214</v>
      </c>
      <c r="AG153" s="22"/>
    </row>
    <row r="154" spans="1:33" ht="10.5" customHeight="1" x14ac:dyDescent="0.15">
      <c r="A154" s="52" t="s">
        <v>26</v>
      </c>
      <c r="B154" s="46">
        <v>3</v>
      </c>
      <c r="C154" s="47">
        <v>1447170</v>
      </c>
      <c r="D154" s="47">
        <v>2985172</v>
      </c>
      <c r="E154" s="47">
        <v>2783571</v>
      </c>
      <c r="F154" s="47">
        <v>2883571</v>
      </c>
      <c r="G154" s="47">
        <v>18089630</v>
      </c>
      <c r="H154" s="48">
        <v>0.154</v>
      </c>
      <c r="I154" s="48">
        <v>0.159</v>
      </c>
      <c r="J154" s="48">
        <v>0.16500000000000001</v>
      </c>
      <c r="K154" s="64">
        <v>1.2E-2</v>
      </c>
      <c r="L154" s="48">
        <f>Tabelle1[[#This Row],[Spalte12]]-Tabelle1[[#This Row],[Spalte11]]</f>
        <v>7.8E-2</v>
      </c>
      <c r="M154" s="48">
        <v>0.09</v>
      </c>
      <c r="N154" s="48">
        <v>0.108</v>
      </c>
      <c r="O154" s="48">
        <v>0.13200000000000001</v>
      </c>
      <c r="P154" s="48">
        <v>6.7000000000000004E-2</v>
      </c>
      <c r="Q154" s="47">
        <v>42964021</v>
      </c>
      <c r="R154" s="49">
        <v>1.28</v>
      </c>
      <c r="S154" s="47">
        <v>8151187</v>
      </c>
      <c r="T154" s="47">
        <v>6375548</v>
      </c>
      <c r="U154" s="49">
        <v>1.32</v>
      </c>
      <c r="V154" s="47">
        <v>7749935</v>
      </c>
      <c r="W154" s="47">
        <v>5870184</v>
      </c>
      <c r="X154" s="49">
        <v>1.26</v>
      </c>
      <c r="Y154" s="47">
        <v>6766369</v>
      </c>
      <c r="Z154" s="47">
        <v>5373571</v>
      </c>
      <c r="AA154" s="49">
        <v>1.32</v>
      </c>
      <c r="AB154" s="47">
        <v>6595309</v>
      </c>
      <c r="AC154" s="47">
        <v>4981922</v>
      </c>
      <c r="AD154" s="50">
        <v>1.28</v>
      </c>
      <c r="AE154" s="47">
        <v>31178921</v>
      </c>
      <c r="AF154" s="47">
        <v>24440016</v>
      </c>
      <c r="AG154" s="22"/>
    </row>
    <row r="155" spans="1:33" ht="10.5" customHeight="1" x14ac:dyDescent="0.15">
      <c r="A155" s="51" t="s">
        <v>116</v>
      </c>
      <c r="B155" s="41">
        <v>5</v>
      </c>
      <c r="C155" s="42">
        <v>14778</v>
      </c>
      <c r="D155" s="42">
        <v>34300</v>
      </c>
      <c r="E155" s="42">
        <v>34300</v>
      </c>
      <c r="F155" s="42">
        <v>34300</v>
      </c>
      <c r="G155" s="42">
        <v>184720</v>
      </c>
      <c r="H155" s="43">
        <v>0.186</v>
      </c>
      <c r="I155" s="43">
        <v>0.186</v>
      </c>
      <c r="J155" s="43">
        <v>0.186</v>
      </c>
      <c r="K155" s="63">
        <v>0</v>
      </c>
      <c r="L155" s="43">
        <f>Tabelle1[[#This Row],[Spalte12]]-Tabelle1[[#This Row],[Spalte11]]</f>
        <v>7.0000000000000007E-2</v>
      </c>
      <c r="M155" s="43">
        <v>7.0000000000000007E-2</v>
      </c>
      <c r="N155" s="43">
        <v>8.5000000000000006E-2</v>
      </c>
      <c r="O155" s="43">
        <v>0.105</v>
      </c>
      <c r="P155" s="43">
        <v>9.4E-2</v>
      </c>
      <c r="Q155" s="42">
        <v>364046</v>
      </c>
      <c r="R155" s="44">
        <v>2.82</v>
      </c>
      <c r="S155" s="42">
        <v>105835</v>
      </c>
      <c r="T155" s="42">
        <v>37553</v>
      </c>
      <c r="U155" s="44">
        <v>2.73</v>
      </c>
      <c r="V155" s="42">
        <v>109390</v>
      </c>
      <c r="W155" s="42">
        <v>40005</v>
      </c>
      <c r="X155" s="44">
        <v>3.31</v>
      </c>
      <c r="Y155" s="42">
        <v>109236</v>
      </c>
      <c r="Z155" s="42">
        <v>33012</v>
      </c>
      <c r="AA155" s="44">
        <v>3.45</v>
      </c>
      <c r="AB155" s="42">
        <v>108224</v>
      </c>
      <c r="AC155" s="42">
        <v>31396</v>
      </c>
      <c r="AD155" s="45">
        <v>1.91</v>
      </c>
      <c r="AE155" s="42">
        <v>317318</v>
      </c>
      <c r="AF155" s="42">
        <v>165712</v>
      </c>
      <c r="AG155" s="22"/>
    </row>
    <row r="156" spans="1:33" ht="10.5" customHeight="1" x14ac:dyDescent="0.15">
      <c r="A156" s="52" t="s">
        <v>95</v>
      </c>
      <c r="B156" s="46">
        <v>4</v>
      </c>
      <c r="C156" s="47">
        <v>215505</v>
      </c>
      <c r="D156" s="47">
        <v>622555</v>
      </c>
      <c r="E156" s="47">
        <v>622295</v>
      </c>
      <c r="F156" s="47">
        <v>622295</v>
      </c>
      <c r="G156" s="47">
        <v>2693817</v>
      </c>
      <c r="H156" s="48">
        <v>0.23100000000000001</v>
      </c>
      <c r="I156" s="48">
        <v>0.23100000000000001</v>
      </c>
      <c r="J156" s="48">
        <v>0.23100000000000001</v>
      </c>
      <c r="K156" s="64">
        <v>0</v>
      </c>
      <c r="L156" s="48">
        <f>Tabelle1[[#This Row],[Spalte12]]-Tabelle1[[#This Row],[Spalte11]]</f>
        <v>7.3999999999999996E-2</v>
      </c>
      <c r="M156" s="48">
        <v>7.3999999999999996E-2</v>
      </c>
      <c r="N156" s="48">
        <v>0.09</v>
      </c>
      <c r="O156" s="48">
        <v>0.112</v>
      </c>
      <c r="P156" s="48">
        <v>6.7000000000000004E-2</v>
      </c>
      <c r="Q156" s="47">
        <v>9345664</v>
      </c>
      <c r="R156" s="49">
        <v>3.41</v>
      </c>
      <c r="S156" s="47">
        <v>5170610</v>
      </c>
      <c r="T156" s="47">
        <v>1515562</v>
      </c>
      <c r="U156" s="49">
        <v>3.78</v>
      </c>
      <c r="V156" s="47">
        <v>5516676</v>
      </c>
      <c r="W156" s="47">
        <v>1461224</v>
      </c>
      <c r="X156" s="49">
        <v>3.73</v>
      </c>
      <c r="Y156" s="47">
        <v>5301393</v>
      </c>
      <c r="Z156" s="47">
        <v>1421093</v>
      </c>
      <c r="AA156" s="49">
        <v>4.0199999999999996</v>
      </c>
      <c r="AB156" s="47">
        <v>5000256</v>
      </c>
      <c r="AC156" s="47">
        <v>1244966</v>
      </c>
      <c r="AD156" s="50">
        <v>2.77</v>
      </c>
      <c r="AE156" s="47">
        <v>6920117</v>
      </c>
      <c r="AF156" s="47">
        <v>2496351</v>
      </c>
      <c r="AG156" s="22"/>
    </row>
    <row r="157" spans="1:33" ht="10.5" customHeight="1" x14ac:dyDescent="0.15">
      <c r="A157" s="51" t="s">
        <v>98</v>
      </c>
      <c r="B157" s="41">
        <v>4</v>
      </c>
      <c r="C157" s="42">
        <v>246551</v>
      </c>
      <c r="D157" s="42">
        <v>774464</v>
      </c>
      <c r="E157" s="42">
        <v>772724</v>
      </c>
      <c r="F157" s="42">
        <v>772724</v>
      </c>
      <c r="G157" s="42">
        <v>3081890</v>
      </c>
      <c r="H157" s="43">
        <v>0.251</v>
      </c>
      <c r="I157" s="43">
        <v>0.251</v>
      </c>
      <c r="J157" s="43">
        <v>0.251</v>
      </c>
      <c r="K157" s="63">
        <v>0</v>
      </c>
      <c r="L157" s="43">
        <f>Tabelle1[[#This Row],[Spalte12]]-Tabelle1[[#This Row],[Spalte11]]</f>
        <v>7.3999999999999996E-2</v>
      </c>
      <c r="M157" s="43">
        <v>7.3999999999999996E-2</v>
      </c>
      <c r="N157" s="43">
        <v>0.09</v>
      </c>
      <c r="O157" s="43">
        <v>0.112</v>
      </c>
      <c r="P157" s="43">
        <v>7.6999999999999999E-2</v>
      </c>
      <c r="Q157" s="42">
        <v>10094794</v>
      </c>
      <c r="R157" s="44">
        <v>4.2699999999999996</v>
      </c>
      <c r="S157" s="42">
        <v>5370919</v>
      </c>
      <c r="T157" s="42">
        <v>1257940</v>
      </c>
      <c r="U157" s="44">
        <v>4.13</v>
      </c>
      <c r="V157" s="42">
        <v>5679964</v>
      </c>
      <c r="W157" s="42">
        <v>1375229</v>
      </c>
      <c r="X157" s="44">
        <v>3.92</v>
      </c>
      <c r="Y157" s="42">
        <v>5481473</v>
      </c>
      <c r="Z157" s="42">
        <v>1398027</v>
      </c>
      <c r="AA157" s="44">
        <v>4.6500000000000004</v>
      </c>
      <c r="AB157" s="42">
        <v>5204499</v>
      </c>
      <c r="AC157" s="42">
        <v>1119697</v>
      </c>
      <c r="AD157" s="40" t="s">
        <v>214</v>
      </c>
      <c r="AE157" s="40" t="s">
        <v>214</v>
      </c>
      <c r="AF157" s="40" t="s">
        <v>214</v>
      </c>
      <c r="AG157" s="22"/>
    </row>
    <row r="158" spans="1:33" ht="10.5" customHeight="1" x14ac:dyDescent="0.15">
      <c r="A158" s="52" t="s">
        <v>126</v>
      </c>
      <c r="B158" s="46">
        <v>5</v>
      </c>
      <c r="C158" s="47">
        <v>46089</v>
      </c>
      <c r="D158" s="47">
        <v>98904</v>
      </c>
      <c r="E158" s="47">
        <v>98904</v>
      </c>
      <c r="F158" s="47">
        <v>98904</v>
      </c>
      <c r="G158" s="47">
        <v>576107</v>
      </c>
      <c r="H158" s="48">
        <v>0.17199999999999999</v>
      </c>
      <c r="I158" s="48">
        <v>0.17199999999999999</v>
      </c>
      <c r="J158" s="48">
        <v>0.17199999999999999</v>
      </c>
      <c r="K158" s="64">
        <v>0</v>
      </c>
      <c r="L158" s="48">
        <f>Tabelle1[[#This Row],[Spalte12]]-Tabelle1[[#This Row],[Spalte11]]</f>
        <v>7.0000000000000007E-2</v>
      </c>
      <c r="M158" s="48">
        <v>7.0000000000000007E-2</v>
      </c>
      <c r="N158" s="48">
        <v>8.5000000000000006E-2</v>
      </c>
      <c r="O158" s="48">
        <v>0.105</v>
      </c>
      <c r="P158" s="48">
        <v>0.13100000000000001</v>
      </c>
      <c r="Q158" s="47">
        <v>752635</v>
      </c>
      <c r="R158" s="49">
        <v>3.61</v>
      </c>
      <c r="S158" s="47">
        <v>242436</v>
      </c>
      <c r="T158" s="47">
        <v>67087</v>
      </c>
      <c r="U158" s="49">
        <v>3.74</v>
      </c>
      <c r="V158" s="47">
        <v>193750</v>
      </c>
      <c r="W158" s="47">
        <v>51864</v>
      </c>
      <c r="X158" s="49">
        <v>3.67</v>
      </c>
      <c r="Y158" s="47">
        <v>196765</v>
      </c>
      <c r="Z158" s="47">
        <v>53677</v>
      </c>
      <c r="AA158" s="49">
        <v>3.53</v>
      </c>
      <c r="AB158" s="47">
        <v>171284</v>
      </c>
      <c r="AC158" s="47">
        <v>48547</v>
      </c>
      <c r="AD158" s="50">
        <v>2.1</v>
      </c>
      <c r="AE158" s="47">
        <v>452083</v>
      </c>
      <c r="AF158" s="47">
        <v>215003</v>
      </c>
      <c r="AG158" s="22"/>
    </row>
    <row r="159" spans="1:33" ht="10.5" customHeight="1" x14ac:dyDescent="0.15">
      <c r="A159" s="51" t="s">
        <v>188</v>
      </c>
      <c r="B159" s="41">
        <v>5</v>
      </c>
      <c r="C159" s="42">
        <v>2351</v>
      </c>
      <c r="D159" s="42">
        <v>63056</v>
      </c>
      <c r="E159" s="42">
        <v>63056</v>
      </c>
      <c r="F159" s="42">
        <v>63056</v>
      </c>
      <c r="G159" s="42">
        <v>29384</v>
      </c>
      <c r="H159" s="43">
        <v>2.1459999999999999</v>
      </c>
      <c r="I159" s="43">
        <v>2.1459999999999999</v>
      </c>
      <c r="J159" s="43">
        <v>2.1459999999999999</v>
      </c>
      <c r="K159" s="63">
        <v>0</v>
      </c>
      <c r="L159" s="43">
        <f>Tabelle1[[#This Row],[Spalte12]]-Tabelle1[[#This Row],[Spalte11]]</f>
        <v>7.0000000000000007E-2</v>
      </c>
      <c r="M159" s="43">
        <v>7.0000000000000007E-2</v>
      </c>
      <c r="N159" s="43">
        <v>8.5000000000000006E-2</v>
      </c>
      <c r="O159" s="43">
        <v>0.105</v>
      </c>
      <c r="P159" s="43">
        <v>0.93400000000000005</v>
      </c>
      <c r="Q159" s="42">
        <v>67483</v>
      </c>
      <c r="R159" s="44">
        <v>46.99</v>
      </c>
      <c r="S159" s="42">
        <v>21269</v>
      </c>
      <c r="T159" s="42">
        <v>453</v>
      </c>
      <c r="U159" s="44">
        <v>123.29</v>
      </c>
      <c r="V159" s="42">
        <v>56219</v>
      </c>
      <c r="W159" s="42">
        <v>456</v>
      </c>
      <c r="X159" s="44">
        <v>148.80000000000001</v>
      </c>
      <c r="Y159" s="42">
        <v>56447</v>
      </c>
      <c r="Z159" s="42">
        <v>379</v>
      </c>
      <c r="AA159" s="44">
        <v>71.86</v>
      </c>
      <c r="AB159" s="42">
        <v>56720</v>
      </c>
      <c r="AC159" s="42">
        <v>789</v>
      </c>
      <c r="AD159" s="45">
        <v>15.21</v>
      </c>
      <c r="AE159" s="42">
        <v>63645</v>
      </c>
      <c r="AF159" s="42">
        <v>4184</v>
      </c>
      <c r="AG159" s="22"/>
    </row>
    <row r="160" spans="1:33" ht="10.5" customHeight="1" x14ac:dyDescent="0.15">
      <c r="A160" s="52" t="s">
        <v>87</v>
      </c>
      <c r="B160" s="46">
        <v>5</v>
      </c>
      <c r="C160" s="47">
        <v>13566</v>
      </c>
      <c r="D160" s="47">
        <v>31001</v>
      </c>
      <c r="E160" s="47">
        <v>31001</v>
      </c>
      <c r="F160" s="47">
        <v>31001</v>
      </c>
      <c r="G160" s="47">
        <v>169581</v>
      </c>
      <c r="H160" s="48">
        <v>0.183</v>
      </c>
      <c r="I160" s="48">
        <v>0.183</v>
      </c>
      <c r="J160" s="48">
        <v>0.183</v>
      </c>
      <c r="K160" s="64">
        <v>4.0000000000000001E-3</v>
      </c>
      <c r="L160" s="48">
        <f>Tabelle1[[#This Row],[Spalte12]]-Tabelle1[[#This Row],[Spalte11]]</f>
        <v>6.9999999999999993E-2</v>
      </c>
      <c r="M160" s="48">
        <v>7.3999999999999996E-2</v>
      </c>
      <c r="N160" s="48">
        <v>8.8999999999999996E-2</v>
      </c>
      <c r="O160" s="48">
        <v>0.109</v>
      </c>
      <c r="P160" s="48">
        <v>0.112</v>
      </c>
      <c r="Q160" s="47">
        <v>277353</v>
      </c>
      <c r="R160" s="49">
        <v>4.13</v>
      </c>
      <c r="S160" s="47">
        <v>50995</v>
      </c>
      <c r="T160" s="47">
        <v>12362</v>
      </c>
      <c r="U160" s="49">
        <v>4.28</v>
      </c>
      <c r="V160" s="47">
        <v>58037</v>
      </c>
      <c r="W160" s="47">
        <v>13563</v>
      </c>
      <c r="X160" s="49">
        <v>4</v>
      </c>
      <c r="Y160" s="47">
        <v>53772</v>
      </c>
      <c r="Z160" s="47">
        <v>13444</v>
      </c>
      <c r="AA160" s="49">
        <v>4.49</v>
      </c>
      <c r="AB160" s="47">
        <v>65324</v>
      </c>
      <c r="AC160" s="47">
        <v>14539</v>
      </c>
      <c r="AD160" s="50">
        <v>1.63</v>
      </c>
      <c r="AE160" s="47">
        <v>160587</v>
      </c>
      <c r="AF160" s="47">
        <v>98393</v>
      </c>
      <c r="AG160" s="22"/>
    </row>
    <row r="161" spans="1:33" ht="10.5" customHeight="1" x14ac:dyDescent="0.15">
      <c r="A161" s="51" t="s">
        <v>17</v>
      </c>
      <c r="B161" s="41">
        <v>3</v>
      </c>
      <c r="C161" s="42">
        <v>1109472</v>
      </c>
      <c r="D161" s="42">
        <v>2678375</v>
      </c>
      <c r="E161" s="42">
        <v>2625369</v>
      </c>
      <c r="F161" s="42">
        <v>2625369</v>
      </c>
      <c r="G161" s="42">
        <v>13868401</v>
      </c>
      <c r="H161" s="43">
        <v>0.189</v>
      </c>
      <c r="I161" s="43">
        <v>0.189</v>
      </c>
      <c r="J161" s="43">
        <v>0.193</v>
      </c>
      <c r="K161" s="63">
        <v>1.2999999999999999E-2</v>
      </c>
      <c r="L161" s="43">
        <f>Tabelle1[[#This Row],[Spalte12]]-Tabelle1[[#This Row],[Spalte11]]</f>
        <v>7.8E-2</v>
      </c>
      <c r="M161" s="43">
        <v>9.0999999999999998E-2</v>
      </c>
      <c r="N161" s="43">
        <v>0.109</v>
      </c>
      <c r="O161" s="43">
        <v>0.13300000000000001</v>
      </c>
      <c r="P161" s="43">
        <v>7.8E-2</v>
      </c>
      <c r="Q161" s="42">
        <v>33609290</v>
      </c>
      <c r="R161" s="44">
        <v>1.4</v>
      </c>
      <c r="S161" s="42">
        <v>6739739</v>
      </c>
      <c r="T161" s="42">
        <v>4823048</v>
      </c>
      <c r="U161" s="44">
        <v>1.51</v>
      </c>
      <c r="V161" s="42">
        <v>6017995</v>
      </c>
      <c r="W161" s="42">
        <v>3987277</v>
      </c>
      <c r="X161" s="44">
        <v>1.43</v>
      </c>
      <c r="Y161" s="42">
        <v>5278504</v>
      </c>
      <c r="Z161" s="42">
        <v>3700317</v>
      </c>
      <c r="AA161" s="44">
        <v>1.41</v>
      </c>
      <c r="AB161" s="42">
        <v>4843072</v>
      </c>
      <c r="AC161" s="42">
        <v>3441052</v>
      </c>
      <c r="AD161" s="45">
        <v>1.33</v>
      </c>
      <c r="AE161" s="42">
        <v>26026758</v>
      </c>
      <c r="AF161" s="42">
        <v>19554429</v>
      </c>
      <c r="AG161" s="22"/>
    </row>
    <row r="162" spans="1:33" ht="10.5" customHeight="1" x14ac:dyDescent="0.15">
      <c r="A162" s="52" t="s">
        <v>208</v>
      </c>
      <c r="B162" s="46">
        <v>5</v>
      </c>
      <c r="C162" s="47">
        <v>38207</v>
      </c>
      <c r="D162" s="47">
        <v>503195</v>
      </c>
      <c r="E162" s="47">
        <v>503195</v>
      </c>
      <c r="F162" s="47">
        <v>503195</v>
      </c>
      <c r="G162" s="47">
        <v>477591</v>
      </c>
      <c r="H162" s="48">
        <v>1.054</v>
      </c>
      <c r="I162" s="48">
        <v>1.054</v>
      </c>
      <c r="J162" s="48">
        <v>1.054</v>
      </c>
      <c r="K162" s="64">
        <v>0</v>
      </c>
      <c r="L162" s="48">
        <f>Tabelle1[[#This Row],[Spalte12]]-Tabelle1[[#This Row],[Spalte11]]</f>
        <v>7.0000000000000007E-2</v>
      </c>
      <c r="M162" s="48">
        <v>7.0000000000000007E-2</v>
      </c>
      <c r="N162" s="48">
        <v>8.5000000000000006E-2</v>
      </c>
      <c r="O162" s="48">
        <v>0.105</v>
      </c>
      <c r="P162" s="48">
        <v>0.745</v>
      </c>
      <c r="Q162" s="47">
        <v>675235</v>
      </c>
      <c r="R162" s="49">
        <v>4.2300000000000004</v>
      </c>
      <c r="S162" s="47">
        <v>351358</v>
      </c>
      <c r="T162" s="47">
        <v>83030</v>
      </c>
      <c r="U162" s="49">
        <v>3.53</v>
      </c>
      <c r="V162" s="47">
        <v>311008</v>
      </c>
      <c r="W162" s="47">
        <v>88022</v>
      </c>
      <c r="X162" s="49">
        <v>4.2699999999999996</v>
      </c>
      <c r="Y162" s="47">
        <v>293446</v>
      </c>
      <c r="Z162" s="47">
        <v>68771</v>
      </c>
      <c r="AA162" s="49">
        <v>5.63</v>
      </c>
      <c r="AB162" s="47">
        <v>299610</v>
      </c>
      <c r="AC162" s="47">
        <v>53221</v>
      </c>
      <c r="AD162" s="50">
        <v>2.2999999999999998</v>
      </c>
      <c r="AE162" s="47">
        <v>632104</v>
      </c>
      <c r="AF162" s="47">
        <v>275335</v>
      </c>
      <c r="AG162" s="22"/>
    </row>
    <row r="163" spans="1:33" ht="10.5" customHeight="1" x14ac:dyDescent="0.15">
      <c r="A163" s="51" t="s">
        <v>74</v>
      </c>
      <c r="B163" s="41">
        <v>3</v>
      </c>
      <c r="C163" s="42">
        <v>646537</v>
      </c>
      <c r="D163" s="42">
        <v>2334419</v>
      </c>
      <c r="E163" s="42">
        <v>2330419</v>
      </c>
      <c r="F163" s="42">
        <v>2330419</v>
      </c>
      <c r="G163" s="42">
        <v>8081714</v>
      </c>
      <c r="H163" s="43">
        <v>0.28799999999999998</v>
      </c>
      <c r="I163" s="43">
        <v>0.28799999999999998</v>
      </c>
      <c r="J163" s="43">
        <v>0.28899999999999998</v>
      </c>
      <c r="K163" s="63">
        <v>0</v>
      </c>
      <c r="L163" s="43">
        <f>Tabelle1[[#This Row],[Spalte12]]-Tabelle1[[#This Row],[Spalte11]]</f>
        <v>7.8E-2</v>
      </c>
      <c r="M163" s="43">
        <v>7.8E-2</v>
      </c>
      <c r="N163" s="43">
        <v>9.6000000000000002E-2</v>
      </c>
      <c r="O163" s="43">
        <v>0.12</v>
      </c>
      <c r="P163" s="43">
        <v>6.2E-2</v>
      </c>
      <c r="Q163" s="42">
        <v>37371048</v>
      </c>
      <c r="R163" s="44">
        <v>3.07</v>
      </c>
      <c r="S163" s="42">
        <v>13096191</v>
      </c>
      <c r="T163" s="42">
        <v>4269402</v>
      </c>
      <c r="U163" s="44">
        <v>2.79</v>
      </c>
      <c r="V163" s="42">
        <v>12992094</v>
      </c>
      <c r="W163" s="42">
        <v>4655302</v>
      </c>
      <c r="X163" s="44">
        <v>2.85</v>
      </c>
      <c r="Y163" s="42">
        <v>13230023</v>
      </c>
      <c r="Z163" s="42">
        <v>4642498</v>
      </c>
      <c r="AA163" s="44">
        <v>3.21</v>
      </c>
      <c r="AB163" s="42">
        <v>13610559</v>
      </c>
      <c r="AC163" s="42">
        <v>4234474</v>
      </c>
      <c r="AD163" s="45">
        <v>1.87</v>
      </c>
      <c r="AE163" s="42">
        <v>21104125</v>
      </c>
      <c r="AF163" s="42">
        <v>11276655</v>
      </c>
      <c r="AG163" s="22"/>
    </row>
    <row r="164" spans="1:33" ht="10.5" customHeight="1" x14ac:dyDescent="0.15">
      <c r="A164" s="52" t="s">
        <v>7</v>
      </c>
      <c r="B164" s="46">
        <v>4</v>
      </c>
      <c r="C164" s="47">
        <v>139718</v>
      </c>
      <c r="D164" s="47">
        <v>349356</v>
      </c>
      <c r="E164" s="47">
        <v>342071</v>
      </c>
      <c r="F164" s="47">
        <v>342071</v>
      </c>
      <c r="G164" s="47">
        <v>1746470</v>
      </c>
      <c r="H164" s="48">
        <v>0.19600000000000001</v>
      </c>
      <c r="I164" s="48">
        <v>0.19600000000000001</v>
      </c>
      <c r="J164" s="48">
        <v>0.2</v>
      </c>
      <c r="K164" s="64">
        <v>1.2E-2</v>
      </c>
      <c r="L164" s="48">
        <f>Tabelle1[[#This Row],[Spalte12]]-Tabelle1[[#This Row],[Spalte11]]</f>
        <v>7.3999999999999996E-2</v>
      </c>
      <c r="M164" s="48">
        <v>8.5999999999999993E-2</v>
      </c>
      <c r="N164" s="48">
        <v>0.10199999999999999</v>
      </c>
      <c r="O164" s="48">
        <v>0.124</v>
      </c>
      <c r="P164" s="48">
        <v>9.2999999999999999E-2</v>
      </c>
      <c r="Q164" s="47">
        <v>3663827</v>
      </c>
      <c r="R164" s="49">
        <v>1.61</v>
      </c>
      <c r="S164" s="47">
        <v>457423</v>
      </c>
      <c r="T164" s="47">
        <v>283276</v>
      </c>
      <c r="U164" s="49">
        <v>1.59</v>
      </c>
      <c r="V164" s="47">
        <v>410534</v>
      </c>
      <c r="W164" s="47">
        <v>258694</v>
      </c>
      <c r="X164" s="49">
        <v>1.41</v>
      </c>
      <c r="Y164" s="47">
        <v>366923</v>
      </c>
      <c r="Z164" s="47">
        <v>260475</v>
      </c>
      <c r="AA164" s="49">
        <v>1.39</v>
      </c>
      <c r="AB164" s="47">
        <v>334260</v>
      </c>
      <c r="AC164" s="47">
        <v>240708</v>
      </c>
      <c r="AD164" s="50">
        <v>1.24</v>
      </c>
      <c r="AE164" s="47">
        <v>3032477</v>
      </c>
      <c r="AF164" s="47">
        <v>2446331</v>
      </c>
      <c r="AG164" s="22"/>
    </row>
    <row r="165" spans="1:33" ht="10.5" customHeight="1" x14ac:dyDescent="0.15">
      <c r="A165" s="51" t="s">
        <v>2</v>
      </c>
      <c r="B165" s="41">
        <v>3</v>
      </c>
      <c r="C165" s="42">
        <v>1211208</v>
      </c>
      <c r="D165" s="42">
        <v>2419041</v>
      </c>
      <c r="E165" s="42">
        <v>2418253</v>
      </c>
      <c r="F165" s="42">
        <v>2418253</v>
      </c>
      <c r="G165" s="42">
        <v>15140095</v>
      </c>
      <c r="H165" s="43">
        <v>0.16</v>
      </c>
      <c r="I165" s="43">
        <v>0.16</v>
      </c>
      <c r="J165" s="43">
        <v>0.16</v>
      </c>
      <c r="K165" s="63">
        <v>1.6E-2</v>
      </c>
      <c r="L165" s="43">
        <f>Tabelle1[[#This Row],[Spalte12]]-Tabelle1[[#This Row],[Spalte11]]</f>
        <v>7.8E-2</v>
      </c>
      <c r="M165" s="43">
        <v>9.4E-2</v>
      </c>
      <c r="N165" s="43">
        <v>0.112</v>
      </c>
      <c r="O165" s="43">
        <v>0.13600000000000001</v>
      </c>
      <c r="P165" s="43">
        <v>6.6000000000000003E-2</v>
      </c>
      <c r="Q165" s="42">
        <v>36574340</v>
      </c>
      <c r="R165" s="44">
        <v>1.31</v>
      </c>
      <c r="S165" s="42">
        <v>6813279</v>
      </c>
      <c r="T165" s="42">
        <v>5200871</v>
      </c>
      <c r="U165" s="44">
        <v>1.36</v>
      </c>
      <c r="V165" s="42">
        <v>5966618</v>
      </c>
      <c r="W165" s="42">
        <v>4397288</v>
      </c>
      <c r="X165" s="44">
        <v>1.34</v>
      </c>
      <c r="Y165" s="42">
        <v>5828799</v>
      </c>
      <c r="Z165" s="42">
        <v>4360426</v>
      </c>
      <c r="AA165" s="44">
        <v>1.35</v>
      </c>
      <c r="AB165" s="42">
        <v>5335663</v>
      </c>
      <c r="AC165" s="42">
        <v>3944614</v>
      </c>
      <c r="AD165" s="45">
        <v>1.1200000000000001</v>
      </c>
      <c r="AE165" s="42">
        <v>28664209</v>
      </c>
      <c r="AF165" s="42">
        <v>25563438</v>
      </c>
      <c r="AG165" s="22"/>
    </row>
    <row r="166" spans="1:33" ht="10.5" customHeight="1" x14ac:dyDescent="0.15">
      <c r="A166" s="52" t="s">
        <v>91</v>
      </c>
      <c r="B166" s="46">
        <v>3</v>
      </c>
      <c r="C166" s="47">
        <v>1221471</v>
      </c>
      <c r="D166" s="47">
        <v>2484583</v>
      </c>
      <c r="E166" s="47">
        <v>2483795</v>
      </c>
      <c r="F166" s="47">
        <v>2483795</v>
      </c>
      <c r="G166" s="47">
        <v>15268390</v>
      </c>
      <c r="H166" s="48">
        <v>0.16300000000000001</v>
      </c>
      <c r="I166" s="48">
        <v>0.16300000000000001</v>
      </c>
      <c r="J166" s="48">
        <v>0.16300000000000001</v>
      </c>
      <c r="K166" s="64">
        <v>1.6E-2</v>
      </c>
      <c r="L166" s="48">
        <f>Tabelle1[[#This Row],[Spalte12]]-Tabelle1[[#This Row],[Spalte11]]</f>
        <v>7.8E-2</v>
      </c>
      <c r="M166" s="48">
        <v>9.4E-2</v>
      </c>
      <c r="N166" s="48">
        <v>0.112</v>
      </c>
      <c r="O166" s="48">
        <v>0.13600000000000001</v>
      </c>
      <c r="P166" s="48">
        <v>6.5000000000000002E-2</v>
      </c>
      <c r="Q166" s="47">
        <v>38174275</v>
      </c>
      <c r="R166" s="39" t="s">
        <v>214</v>
      </c>
      <c r="S166" s="39" t="s">
        <v>214</v>
      </c>
      <c r="T166" s="39" t="s">
        <v>214</v>
      </c>
      <c r="U166" s="39" t="s">
        <v>214</v>
      </c>
      <c r="V166" s="39" t="s">
        <v>214</v>
      </c>
      <c r="W166" s="39" t="s">
        <v>214</v>
      </c>
      <c r="X166" s="39" t="s">
        <v>214</v>
      </c>
      <c r="Y166" s="39" t="s">
        <v>214</v>
      </c>
      <c r="Z166" s="39" t="s">
        <v>214</v>
      </c>
      <c r="AA166" s="39" t="s">
        <v>214</v>
      </c>
      <c r="AB166" s="39" t="s">
        <v>214</v>
      </c>
      <c r="AC166" s="39" t="s">
        <v>214</v>
      </c>
      <c r="AD166" s="39" t="s">
        <v>214</v>
      </c>
      <c r="AE166" s="39" t="s">
        <v>214</v>
      </c>
      <c r="AF166" s="39" t="s">
        <v>214</v>
      </c>
      <c r="AG166" s="22"/>
    </row>
    <row r="167" spans="1:33" ht="10.5" customHeight="1" x14ac:dyDescent="0.15">
      <c r="A167" s="51" t="s">
        <v>227</v>
      </c>
      <c r="B167" s="41">
        <v>5</v>
      </c>
      <c r="C167" s="42">
        <v>6099</v>
      </c>
      <c r="D167" s="42">
        <v>27077</v>
      </c>
      <c r="E167" s="42">
        <v>27077</v>
      </c>
      <c r="F167" s="42">
        <v>27077</v>
      </c>
      <c r="G167" s="42">
        <v>76237</v>
      </c>
      <c r="H167" s="43">
        <v>0.35499999999999998</v>
      </c>
      <c r="I167" s="43">
        <v>0.35499999999999998</v>
      </c>
      <c r="J167" s="43">
        <v>0.35499999999999998</v>
      </c>
      <c r="K167" s="63">
        <v>0</v>
      </c>
      <c r="L167" s="43">
        <f>Tabelle1[[#This Row],[Spalte12]]-Tabelle1[[#This Row],[Spalte11]]</f>
        <v>7.0000000000000007E-2</v>
      </c>
      <c r="M167" s="43">
        <v>7.0000000000000007E-2</v>
      </c>
      <c r="N167" s="43">
        <v>8.5000000000000006E-2</v>
      </c>
      <c r="O167" s="43">
        <v>0.105</v>
      </c>
      <c r="P167" s="43">
        <v>6.9000000000000006E-2</v>
      </c>
      <c r="Q167" s="42">
        <v>393535</v>
      </c>
      <c r="R167" s="44">
        <v>2.67</v>
      </c>
      <c r="S167" s="42">
        <v>59063</v>
      </c>
      <c r="T167" s="42">
        <v>22097</v>
      </c>
      <c r="U167" s="44">
        <v>2.99</v>
      </c>
      <c r="V167" s="42">
        <v>59223</v>
      </c>
      <c r="W167" s="42">
        <v>19838</v>
      </c>
      <c r="X167" s="44">
        <v>2.52</v>
      </c>
      <c r="Y167" s="42">
        <v>59702</v>
      </c>
      <c r="Z167" s="42">
        <v>23645</v>
      </c>
      <c r="AA167" s="44">
        <v>2.84</v>
      </c>
      <c r="AB167" s="42">
        <v>62733</v>
      </c>
      <c r="AC167" s="42">
        <v>22097</v>
      </c>
      <c r="AD167" s="45">
        <v>1.23</v>
      </c>
      <c r="AE167" s="42">
        <v>127404</v>
      </c>
      <c r="AF167" s="42">
        <v>103952</v>
      </c>
      <c r="AG167" s="22"/>
    </row>
    <row r="168" spans="1:33" ht="10.5" customHeight="1" x14ac:dyDescent="0.15">
      <c r="A168" s="52" t="s">
        <v>90</v>
      </c>
      <c r="B168" s="46">
        <v>3</v>
      </c>
      <c r="C168" s="47">
        <v>521912</v>
      </c>
      <c r="D168" s="47">
        <v>1552333</v>
      </c>
      <c r="E168" s="47">
        <v>1220136</v>
      </c>
      <c r="F168" s="47">
        <v>1552333</v>
      </c>
      <c r="G168" s="47">
        <v>6523903</v>
      </c>
      <c r="H168" s="48">
        <v>0.187</v>
      </c>
      <c r="I168" s="48">
        <v>0.23799999999999999</v>
      </c>
      <c r="J168" s="48">
        <v>0.23799999999999999</v>
      </c>
      <c r="K168" s="64">
        <v>2E-3</v>
      </c>
      <c r="L168" s="48">
        <f>Tabelle1[[#This Row],[Spalte12]]-Tabelle1[[#This Row],[Spalte11]]</f>
        <v>7.8E-2</v>
      </c>
      <c r="M168" s="48">
        <v>0.08</v>
      </c>
      <c r="N168" s="48">
        <v>9.8000000000000004E-2</v>
      </c>
      <c r="O168" s="48">
        <v>0.122</v>
      </c>
      <c r="P168" s="48">
        <v>5.3999999999999999E-2</v>
      </c>
      <c r="Q168" s="47">
        <v>28931873</v>
      </c>
      <c r="R168" s="49">
        <v>1.78</v>
      </c>
      <c r="S168" s="47">
        <v>9899019</v>
      </c>
      <c r="T168" s="47">
        <v>5576004</v>
      </c>
      <c r="U168" s="49">
        <v>1.79</v>
      </c>
      <c r="V168" s="47">
        <v>9613360</v>
      </c>
      <c r="W168" s="47">
        <v>5366717</v>
      </c>
      <c r="X168" s="49">
        <v>1.99</v>
      </c>
      <c r="Y168" s="47">
        <v>9768761</v>
      </c>
      <c r="Z168" s="47">
        <v>4897240</v>
      </c>
      <c r="AA168" s="49">
        <v>2.1800000000000002</v>
      </c>
      <c r="AB168" s="47">
        <v>9670106</v>
      </c>
      <c r="AC168" s="47">
        <v>4426009</v>
      </c>
      <c r="AD168" s="50">
        <v>1.1399999999999999</v>
      </c>
      <c r="AE168" s="47">
        <v>14136395</v>
      </c>
      <c r="AF168" s="47">
        <v>12404092</v>
      </c>
      <c r="AG168" s="22"/>
    </row>
    <row r="169" spans="1:33" ht="10.5" customHeight="1" x14ac:dyDescent="0.15">
      <c r="A169" s="51" t="s">
        <v>39</v>
      </c>
      <c r="B169" s="41">
        <v>4</v>
      </c>
      <c r="C169" s="42">
        <v>29329</v>
      </c>
      <c r="D169" s="42">
        <v>119550</v>
      </c>
      <c r="E169" s="42">
        <v>119550</v>
      </c>
      <c r="F169" s="42">
        <v>119550</v>
      </c>
      <c r="G169" s="42">
        <v>366612</v>
      </c>
      <c r="H169" s="43">
        <v>0.32600000000000001</v>
      </c>
      <c r="I169" s="43">
        <v>0.32600000000000001</v>
      </c>
      <c r="J169" s="43">
        <v>0.32600000000000001</v>
      </c>
      <c r="K169" s="63">
        <v>0</v>
      </c>
      <c r="L169" s="43">
        <f>Tabelle1[[#This Row],[Spalte12]]-Tabelle1[[#This Row],[Spalte11]]</f>
        <v>7.3999999999999996E-2</v>
      </c>
      <c r="M169" s="43">
        <v>7.3999999999999996E-2</v>
      </c>
      <c r="N169" s="43">
        <v>0.09</v>
      </c>
      <c r="O169" s="43">
        <v>0.112</v>
      </c>
      <c r="P169" s="43">
        <v>8.5999999999999993E-2</v>
      </c>
      <c r="Q169" s="42">
        <v>1383994</v>
      </c>
      <c r="R169" s="44">
        <v>2.36</v>
      </c>
      <c r="S169" s="42">
        <v>309877</v>
      </c>
      <c r="T169" s="42">
        <v>131099</v>
      </c>
      <c r="U169" s="44">
        <v>2.5299999999999998</v>
      </c>
      <c r="V169" s="42">
        <v>287277</v>
      </c>
      <c r="W169" s="42">
        <v>113626</v>
      </c>
      <c r="X169" s="44">
        <v>2.59</v>
      </c>
      <c r="Y169" s="42">
        <v>287903</v>
      </c>
      <c r="Z169" s="42">
        <v>110998</v>
      </c>
      <c r="AA169" s="44">
        <v>3.4</v>
      </c>
      <c r="AB169" s="42">
        <v>347601</v>
      </c>
      <c r="AC169" s="42">
        <v>102323</v>
      </c>
      <c r="AD169" s="45">
        <v>2.6</v>
      </c>
      <c r="AE169" s="42">
        <v>883583</v>
      </c>
      <c r="AF169" s="42">
        <v>340053</v>
      </c>
      <c r="AG169" s="22"/>
    </row>
    <row r="170" spans="1:33" ht="10.5" customHeight="1" x14ac:dyDescent="0.15">
      <c r="A170" s="52" t="s">
        <v>109</v>
      </c>
      <c r="B170" s="46">
        <v>4</v>
      </c>
      <c r="C170" s="47">
        <v>188268</v>
      </c>
      <c r="D170" s="47">
        <v>547180</v>
      </c>
      <c r="E170" s="47">
        <v>547180</v>
      </c>
      <c r="F170" s="47">
        <v>547180</v>
      </c>
      <c r="G170" s="47">
        <v>2353355</v>
      </c>
      <c r="H170" s="48">
        <v>0.23300000000000001</v>
      </c>
      <c r="I170" s="48">
        <v>0.23300000000000001</v>
      </c>
      <c r="J170" s="48">
        <v>0.23300000000000001</v>
      </c>
      <c r="K170" s="64">
        <v>1.4E-2</v>
      </c>
      <c r="L170" s="48">
        <f>Tabelle1[[#This Row],[Spalte12]]-Tabelle1[[#This Row],[Spalte11]]</f>
        <v>7.3999999999999996E-2</v>
      </c>
      <c r="M170" s="48">
        <v>8.7999999999999995E-2</v>
      </c>
      <c r="N170" s="48">
        <v>0.104</v>
      </c>
      <c r="O170" s="48">
        <v>0.126</v>
      </c>
      <c r="P170" s="48">
        <v>8.7999999999999995E-2</v>
      </c>
      <c r="Q170" s="47">
        <v>6190602</v>
      </c>
      <c r="R170" s="49">
        <v>1.79</v>
      </c>
      <c r="S170" s="47">
        <v>1325591</v>
      </c>
      <c r="T170" s="47">
        <v>739253</v>
      </c>
      <c r="U170" s="49">
        <v>2.0699999999999998</v>
      </c>
      <c r="V170" s="47">
        <v>1448303</v>
      </c>
      <c r="W170" s="47">
        <v>700030</v>
      </c>
      <c r="X170" s="49">
        <v>2.35</v>
      </c>
      <c r="Y170" s="47">
        <v>1495320</v>
      </c>
      <c r="Z170" s="47">
        <v>636927</v>
      </c>
      <c r="AA170" s="49">
        <v>2.33</v>
      </c>
      <c r="AB170" s="47">
        <v>1471132</v>
      </c>
      <c r="AC170" s="47">
        <v>630283</v>
      </c>
      <c r="AD170" s="50">
        <v>1.64</v>
      </c>
      <c r="AE170" s="47">
        <v>5082361</v>
      </c>
      <c r="AF170" s="47">
        <v>3095264</v>
      </c>
      <c r="AG170" s="22"/>
    </row>
    <row r="171" spans="1:33" ht="10.5" customHeight="1" x14ac:dyDescent="0.15">
      <c r="A171" s="51" t="s">
        <v>112</v>
      </c>
      <c r="B171" s="41">
        <v>4</v>
      </c>
      <c r="C171" s="42">
        <v>239770</v>
      </c>
      <c r="D171" s="42">
        <v>700470</v>
      </c>
      <c r="E171" s="42">
        <v>700470</v>
      </c>
      <c r="F171" s="42">
        <v>700470</v>
      </c>
      <c r="G171" s="42">
        <v>2997122</v>
      </c>
      <c r="H171" s="43">
        <v>0.23400000000000001</v>
      </c>
      <c r="I171" s="43">
        <v>0.23400000000000001</v>
      </c>
      <c r="J171" s="43">
        <v>0.23400000000000001</v>
      </c>
      <c r="K171" s="63">
        <v>1.0999999999999999E-2</v>
      </c>
      <c r="L171" s="43">
        <f>Tabelle1[[#This Row],[Spalte12]]-Tabelle1[[#This Row],[Spalte11]]</f>
        <v>7.400000000000001E-2</v>
      </c>
      <c r="M171" s="43">
        <v>8.5000000000000006E-2</v>
      </c>
      <c r="N171" s="43">
        <v>0.10100000000000001</v>
      </c>
      <c r="O171" s="43">
        <v>0.123</v>
      </c>
      <c r="P171" s="43">
        <v>0.107</v>
      </c>
      <c r="Q171" s="42">
        <v>6546424</v>
      </c>
      <c r="R171" s="40" t="s">
        <v>214</v>
      </c>
      <c r="S171" s="40" t="s">
        <v>214</v>
      </c>
      <c r="T171" s="40" t="s">
        <v>214</v>
      </c>
      <c r="U171" s="40" t="s">
        <v>214</v>
      </c>
      <c r="V171" s="40" t="s">
        <v>214</v>
      </c>
      <c r="W171" s="40" t="s">
        <v>214</v>
      </c>
      <c r="X171" s="40" t="s">
        <v>214</v>
      </c>
      <c r="Y171" s="40" t="s">
        <v>214</v>
      </c>
      <c r="Z171" s="40" t="s">
        <v>214</v>
      </c>
      <c r="AA171" s="40" t="s">
        <v>214</v>
      </c>
      <c r="AB171" s="40" t="s">
        <v>214</v>
      </c>
      <c r="AC171" s="40" t="s">
        <v>214</v>
      </c>
      <c r="AD171" s="40" t="s">
        <v>214</v>
      </c>
      <c r="AE171" s="40" t="s">
        <v>214</v>
      </c>
      <c r="AF171" s="40" t="s">
        <v>214</v>
      </c>
      <c r="AG171" s="22"/>
    </row>
    <row r="172" spans="1:33" ht="10.5" customHeight="1" x14ac:dyDescent="0.15">
      <c r="A172" s="52" t="s">
        <v>63</v>
      </c>
      <c r="B172" s="46">
        <v>4</v>
      </c>
      <c r="C172" s="47">
        <v>299481</v>
      </c>
      <c r="D172" s="47">
        <v>576549</v>
      </c>
      <c r="E172" s="47">
        <v>558921</v>
      </c>
      <c r="F172" s="47">
        <v>558921</v>
      </c>
      <c r="G172" s="47">
        <v>3743515</v>
      </c>
      <c r="H172" s="48">
        <v>0.14899999999999999</v>
      </c>
      <c r="I172" s="48">
        <v>0.14899999999999999</v>
      </c>
      <c r="J172" s="48">
        <v>0.154</v>
      </c>
      <c r="K172" s="64">
        <v>0.01</v>
      </c>
      <c r="L172" s="48">
        <f>Tabelle1[[#This Row],[Spalte12]]-Tabelle1[[#This Row],[Spalte11]]</f>
        <v>7.400000000000001E-2</v>
      </c>
      <c r="M172" s="48">
        <v>8.4000000000000005E-2</v>
      </c>
      <c r="N172" s="48">
        <v>0.1</v>
      </c>
      <c r="O172" s="48">
        <v>0.122</v>
      </c>
      <c r="P172" s="48">
        <v>8.8999999999999996E-2</v>
      </c>
      <c r="Q172" s="47">
        <v>6270018</v>
      </c>
      <c r="R172" s="49">
        <v>1.9</v>
      </c>
      <c r="S172" s="47">
        <v>477077</v>
      </c>
      <c r="T172" s="47">
        <v>251308</v>
      </c>
      <c r="U172" s="49">
        <v>2.0099999999999998</v>
      </c>
      <c r="V172" s="47">
        <v>610590</v>
      </c>
      <c r="W172" s="47">
        <v>303237</v>
      </c>
      <c r="X172" s="49">
        <v>1.91</v>
      </c>
      <c r="Y172" s="47">
        <v>501768</v>
      </c>
      <c r="Z172" s="47">
        <v>262853</v>
      </c>
      <c r="AA172" s="49">
        <v>1.71</v>
      </c>
      <c r="AB172" s="47">
        <v>400606</v>
      </c>
      <c r="AC172" s="47">
        <v>233700</v>
      </c>
      <c r="AD172" s="50">
        <v>1.1499999999999999</v>
      </c>
      <c r="AE172" s="47">
        <v>4692431</v>
      </c>
      <c r="AF172" s="47">
        <v>4096811</v>
      </c>
      <c r="AG172" s="22"/>
    </row>
    <row r="173" spans="1:33" ht="10.5" customHeight="1" x14ac:dyDescent="0.15">
      <c r="A173" s="51" t="s">
        <v>29</v>
      </c>
      <c r="B173" s="41">
        <v>3</v>
      </c>
      <c r="C173" s="42">
        <v>638178</v>
      </c>
      <c r="D173" s="42">
        <v>1448751</v>
      </c>
      <c r="E173" s="42">
        <v>1385524</v>
      </c>
      <c r="F173" s="42">
        <v>1385524</v>
      </c>
      <c r="G173" s="42">
        <v>7977229</v>
      </c>
      <c r="H173" s="43">
        <v>0.17399999999999999</v>
      </c>
      <c r="I173" s="43">
        <v>0.17399999999999999</v>
      </c>
      <c r="J173" s="43">
        <v>0.182</v>
      </c>
      <c r="K173" s="63">
        <v>1.4E-2</v>
      </c>
      <c r="L173" s="43">
        <f>Tabelle1[[#This Row],[Spalte12]]-Tabelle1[[#This Row],[Spalte11]]</f>
        <v>7.8E-2</v>
      </c>
      <c r="M173" s="43">
        <v>9.1999999999999998E-2</v>
      </c>
      <c r="N173" s="43">
        <v>0.11</v>
      </c>
      <c r="O173" s="43">
        <v>0.13400000000000001</v>
      </c>
      <c r="P173" s="43">
        <v>7.1999999999999995E-2</v>
      </c>
      <c r="Q173" s="42">
        <v>19211388</v>
      </c>
      <c r="R173" s="44">
        <v>1.58</v>
      </c>
      <c r="S173" s="42">
        <v>4178210</v>
      </c>
      <c r="T173" s="42">
        <v>2643712</v>
      </c>
      <c r="U173" s="44">
        <v>1.92</v>
      </c>
      <c r="V173" s="42">
        <v>4426133</v>
      </c>
      <c r="W173" s="42">
        <v>2300325</v>
      </c>
      <c r="X173" s="44">
        <v>1.84</v>
      </c>
      <c r="Y173" s="42">
        <v>4278642</v>
      </c>
      <c r="Z173" s="42">
        <v>2329157</v>
      </c>
      <c r="AA173" s="44">
        <v>1.62</v>
      </c>
      <c r="AB173" s="42">
        <v>3555163</v>
      </c>
      <c r="AC173" s="42">
        <v>2192454</v>
      </c>
      <c r="AD173" s="45">
        <v>1.47</v>
      </c>
      <c r="AE173" s="42">
        <v>15878179</v>
      </c>
      <c r="AF173" s="42">
        <v>10817008</v>
      </c>
      <c r="AG173" s="22"/>
    </row>
    <row r="174" spans="1:33" ht="10.5" customHeight="1" x14ac:dyDescent="0.15">
      <c r="A174" s="52" t="s">
        <v>30</v>
      </c>
      <c r="B174" s="46">
        <v>5</v>
      </c>
      <c r="C174" s="47">
        <v>36791</v>
      </c>
      <c r="D174" s="47">
        <v>76016</v>
      </c>
      <c r="E174" s="47">
        <v>71128</v>
      </c>
      <c r="F174" s="47">
        <v>71128</v>
      </c>
      <c r="G174" s="47">
        <v>459890</v>
      </c>
      <c r="H174" s="48">
        <v>0.155</v>
      </c>
      <c r="I174" s="48">
        <v>0.155</v>
      </c>
      <c r="J174" s="48">
        <v>0.16500000000000001</v>
      </c>
      <c r="K174" s="64">
        <v>1.4E-2</v>
      </c>
      <c r="L174" s="48">
        <f>Tabelle1[[#This Row],[Spalte12]]-Tabelle1[[#This Row],[Spalte11]]</f>
        <v>7.0000000000000007E-2</v>
      </c>
      <c r="M174" s="48">
        <v>8.4000000000000005E-2</v>
      </c>
      <c r="N174" s="48">
        <v>9.9000000000000005E-2</v>
      </c>
      <c r="O174" s="48">
        <v>0.11899999999999999</v>
      </c>
      <c r="P174" s="48">
        <v>6.9000000000000006E-2</v>
      </c>
      <c r="Q174" s="47">
        <v>1037897</v>
      </c>
      <c r="R174" s="49">
        <v>1.85</v>
      </c>
      <c r="S174" s="47">
        <v>107075</v>
      </c>
      <c r="T174" s="47">
        <v>57880</v>
      </c>
      <c r="U174" s="49">
        <v>1.64</v>
      </c>
      <c r="V174" s="47">
        <v>98414</v>
      </c>
      <c r="W174" s="47">
        <v>59859</v>
      </c>
      <c r="X174" s="49">
        <v>1.89</v>
      </c>
      <c r="Y174" s="47">
        <v>94416</v>
      </c>
      <c r="Z174" s="47">
        <v>49875</v>
      </c>
      <c r="AA174" s="49">
        <v>1.59</v>
      </c>
      <c r="AB174" s="47">
        <v>90856</v>
      </c>
      <c r="AC174" s="47">
        <v>57288</v>
      </c>
      <c r="AD174" s="50">
        <v>1.41</v>
      </c>
      <c r="AE174" s="47">
        <v>937030</v>
      </c>
      <c r="AF174" s="47">
        <v>662987</v>
      </c>
      <c r="AG174" s="22"/>
    </row>
    <row r="175" spans="1:33" s="26" customFormat="1" ht="12.75" customHeight="1" x14ac:dyDescent="0.15">
      <c r="A175" s="32"/>
      <c r="B175" s="32"/>
      <c r="C175" s="33"/>
      <c r="D175" s="33"/>
      <c r="E175" s="33"/>
      <c r="F175" s="33"/>
      <c r="G175" s="33"/>
      <c r="H175" s="34"/>
      <c r="I175" s="34"/>
      <c r="J175" s="34"/>
      <c r="K175" s="66"/>
      <c r="L175" s="34"/>
      <c r="M175" s="34"/>
      <c r="N175" s="34"/>
      <c r="O175" s="34"/>
      <c r="P175" s="34"/>
      <c r="Q175" s="33"/>
      <c r="R175" s="35"/>
      <c r="S175" s="36"/>
      <c r="T175" s="36"/>
      <c r="U175" s="35"/>
      <c r="V175" s="36"/>
      <c r="W175" s="36"/>
      <c r="X175" s="35"/>
      <c r="Y175" s="36"/>
      <c r="Z175" s="36"/>
      <c r="AA175" s="35"/>
      <c r="AB175" s="36"/>
      <c r="AC175" s="36"/>
      <c r="AD175" s="31"/>
      <c r="AE175" s="30"/>
      <c r="AF175" s="30"/>
    </row>
    <row r="176" spans="1:33" s="29" customFormat="1" ht="12.75" customHeight="1" x14ac:dyDescent="0.15">
      <c r="A176" s="24" t="s">
        <v>209</v>
      </c>
      <c r="B176" s="25"/>
      <c r="C176" s="25"/>
      <c r="D176" s="25"/>
      <c r="E176" s="25"/>
      <c r="F176" s="25"/>
      <c r="G176" s="25"/>
      <c r="H176" s="25"/>
      <c r="I176" s="25"/>
      <c r="J176" s="25"/>
      <c r="K176" s="67"/>
      <c r="L176" s="26"/>
      <c r="M176" s="26"/>
      <c r="N176" s="26"/>
      <c r="O176" s="26"/>
      <c r="P176" s="26"/>
      <c r="Q176" s="27"/>
      <c r="R176" s="28"/>
      <c r="S176" s="27"/>
      <c r="T176" s="27"/>
      <c r="U176" s="28"/>
      <c r="V176" s="27"/>
      <c r="W176" s="27"/>
      <c r="X176" s="28"/>
      <c r="Y176" s="27"/>
      <c r="Z176" s="27"/>
      <c r="AA176" s="28"/>
      <c r="AB176" s="27"/>
      <c r="AC176" s="27"/>
      <c r="AD176" s="27"/>
      <c r="AE176" s="27"/>
      <c r="AF176" s="27"/>
    </row>
    <row r="177" spans="1:31" ht="13" x14ac:dyDescent="0.15">
      <c r="A177" s="25" t="s">
        <v>215</v>
      </c>
      <c r="B177" s="25"/>
      <c r="C177" s="25"/>
      <c r="D177" s="25"/>
      <c r="E177" s="25"/>
      <c r="F177" s="25"/>
      <c r="G177" s="25"/>
      <c r="H177" s="25"/>
      <c r="I177" s="25"/>
      <c r="J177" s="25"/>
      <c r="K177" s="68"/>
      <c r="L177" s="23"/>
      <c r="M177" s="25"/>
      <c r="N177" s="25"/>
      <c r="O177" s="25"/>
      <c r="P177" s="26"/>
      <c r="Q177" s="27"/>
      <c r="R177" s="28"/>
      <c r="S177" s="27"/>
      <c r="T177" s="27"/>
      <c r="U177" s="28"/>
      <c r="V177" s="27"/>
      <c r="W177" s="27"/>
      <c r="X177" s="28"/>
      <c r="Y177" s="27"/>
      <c r="Z177" s="27"/>
      <c r="AA177" s="28"/>
      <c r="AB177" s="27"/>
      <c r="AC177" s="27"/>
      <c r="AD177" s="27"/>
      <c r="AE177" s="27"/>
    </row>
    <row r="178" spans="1:31" ht="13" x14ac:dyDescent="0.15">
      <c r="A178" s="25" t="s">
        <v>228</v>
      </c>
      <c r="B178" s="25"/>
      <c r="C178" s="25"/>
      <c r="D178" s="25"/>
      <c r="E178" s="25"/>
      <c r="F178" s="25"/>
      <c r="G178" s="25"/>
      <c r="H178" s="25"/>
      <c r="I178" s="25"/>
      <c r="J178" s="25"/>
      <c r="K178" s="68"/>
      <c r="L178" s="23"/>
      <c r="M178" s="25"/>
      <c r="N178" s="25"/>
      <c r="O178" s="25"/>
      <c r="P178" s="26"/>
      <c r="Q178" s="27"/>
      <c r="R178" s="28"/>
      <c r="S178" s="27"/>
      <c r="T178" s="27"/>
      <c r="U178" s="28"/>
      <c r="V178" s="27"/>
      <c r="W178" s="27"/>
      <c r="X178" s="28"/>
      <c r="Y178" s="27"/>
      <c r="Z178" s="27"/>
      <c r="AA178" s="28"/>
      <c r="AB178" s="27"/>
      <c r="AC178" s="27"/>
      <c r="AD178" s="27"/>
      <c r="AE178" s="27"/>
    </row>
    <row r="179" spans="1:31" ht="13" x14ac:dyDescent="0.15">
      <c r="A179" s="25" t="s">
        <v>236</v>
      </c>
    </row>
    <row r="180" spans="1:31" ht="13" x14ac:dyDescent="0.15">
      <c r="A180" s="25" t="s">
        <v>235</v>
      </c>
    </row>
  </sheetData>
  <mergeCells count="5">
    <mergeCell ref="R5:T5"/>
    <mergeCell ref="U5:W5"/>
    <mergeCell ref="X5:Z5"/>
    <mergeCell ref="AA5:AC5"/>
    <mergeCell ref="AD5:AF5"/>
  </mergeCells>
  <phoneticPr fontId="9" type="noConversion"/>
  <pageMargins left="0.70866141732283472" right="0.70866141732283472" top="0.78740157480314965" bottom="0.78740157480314965" header="0.31496062992125984" footer="0.31496062992125984"/>
  <pageSetup paperSize="9" scale="75" fitToWidth="2" fitToHeight="0" orientation="landscape" r:id="rId1"/>
  <headerFooter>
    <oddFooter>&amp;LFINMA Key Metrics 2020&amp;R&amp;P/&amp;N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114cc7d-0527-4493-884e-c4b39f2ddc27">G01473276-000042</_dlc_DocId>
    <_dlc_DocIdUrl xmlns="5114cc7d-0527-4493-884e-c4b39f2ddc27">
      <Url>https://gdok.finma.ch/container/2066/_layouts/15/DocIdRedir.aspx?ID=G01473276-000042</Url>
      <Description>G01473276-000042</Description>
    </_dlc_DocIdUrl>
    <FinmaObjectId xmlns="5114cc7d-0527-4493-884e-c4b39f2ddc27">F00164912</FinmaObjectId>
    <FinmaObjectName xmlns="5114cc7d-0527-4493-884e-c4b39f2ddc27">Eidgenössische Finanzmarktaufsicht FINMA (F00164912)</FinmaObjectName>
    <FinmaPasswordProtected xmlns="5114cc7d-0527-4493-884e-c4b39f2ddc27">false</FinmaPasswordProtected>
    <FinmaCaseID xmlns="5114cc7d-0527-4493-884e-c4b39f2ddc27">G01473276</FinmaCaseID>
    <h5452bf913d342ef967d06fb0970c0a5 xmlns="5114cc7d-0527-4493-884e-c4b39f2ddc27">
      <Terms xmlns="http://schemas.microsoft.com/office/infopath/2007/PartnerControls"/>
    </h5452bf913d342ef967d06fb0970c0a5>
    <FinmaDocumentDate xmlns="5114cc7d-0527-4493-884e-c4b39f2ddc27">2024-05-15T22:00:00+00:00</FinmaDocumentDate>
    <Aktionswert xmlns="5114cc7d-0527-4493-884e-c4b39f2ddc27" xsi:nil="true"/>
    <FinmaCaseDescription xmlns="5114cc7d-0527-4493-884e-c4b39f2ddc27">Publikation Key Metrics 2024 (G01473276)</FinmaCaseDescription>
    <FinmaValidationResult xmlns="5114cc7d-0527-4493-884e-c4b39f2ddc27" xsi:nil="true"/>
    <g1c9cab47ab34847b4ac830bba5063b0 xmlns="5114cc7d-0527-4493-884e-c4b39f2ddc27">
      <Terms xmlns="http://schemas.microsoft.com/office/infopath/2007/PartnerControls"/>
    </g1c9cab47ab34847b4ac830bba5063b0>
    <f6ac7f7711e24d149a1ab98f6cfad432 xmlns="5114cc7d-0527-4493-884e-c4b39f2ddc27">
      <Terms xmlns="http://schemas.microsoft.com/office/infopath/2007/PartnerControls">
        <TermInfo xmlns="http://schemas.microsoft.com/office/infopath/2007/PartnerControls">
          <TermName xmlns="http://schemas.microsoft.com/office/infopath/2007/PartnerControls">Aktiv</TermName>
          <TermId xmlns="http://schemas.microsoft.com/office/infopath/2007/PartnerControls">7439e81f-a110-4e88-a7af-acf8d4806223</TermId>
        </TermInfo>
      </Terms>
    </f6ac7f7711e24d149a1ab98f6cfad432>
    <TaxCatchAll xmlns="5114cc7d-0527-4493-884e-c4b39f2ddc27">
      <Value>1</Value>
    </TaxCatchAll>
    <n1f5c6536ac648a38ad663cdf8bd44e6 xmlns="5114cc7d-0527-4493-884e-c4b39f2ddc27">
      <Terms xmlns="http://schemas.microsoft.com/office/infopath/2007/PartnerControls"/>
    </n1f5c6536ac648a38ad663cdf8bd44e6>
    <FinmaValidationDate xmlns="5114cc7d-0527-4493-884e-c4b39f2ddc27">2025-04-22T07:47:57+00:00</FinmaValidationDate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GDok Document" ma:contentTypeID="0x0101003A499141982C43AFAF241BDE541C18D50013681DEE43193B46BBA494B79D605F29" ma:contentTypeVersion="31" ma:contentTypeDescription="Create a new document." ma:contentTypeScope="" ma:versionID="f873595f9275b202921ba99c7867f81f">
  <xsd:schema xmlns:xsd="http://www.w3.org/2001/XMLSchema" xmlns:xs="http://www.w3.org/2001/XMLSchema" xmlns:p="http://schemas.microsoft.com/office/2006/metadata/properties" xmlns:ns2="5114cc7d-0527-4493-884e-c4b39f2ddc27" targetNamespace="http://schemas.microsoft.com/office/2006/metadata/properties" ma:root="true" ma:fieldsID="502ff9d057661b289643cba2ade8f5f2" ns2:_="">
    <xsd:import namespace="5114cc7d-0527-4493-884e-c4b39f2ddc2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FinmaDocumentDate" minOccurs="0"/>
                <xsd:element ref="ns2:FinmaCaseDescription" minOccurs="0"/>
                <xsd:element ref="ns2:f6ac7f7711e24d149a1ab98f6cfad432" minOccurs="0"/>
                <xsd:element ref="ns2:TaxCatchAll" minOccurs="0"/>
                <xsd:element ref="ns2:TaxCatchAllLabel" minOccurs="0"/>
                <xsd:element ref="ns2:FinmaCaseID" minOccurs="0"/>
                <xsd:element ref="ns2:g1c9cab47ab34847b4ac830bba5063b0" minOccurs="0"/>
                <xsd:element ref="ns2:h5452bf913d342ef967d06fb0970c0a5" minOccurs="0"/>
                <xsd:element ref="ns2:n1f5c6536ac648a38ad663cdf8bd44e6" minOccurs="0"/>
                <xsd:element ref="ns2:FinmaPasswordProtected" minOccurs="0"/>
                <xsd:element ref="ns2:FinmaValidationDate" minOccurs="0"/>
                <xsd:element ref="ns2:FinmaValidationResult" minOccurs="0"/>
                <xsd:element ref="ns2:FinmaObjectId" minOccurs="0"/>
                <xsd:element ref="ns2:FinmaObjectName" minOccurs="0"/>
                <xsd:element ref="ns2:Aktionswer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14cc7d-0527-4493-884e-c4b39f2ddc2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FinmaDocumentDate" ma:index="11" nillable="true" ma:displayName="Dokument Datum" ma:format="DateOnly" ma:internalName="FinmaDocumentDate" ma:readOnly="false">
      <xsd:simpleType>
        <xsd:restriction base="dms:DateTime"/>
      </xsd:simpleType>
    </xsd:element>
    <xsd:element name="FinmaCaseDescription" ma:index="12" nillable="true" ma:displayName="Geschäfts Bezeichnung" ma:default="Publikation Key Metrics 2024 (G01473276)" ma:internalName="FinmaCaseDescription" ma:readOnly="false">
      <xsd:simpleType>
        <xsd:restriction base="dms:Text">
          <xsd:maxLength value="255"/>
        </xsd:restriction>
      </xsd:simpleType>
    </xsd:element>
    <xsd:element name="f6ac7f7711e24d149a1ab98f6cfad432" ma:index="13" nillable="true" ma:taxonomy="true" ma:internalName="f6ac7f7711e24d149a1ab98f6cfad432" ma:taxonomyFieldName="FinmaCaseStatus" ma:displayName="Geschäfts Status" ma:readOnly="false" ma:default="1;#Aktiv|7439e81f-a110-4e88-a7af-acf8d4806223" ma:fieldId="{f6ac7f77-11e2-4d14-9a1a-b98f6cfad432}" ma:sspId="1614e331-078d-4830-aac2-889f77d1de05" ma:termSetId="fbd22871-fe11-4cfd-b99d-0f5fc7eae3c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af7a2709-e83c-4db3-b9f1-e491da7380c9}" ma:internalName="TaxCatchAll" ma:showField="CatchAllData" ma:web="5114cc7d-0527-4493-884e-c4b39f2ddc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af7a2709-e83c-4db3-b9f1-e491da7380c9}" ma:internalName="TaxCatchAllLabel" ma:readOnly="true" ma:showField="CatchAllDataLabel" ma:web="5114cc7d-0527-4493-884e-c4b39f2ddc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FinmaCaseID" ma:index="17" nillable="true" ma:displayName="Geschäfts ID" ma:default="G01473276" ma:internalName="FinmaCaseID" ma:readOnly="false">
      <xsd:simpleType>
        <xsd:restriction base="dms:Text">
          <xsd:maxLength value="255"/>
        </xsd:restriction>
      </xsd:simpleType>
    </xsd:element>
    <xsd:element name="g1c9cab47ab34847b4ac830bba5063b0" ma:index="18" nillable="true" ma:taxonomy="true" ma:internalName="g1c9cab47ab34847b4ac830bba5063b0" ma:taxonomyFieldName="FinmaCatchphrases" ma:displayName="Schlagwort" ma:readOnly="false" ma:fieldId="{01c9cab4-7ab3-4847-b4ac-830bba5063b0}" ma:taxonomyMulti="true" ma:sspId="1614e331-078d-4830-aac2-889f77d1de05" ma:termSetId="35ed469d-bfb4-4e58-83fd-01918edae14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5452bf913d342ef967d06fb0970c0a5" ma:index="20" nillable="true" ma:taxonomy="true" ma:internalName="h5452bf913d342ef967d06fb0970c0a5" ma:taxonomyFieldName="FinmaCategory" ma:displayName="Kategorie" ma:readOnly="false" ma:fieldId="{15452bf9-13d3-42ef-967d-06fb0970c0a5}" ma:sspId="1614e331-078d-4830-aac2-889f77d1de05" ma:termSetId="76a2fa96-3e9b-4d62-901d-d1895154867f" ma:anchorId="de8e377e-5092-4bcb-9739-6ef0d154a6b9" ma:open="false" ma:isKeyword="false">
      <xsd:complexType>
        <xsd:sequence>
          <xsd:element ref="pc:Terms" minOccurs="0" maxOccurs="1"/>
        </xsd:sequence>
      </xsd:complexType>
    </xsd:element>
    <xsd:element name="n1f5c6536ac648a38ad663cdf8bd44e6" ma:index="22" nillable="true" ma:taxonomy="true" ma:internalName="n1f5c6536ac648a38ad663cdf8bd44e6" ma:taxonomyFieldName="FinmaCrmEntityIDs" ma:displayName="CRM Verknüpfung IDs" ma:readOnly="false" ma:fieldId="{71f5c653-6ac6-48a3-8ad6-63cdf8bd44e6}" ma:taxonomyMulti="true" ma:sspId="1614e331-078d-4830-aac2-889f77d1de05" ma:termSetId="21de1ef6-02dd-4675-8c8e-3ff56e30707f" ma:anchorId="fc2e08f6-343e-40df-8064-ea562cc9c3ce" ma:open="false" ma:isKeyword="false">
      <xsd:complexType>
        <xsd:sequence>
          <xsd:element ref="pc:Terms" minOccurs="0" maxOccurs="1"/>
        </xsd:sequence>
      </xsd:complexType>
    </xsd:element>
    <xsd:element name="FinmaPasswordProtected" ma:index="24" nillable="true" ma:displayName="Passwortgeschützt" ma:internalName="FinmaPasswordProtected" ma:readOnly="false">
      <xsd:simpleType>
        <xsd:restriction base="dms:Boolean"/>
      </xsd:simpleType>
    </xsd:element>
    <xsd:element name="FinmaValidationDate" ma:index="25" nillable="true" ma:displayName="Prüfzeitpunkt" ma:format="DateTime" ma:internalName="FinmaValidationDate" ma:readOnly="false">
      <xsd:simpleType>
        <xsd:restriction base="dms:DateTime"/>
      </xsd:simpleType>
    </xsd:element>
    <xsd:element name="FinmaValidationResult" ma:index="27" nillable="true" ma:displayName="ValidationResults" ma:internalName="FinmaValidationResult" ma:readOnly="false">
      <xsd:simpleType>
        <xsd:restriction base="dms:Note">
          <xsd:maxLength value="255"/>
        </xsd:restriction>
      </xsd:simpleType>
    </xsd:element>
    <xsd:element name="FinmaObjectId" ma:index="28" nillable="true" ma:displayName="Finma Objekt ID" ma:default="F00164912" ma:internalName="FinmaObjectId" ma:readOnly="false">
      <xsd:simpleType>
        <xsd:restriction base="dms:Text">
          <xsd:maxLength value="255"/>
        </xsd:restriction>
      </xsd:simpleType>
    </xsd:element>
    <xsd:element name="FinmaObjectName" ma:index="29" nillable="true" ma:displayName="Finma Objekt Bezeichnung" ma:default="Eidgenössische Finanzmarktaufsicht FINMA (F00164912)" ma:internalName="FinmaObjectName" ma:readOnly="false">
      <xsd:simpleType>
        <xsd:restriction base="dms:Text">
          <xsd:maxLength value="255"/>
        </xsd:restriction>
      </xsd:simpleType>
    </xsd:element>
    <xsd:element name="Aktionswert" ma:index="30" nillable="true" ma:displayName="Aktionswert" ma:hidden="true" ma:internalName="Aktionswert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495CDA-5B2D-4D78-80E1-D20727E02E0F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75A73F1-80A1-461D-83F4-CC2D689049A6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dcmitype/"/>
    <ds:schemaRef ds:uri="5114cc7d-0527-4493-884e-c4b39f2ddc27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3BE11EE-5B0D-444D-BBE4-C9E7ED1597E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913F7B2-4D59-480A-BBF1-597F4097E7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14cc7d-0527-4493-884e-c4b39f2ddc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Tabelle1</vt:lpstr>
      <vt:lpstr>Key Metrics 2023</vt:lpstr>
      <vt:lpstr>'Key Metrics 2023'!Druckbereich</vt:lpstr>
      <vt:lpstr>'Key Metrics 2023'!Drucktitel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2024-05-15T23:04:03Z</dcterms:created>
  <dcterms:modified xsi:type="dcterms:W3CDTF">2026-02-23T12:28:14Z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maCrmEntityIDs">
    <vt:lpwstr/>
  </property>
  <property fmtid="{D5CDD505-2E9C-101B-9397-08002B2CF9AE}" pid="3" name="Topic">
    <vt:lpwstr/>
  </property>
  <property fmtid="{D5CDD505-2E9C-101B-9397-08002B2CF9AE}" pid="4" name="FinmaCatchphrases">
    <vt:lpwstr/>
  </property>
  <property fmtid="{D5CDD505-2E9C-101B-9397-08002B2CF9AE}" pid="5" name="OSP">
    <vt:lpwstr>11;#4-01.9 Verschiedenes|e6fcb4e3-30b0-4407-a767-d767f5fd947e</vt:lpwstr>
  </property>
  <property fmtid="{D5CDD505-2E9C-101B-9397-08002B2CF9AE}" pid="6" name="OU">
    <vt:lpwstr>2;#B-ANI|72e08c1a-6daa-4ddd-9fb5-697ff07cf528</vt:lpwstr>
  </property>
  <property fmtid="{D5CDD505-2E9C-101B-9397-08002B2CF9AE}" pid="7" name="ContentTypeId">
    <vt:lpwstr>0x0101003A499141982C43AFAF241BDE541C18D50013681DEE43193B46BBA494B79D605F29</vt:lpwstr>
  </property>
  <property fmtid="{D5CDD505-2E9C-101B-9397-08002B2CF9AE}" pid="8" name="FinmaCaseStatus">
    <vt:lpwstr>1;#Aktiv|7439e81f-a110-4e88-a7af-acf8d4806223</vt:lpwstr>
  </property>
  <property fmtid="{D5CDD505-2E9C-101B-9397-08002B2CF9AE}" pid="9" name="FinmaCategory">
    <vt:lpwstr/>
  </property>
  <property fmtid="{D5CDD505-2E9C-101B-9397-08002B2CF9AE}" pid="10" name="_dlc_DocIdItemGuid">
    <vt:lpwstr>ccb9d31f-a7d7-45af-b0e8-0f36070cfe4e</vt:lpwstr>
  </property>
</Properties>
</file>