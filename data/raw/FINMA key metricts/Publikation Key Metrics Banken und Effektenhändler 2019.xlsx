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natalialessia/Desktop/RAW_Data_Banks/"/>
    </mc:Choice>
  </mc:AlternateContent>
  <xr:revisionPtr revIDLastSave="0" documentId="13_ncr:1_{DE64DF14-1CA4-474C-BC03-774B4BD27616}" xr6:coauthVersionLast="47" xr6:coauthVersionMax="47" xr10:uidLastSave="{00000000-0000-0000-0000-000000000000}"/>
  <bookViews>
    <workbookView xWindow="11760" yWindow="500" windowWidth="17040" windowHeight="16300" activeTab="1" xr2:uid="{00000000-000D-0000-FFFF-FFFF00000000}"/>
  </bookViews>
  <sheets>
    <sheet name="Tabelle1" sheetId="10" r:id="rId1"/>
    <sheet name="KeyMetrics2019" sheetId="9" r:id="rId2"/>
  </sheets>
  <definedNames>
    <definedName name="_xlnm.Print_Area" localSheetId="1">KeyMetrics2019!$A$1:$AC$254</definedName>
    <definedName name="_xlnm.Print_Titles" localSheetId="1">KeyMetrics2019!$6:$7</definedName>
  </definedName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9" l="1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</calcChain>
</file>

<file path=xl/sharedStrings.xml><?xml version="1.0" encoding="utf-8"?>
<sst xmlns="http://schemas.openxmlformats.org/spreadsheetml/2006/main" count="2176" uniqueCount="309">
  <si>
    <t>Name</t>
  </si>
  <si>
    <t>Ersparniskasse Affoltern i.E. AG</t>
  </si>
  <si>
    <t>Entris Banking AG</t>
  </si>
  <si>
    <t>Burgerliche Ersparniskasse Bern, Genossenschaft</t>
  </si>
  <si>
    <t>Valiant Bank AG</t>
  </si>
  <si>
    <t>Alpha RHEINTAL Bank AG</t>
  </si>
  <si>
    <t>Neue Aargauer Bank AG</t>
  </si>
  <si>
    <t>Caisse d'Epargne et de Crédit Mutuel de Chermignon société coopérative</t>
  </si>
  <si>
    <t>Bezirks-Sparkasse Dielsdorf Genossenschaft</t>
  </si>
  <si>
    <t>GRB Glarner Regionalbank Genossenschaft</t>
  </si>
  <si>
    <t>Urner Kantonalbank</t>
  </si>
  <si>
    <t>Appenzeller Kantonalbank</t>
  </si>
  <si>
    <t>Basler Kantonalbank</t>
  </si>
  <si>
    <t>Banque Cantonale de Fribourg</t>
  </si>
  <si>
    <t>Banque Cantonale de Genève</t>
  </si>
  <si>
    <t>Glarner Kantonalbank</t>
  </si>
  <si>
    <t>Basellandschaftliche Kantonalbank</t>
  </si>
  <si>
    <t>Luzerner Kantonalbank AG</t>
  </si>
  <si>
    <t>Banque cantonale neuchâteloise</t>
  </si>
  <si>
    <t>Banque Cantonale du Jura SA</t>
  </si>
  <si>
    <t>Banque Cantonale du Valais</t>
  </si>
  <si>
    <t>Nidwaldner Kantonalbank</t>
  </si>
  <si>
    <t>Thurgauer Kantonalbank</t>
  </si>
  <si>
    <t>Spar- und Leihkasse Frutigen AG</t>
  </si>
  <si>
    <t>BANK ZIMMERBERG AG</t>
  </si>
  <si>
    <t>Bank EKI Genossenschaft</t>
  </si>
  <si>
    <t>Caisse d'Epargne de Nyon société coopérative</t>
  </si>
  <si>
    <t>Spar+Leihkasse Riggisberg AG</t>
  </si>
  <si>
    <t>Ersparniskasse Schaffhausen AG</t>
  </si>
  <si>
    <t>Caisse d'Epargne d'Aubonne société coopérative</t>
  </si>
  <si>
    <t>Bank EEK AG</t>
  </si>
  <si>
    <t>Hypothekarbank Lenzburg AG</t>
  </si>
  <si>
    <t>Regiobank Männedorf AG</t>
  </si>
  <si>
    <t>Banca dello Stato del Cantone Ticino</t>
  </si>
  <si>
    <t>Berner Kantonalbank AG</t>
  </si>
  <si>
    <t>Graubündner Kantonalbank</t>
  </si>
  <si>
    <t>Banque Cantonale Vaudoise</t>
  </si>
  <si>
    <t>St. Galler Kantonalbank AG</t>
  </si>
  <si>
    <t>Obwaldner Kantonalbank</t>
  </si>
  <si>
    <t>Schaffhauser Kantonalbank</t>
  </si>
  <si>
    <t>Schwyzer Kantonalbank</t>
  </si>
  <si>
    <t>Zuger Kantonalbank</t>
  </si>
  <si>
    <t>BBO Bank Brienz Oberhasli AG</t>
  </si>
  <si>
    <t>Caisse d'Epargne de Cossonay société coopérative</t>
  </si>
  <si>
    <t>Zürcher Landbank AG</t>
  </si>
  <si>
    <t>Spar- und Leihkasse Bucheggberg AG</t>
  </si>
  <si>
    <t>SPAR + LEIHKASSE GÜRBETAL AG</t>
  </si>
  <si>
    <t>Bank SLM AG</t>
  </si>
  <si>
    <t>Bank Gantrisch Genossenschaft</t>
  </si>
  <si>
    <t>Sparkasse Schwyz AG</t>
  </si>
  <si>
    <t>Regiobank Solothurn AG</t>
  </si>
  <si>
    <t>Ersparniskasse Speicher</t>
  </si>
  <si>
    <t>Bernerland Bank AG</t>
  </si>
  <si>
    <t>Caisse d'Epargne Riviera, société coopérative</t>
  </si>
  <si>
    <t>Cornèr Banca SA</t>
  </si>
  <si>
    <t>Bank Julius Bär &amp; Co. AG</t>
  </si>
  <si>
    <t>Privatbank IHAG Zürich AG</t>
  </si>
  <si>
    <t>Alternative Bank Schweiz AG</t>
  </si>
  <si>
    <t>Spar- und Leihkasse Wynigen AG</t>
  </si>
  <si>
    <t>BSZ Genossenschaft</t>
  </si>
  <si>
    <t>Lienhardt &amp; Partner Privatbank Zürich AG</t>
  </si>
  <si>
    <t>Baloise Bank SoBa AG</t>
  </si>
  <si>
    <t>Società Bancaria Ticinese SA</t>
  </si>
  <si>
    <t>EFG Bank European Financial Group SA</t>
  </si>
  <si>
    <t>Bank Vontobel AG</t>
  </si>
  <si>
    <t>VP Bank (Schweiz) AG</t>
  </si>
  <si>
    <t>Bank J. Safra Sarasin AG</t>
  </si>
  <si>
    <t>Banque Pictet &amp; Cie SA</t>
  </si>
  <si>
    <t>Deutsche Bank (Suisse) SA</t>
  </si>
  <si>
    <t>J.P. Morgan (Suisse) SA</t>
  </si>
  <si>
    <t>LF FINANCE (SUISSE) SA</t>
  </si>
  <si>
    <t>BANCA DEL SEMPIONE SA</t>
  </si>
  <si>
    <t>Arab Bank (Switzerland) Ltd.</t>
  </si>
  <si>
    <t>DZ PRIVATBANK (Schweiz) AG</t>
  </si>
  <si>
    <t>ODDO BHF (Schweiz) AG</t>
  </si>
  <si>
    <t>Habib Bank AG Zürich</t>
  </si>
  <si>
    <t>Banque Eric Sturdza SA</t>
  </si>
  <si>
    <t>Piguet Galland &amp; Cie SA</t>
  </si>
  <si>
    <t>Banque Havilland (Suisse) S.A.</t>
  </si>
  <si>
    <t>BLOM BANK (Switzerland) SA</t>
  </si>
  <si>
    <t>PKB PRIVATBANK SA</t>
  </si>
  <si>
    <t>Rothschild &amp; Co Bank AG</t>
  </si>
  <si>
    <t>Bank Leerau Genossenschaft</t>
  </si>
  <si>
    <t>Leihkasse Stammheim AG</t>
  </si>
  <si>
    <t>Ersparniskasse Rüeggisberg Genossenschaft</t>
  </si>
  <si>
    <t>SB Saanen Bank AG</t>
  </si>
  <si>
    <t>Bank in Zuzwil AG</t>
  </si>
  <si>
    <t>Bank Cler AG</t>
  </si>
  <si>
    <t>SELVI &amp; Cie SA</t>
  </si>
  <si>
    <t>REYL &amp; Cie SA</t>
  </si>
  <si>
    <t>Bondpartners S.A.</t>
  </si>
  <si>
    <t>BANQUE PROFIL DE GESTION SA</t>
  </si>
  <si>
    <t>Maerki Baumann &amp; Co. AG</t>
  </si>
  <si>
    <t>Gonet &amp; Cie SA</t>
  </si>
  <si>
    <t>Banque Lombard Odier &amp; Cie SA</t>
  </si>
  <si>
    <t>CREDIT MUTUEL DE LA VALLEE SA</t>
  </si>
  <si>
    <t>Bank Thalwil Genossenschaft</t>
  </si>
  <si>
    <t>BankMed (Suisse) SA</t>
  </si>
  <si>
    <t>Banque Internationale à Luxembourg (Suisse) SA</t>
  </si>
  <si>
    <t>Credit Europe Bank (Suisse) SA</t>
  </si>
  <si>
    <t>Banque Thaler SA</t>
  </si>
  <si>
    <t>Privatbank Bellerive AG</t>
  </si>
  <si>
    <t>Trafina Privatbank AG</t>
  </si>
  <si>
    <t>Privatbank Von Graffenried AG</t>
  </si>
  <si>
    <t>Mercantil Bank (Schweiz) AG</t>
  </si>
  <si>
    <t>AEK BANK 1826 Genossenschaft</t>
  </si>
  <si>
    <t>Bank BSU Genossenschaft</t>
  </si>
  <si>
    <t>Migros Bank AG</t>
  </si>
  <si>
    <t>Dreyfus Söhne &amp; Cie. Aktiengesellschaft, Banquiers</t>
  </si>
  <si>
    <t>Edmond de Rothschild (Suisse) S.A.</t>
  </si>
  <si>
    <t>WIR Bank Genossenschaft</t>
  </si>
  <si>
    <t>Freie Gemeinschaftsbank Genossenschaft</t>
  </si>
  <si>
    <t>LANDOLT &amp; CIE SA</t>
  </si>
  <si>
    <t>CBH Compagnie Bancaire Helvétique SA</t>
  </si>
  <si>
    <t>Bank CIC (Schweiz) AG</t>
  </si>
  <si>
    <t>Banque de Commerce et de Placements SA</t>
  </si>
  <si>
    <t>Barclays Bank (Suisse) SA</t>
  </si>
  <si>
    <t>Schroder &amp; Co Bank AG</t>
  </si>
  <si>
    <t>EFG Bank AG</t>
  </si>
  <si>
    <t>UBL (Switzerland) AG</t>
  </si>
  <si>
    <t>UNITED MIZRAHI BANK (Switzerland) Ltd.</t>
  </si>
  <si>
    <t>Hyposwiss Private Bank Genève SA</t>
  </si>
  <si>
    <t>Goldman Sachs Bank AG</t>
  </si>
  <si>
    <t>F. van Lanschot Bankiers (Schweiz) AG</t>
  </si>
  <si>
    <t>SAXO BANK (SCHWEIZ) AG</t>
  </si>
  <si>
    <t>CA Indosuez (Switzerland) SA</t>
  </si>
  <si>
    <t>Gazprombank (Schweiz) AG</t>
  </si>
  <si>
    <t>UNION BANCAIRE PRIVEE, UBP SA</t>
  </si>
  <si>
    <t>Banque Audi (Suisse) SA</t>
  </si>
  <si>
    <t>Frankfurter Bankgesellschaft (Schweiz) AG</t>
  </si>
  <si>
    <t>Banque Algérienne du Commerce Extérieur SA</t>
  </si>
  <si>
    <t>Citibank (Switzerland) AG</t>
  </si>
  <si>
    <t>Aargauische Kantonalbank</t>
  </si>
  <si>
    <t>Banque Degroof Petercam (Suisse) SA</t>
  </si>
  <si>
    <t>Fidurhône SA</t>
  </si>
  <si>
    <t>Delen (Suisse) SA</t>
  </si>
  <si>
    <t>Scobag Privatbank AG</t>
  </si>
  <si>
    <t>SOCIETE GENERALE Private Banking (Suisse) SA</t>
  </si>
  <si>
    <t>Banque Bonhôte &amp; Cie SA</t>
  </si>
  <si>
    <t>CIM BANQUE SA</t>
  </si>
  <si>
    <t>Bank am Bellevue AG</t>
  </si>
  <si>
    <t>Banque SYZ SA</t>
  </si>
  <si>
    <t>BERGOS BERENBERG AG</t>
  </si>
  <si>
    <t>Sberbank (Switzerland) AG</t>
  </si>
  <si>
    <t>Banca Popolare di Sondrio (Suisse) SA</t>
  </si>
  <si>
    <t>AP ANLAGE &amp; PRIVATBANK AG</t>
  </si>
  <si>
    <t>Bantleon Bank AG</t>
  </si>
  <si>
    <t>AXION SWISS BANK SA</t>
  </si>
  <si>
    <t>NBK Banque Privée (Suisse) SA</t>
  </si>
  <si>
    <t>Banca Aletti &amp; C. (Suisse) SA</t>
  </si>
  <si>
    <t>Quantus AG</t>
  </si>
  <si>
    <t>HINDUJA BANQUE (SUISSE) SA</t>
  </si>
  <si>
    <t>BANQUE HERITAGE SA</t>
  </si>
  <si>
    <t>Tellco AG</t>
  </si>
  <si>
    <t>bridport &amp; cie sa</t>
  </si>
  <si>
    <t>Valcourt SA</t>
  </si>
  <si>
    <t>Quilvest (Switzerland) Ltd.</t>
  </si>
  <si>
    <t>Private Client Bank AG</t>
  </si>
  <si>
    <t>BNP Paribas (Suisse) SA</t>
  </si>
  <si>
    <t>Vontobel Holding AG</t>
  </si>
  <si>
    <t>Valiant Holding AG</t>
  </si>
  <si>
    <t>Edmond de Rothschild Holding SA</t>
  </si>
  <si>
    <t>Genossenschaft EEK Beteiligungen</t>
  </si>
  <si>
    <t>Reichmuth &amp; Co Holding AG</t>
  </si>
  <si>
    <t>Fisch Asset Management AG</t>
  </si>
  <si>
    <t>Parkwell Limited</t>
  </si>
  <si>
    <t>Hottinger AG</t>
  </si>
  <si>
    <t>ISP Securities AG</t>
  </si>
  <si>
    <t>IBKR Financial Services AG</t>
  </si>
  <si>
    <t>HSBC Private Bank (Suisse) SA</t>
  </si>
  <si>
    <t>Bankhaus Jungholz AG</t>
  </si>
  <si>
    <t>Crédit Agricole next bank (Suisse) SA</t>
  </si>
  <si>
    <t>Bellevue Group AG</t>
  </si>
  <si>
    <t>Swissquote Bank SA</t>
  </si>
  <si>
    <t>BANCA ZARATTINI &amp; CO. SA</t>
  </si>
  <si>
    <t>J. Safra Sarasin Holding AG</t>
  </si>
  <si>
    <t>Swissquote Group Holding SA</t>
  </si>
  <si>
    <t>SeeBeteiligungs AG</t>
  </si>
  <si>
    <t>Financière SYZ SA</t>
  </si>
  <si>
    <t>NPB Neue Privat Bank AG</t>
  </si>
  <si>
    <t>LGT Bank (Schweiz) AG</t>
  </si>
  <si>
    <t>MG Finance SA</t>
  </si>
  <si>
    <t>Neutral Holding S.p.f. SA</t>
  </si>
  <si>
    <t>Banque Cramer &amp; Cie SA</t>
  </si>
  <si>
    <t>acrevis Bank AG</t>
  </si>
  <si>
    <t>BANQUE PRIVEE BCP (SUISSE) SA</t>
  </si>
  <si>
    <t>Compass Asset Management SA</t>
  </si>
  <si>
    <t>Private Client Partners AG</t>
  </si>
  <si>
    <t>Gonet SA</t>
  </si>
  <si>
    <t>Clientis AG</t>
  </si>
  <si>
    <t>Baader Helvea AG</t>
  </si>
  <si>
    <t>Bank Sparhafen Zürich AG</t>
  </si>
  <si>
    <t>BANCA CREDINVEST SA</t>
  </si>
  <si>
    <t>Aquila AG</t>
  </si>
  <si>
    <t>FAB Private Bank (Suisse) SA</t>
  </si>
  <si>
    <t>EFG International AG</t>
  </si>
  <si>
    <t>Dukascopy Bank SA</t>
  </si>
  <si>
    <t>VZ Depotbank AG</t>
  </si>
  <si>
    <t>InCore Bank AG</t>
  </si>
  <si>
    <t>Bank-now AG</t>
  </si>
  <si>
    <t>HINDUJA SUISSE HOLDING SA</t>
  </si>
  <si>
    <t>VZ Holding AG</t>
  </si>
  <si>
    <t>Leonteq Securities AG</t>
  </si>
  <si>
    <t>Leonteq AG</t>
  </si>
  <si>
    <t>bank zweiplus ag</t>
  </si>
  <si>
    <t>QNB (Suisse) SA</t>
  </si>
  <si>
    <t>Bank von Roll AG</t>
  </si>
  <si>
    <t>Banco Itaú (Suisse) SA</t>
  </si>
  <si>
    <t>Banque Pâris Bertrand SA</t>
  </si>
  <si>
    <t>Swiss Bankers Prepaid Services AG</t>
  </si>
  <si>
    <t>CMCT Holding SA</t>
  </si>
  <si>
    <t>JL Securities SA</t>
  </si>
  <si>
    <t>Julius Bär Gruppe AG</t>
  </si>
  <si>
    <t>Cité Gestion SA</t>
  </si>
  <si>
    <t>Helvetische Bank AG</t>
  </si>
  <si>
    <t>Cembra Money Bank AG</t>
  </si>
  <si>
    <t>Reuss Private AG</t>
  </si>
  <si>
    <t>Grammont Finance SA</t>
  </si>
  <si>
    <t>Globalance Bank AG</t>
  </si>
  <si>
    <t>PATRIMONY 1873 SA</t>
  </si>
  <si>
    <t>Banque du Léman SA</t>
  </si>
  <si>
    <t>Reuss Private Group AG</t>
  </si>
  <si>
    <t>Banque Internationale de Commerce - BRED (Suisse) SA</t>
  </si>
  <si>
    <t>Zähringer Privatbank AG</t>
  </si>
  <si>
    <t>IMAC Bond SA</t>
  </si>
  <si>
    <t>ISP Group AG</t>
  </si>
  <si>
    <t>SOBACO Holding AG</t>
  </si>
  <si>
    <t>Union Securities Switzerland SA</t>
  </si>
  <si>
    <t>Groupe Mirabaud</t>
  </si>
  <si>
    <t>NV</t>
  </si>
  <si>
    <t>Banco Santander International SA</t>
  </si>
  <si>
    <t>Bank Avera Genossenschaft</t>
  </si>
  <si>
    <t>BBVA SA</t>
  </si>
  <si>
    <t>Burgergemeinde Bern, DC Bank Deposito-Cassa der Stadt Bern</t>
  </si>
  <si>
    <t>Intesa Sanpaolo Private Bank (Suisse) Morval SA</t>
  </si>
  <si>
    <t>Kepler Cheuvreux (Suisse) SA</t>
  </si>
  <si>
    <t>MBaer Merchant Bank AG</t>
  </si>
  <si>
    <t>One Swiss Bank SA</t>
  </si>
  <si>
    <t>Remaco Asset Management AG</t>
  </si>
  <si>
    <t>SEBA Bank AG</t>
  </si>
  <si>
    <t>Sygnum Bank AG</t>
  </si>
  <si>
    <t>Tensor Technologies AG</t>
  </si>
  <si>
    <t>1. Quartal</t>
  </si>
  <si>
    <t>2. Quartal</t>
  </si>
  <si>
    <t>3. Quartal</t>
  </si>
  <si>
    <t>4. Quartal</t>
  </si>
  <si>
    <r>
      <t xml:space="preserve">Kategorie </t>
    </r>
    <r>
      <rPr>
        <b/>
        <vertAlign val="superscript"/>
        <sz val="8"/>
        <color theme="1"/>
        <rFont val="Arial"/>
        <family val="2"/>
      </rPr>
      <t>1)</t>
    </r>
  </si>
  <si>
    <t>Mindest-
eigenmittel</t>
  </si>
  <si>
    <t>Anrechenbare Eigenmittel</t>
  </si>
  <si>
    <t>davon hartes Kernkapital (CET1)</t>
  </si>
  <si>
    <t>davon Kernkapital (T1)</t>
  </si>
  <si>
    <t>Risiko-gewichtete Positionen (RWA)</t>
  </si>
  <si>
    <t>CET1-Quote (CET1 in % der RWA)</t>
  </si>
  <si>
    <t>Kernkapital-quote (T1 in % der RWA)</t>
  </si>
  <si>
    <t>Gesamtkapital-
quote (in % 
der RWA)</t>
  </si>
  <si>
    <t>Antizyklischer Puffer (AZP; in % der RWA)</t>
  </si>
  <si>
    <t>CET1-Zielquote
inkl. AZP</t>
  </si>
  <si>
    <t>T1-Zielquote
inkl. AZP</t>
  </si>
  <si>
    <t>Gesamtkapital-
Zielquote inkl. AZP</t>
  </si>
  <si>
    <t>Basel III Leverage
Ratio</t>
  </si>
  <si>
    <t>Gesamt-
engagement</t>
  </si>
  <si>
    <t>LCR</t>
  </si>
  <si>
    <t>Zähler der LCR (HQLA)</t>
  </si>
  <si>
    <t>Nenner der LCR (Net Outflow)</t>
  </si>
  <si>
    <t>in TCHF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</si>
  <si>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</si>
  <si>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</si>
  <si>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</si>
  <si>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</si>
  <si>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</si>
  <si>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</si>
  <si>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</si>
  <si>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</si>
  <si>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</si>
  <si>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</si>
  <si>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</si>
  <si>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</si>
  <si>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</si>
  <si>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</si>
  <si>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</si>
  <si>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</si>
  <si>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</si>
  <si>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</si>
  <si>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</si>
  <si>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</si>
  <si>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</si>
  <si>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</si>
  <si>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</si>
  <si>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</si>
  <si>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</si>
  <si>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</si>
  <si>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</si>
  <si>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</si>
  <si>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3)</t>
  </si>
  <si>
    <t>2)</t>
  </si>
  <si>
    <t>4)</t>
  </si>
  <si>
    <t>FINMA-Publikation von Key Metrics 2019</t>
  </si>
  <si>
    <t>Link auf FINMA-Website</t>
  </si>
  <si>
    <t>Offenlegung gemäss Rundschreiben "Offenlegung - Banken" per 31.12.2019</t>
  </si>
  <si>
    <r>
      <t>1)</t>
    </r>
    <r>
      <rPr>
        <sz val="7"/>
        <rFont val="Arial"/>
        <family val="2"/>
      </rPr>
      <t xml:space="preserve"> Die Kategorie nach BankV Art. 2 Abs. 2 bezieht sich auf den Stichtag 31.12.2019.</t>
    </r>
  </si>
  <si>
    <r>
      <rPr>
        <vertAlign val="superscript"/>
        <sz val="7"/>
        <rFont val="Arial"/>
        <family val="2"/>
      </rPr>
      <t xml:space="preserve">2) </t>
    </r>
    <r>
      <rPr>
        <sz val="7"/>
        <rFont val="Arial"/>
        <family val="2"/>
      </rPr>
      <t>Effektenhändler sowie, unter bestimmten Voraussetzungen, Holding- und Gruppengesellschaften sind von der Offenlegung der LCR-Liquiditätskennzahlen befreit (Rz 8 Rundschreiben 2016/1 "Offenlegung - Banken" bzw. Art. 14 Liquiditätsverordnung (LiqV) bzw. Rz 104 ff. Rundschreiben 2015/2 "Liquiditätsrisiken - Banken").</t>
    </r>
  </si>
  <si>
    <r>
      <rPr>
        <vertAlign val="superscript"/>
        <sz val="7"/>
        <rFont val="Arial"/>
        <family val="2"/>
      </rPr>
      <t>3)</t>
    </r>
    <r>
      <rPr>
        <sz val="7"/>
        <rFont val="Arial"/>
        <family val="2"/>
      </rPr>
      <t xml:space="preserve"> Teilnehmer des Pilotbetriebs Kleinbankenregime. Siehe FINMA-Website für Details.</t>
    </r>
  </si>
  <si>
    <r>
      <rPr>
        <vertAlign val="superscript"/>
        <sz val="7"/>
        <rFont val="Arial"/>
        <family val="2"/>
      </rPr>
      <t xml:space="preserve">4) </t>
    </r>
    <r>
      <rPr>
        <sz val="7"/>
        <rFont val="Arial"/>
        <family val="2"/>
      </rPr>
      <t>Das Institut war bis Ende 2019 von der Offenlegung der LCR-Liquiditätskennzahlen befreit.</t>
    </r>
  </si>
  <si>
    <t>Spalte112</t>
  </si>
  <si>
    <t>CET1_Zielquote exkl. AZP</t>
  </si>
  <si>
    <t>Zeilenbeschriftungen</t>
  </si>
  <si>
    <t>Gesamtergebnis</t>
  </si>
  <si>
    <t>Summe von Risiko-gewichtete Positionen (RWA)</t>
  </si>
  <si>
    <t>LLB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</si>
</sst>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vertAlign val="superscript"/>
      <sz val="7"/>
      <name val="Arial"/>
      <family val="2"/>
    </font>
    <font>
      <sz val="7"/>
      <name val="Arial"/>
      <family val="2"/>
    </font>
    <font>
      <u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/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9" fontId="5" fillId="0" borderId="0" xfId="0" applyNumberFormat="1" applyFont="1" applyAlignment="1">
      <alignment horizontal="center"/>
    </xf>
    <xf numFmtId="0" fontId="7" fillId="0" borderId="0" xfId="2" applyFont="1"/>
    <xf numFmtId="0" fontId="5" fillId="0" borderId="0" xfId="0" applyFont="1" applyAlignment="1">
      <alignment wrapText="1"/>
    </xf>
    <xf numFmtId="3" fontId="7" fillId="0" borderId="0" xfId="2" applyNumberFormat="1" applyFont="1" applyAlignment="1">
      <alignment horizontal="right" wrapText="1"/>
    </xf>
    <xf numFmtId="0" fontId="7" fillId="0" borderId="0" xfId="2" applyFont="1" applyAlignment="1">
      <alignment horizontal="right" wrapText="1"/>
    </xf>
    <xf numFmtId="164" fontId="7" fillId="0" borderId="0" xfId="1" applyNumberFormat="1" applyFont="1" applyFill="1" applyBorder="1" applyAlignment="1" applyProtection="1">
      <alignment horizontal="right" wrapText="1"/>
    </xf>
    <xf numFmtId="9" fontId="7" fillId="0" borderId="0" xfId="1" applyFont="1" applyFill="1" applyBorder="1" applyAlignment="1" applyProtection="1">
      <alignment horizontal="right" wrapText="1"/>
    </xf>
    <xf numFmtId="9" fontId="7" fillId="0" borderId="1" xfId="1" applyFont="1" applyFill="1" applyBorder="1" applyAlignment="1" applyProtection="1">
      <alignment horizontal="right" wrapText="1"/>
    </xf>
    <xf numFmtId="9" fontId="7" fillId="0" borderId="2" xfId="1" applyFont="1" applyFill="1" applyBorder="1" applyAlignment="1" applyProtection="1">
      <alignment horizontal="right" wrapText="1"/>
    </xf>
    <xf numFmtId="164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9" fontId="3" fillId="0" borderId="1" xfId="0" applyNumberFormat="1" applyFont="1" applyBorder="1"/>
    <xf numFmtId="3" fontId="3" fillId="0" borderId="2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10" fillId="0" borderId="0" xfId="0" applyFont="1"/>
    <xf numFmtId="0" fontId="3" fillId="2" borderId="3" xfId="0" applyFont="1" applyFill="1" applyBorder="1"/>
    <xf numFmtId="3" fontId="3" fillId="2" borderId="3" xfId="0" applyNumberFormat="1" applyFont="1" applyFill="1" applyBorder="1"/>
    <xf numFmtId="164" fontId="3" fillId="2" borderId="3" xfId="0" applyNumberFormat="1" applyFont="1" applyFill="1" applyBorder="1"/>
    <xf numFmtId="9" fontId="3" fillId="2" borderId="3" xfId="0" applyNumberFormat="1" applyFont="1" applyFill="1" applyBorder="1"/>
    <xf numFmtId="0" fontId="3" fillId="0" borderId="3" xfId="0" applyFont="1" applyBorder="1"/>
    <xf numFmtId="3" fontId="3" fillId="0" borderId="3" xfId="0" applyNumberFormat="1" applyFont="1" applyBorder="1"/>
    <xf numFmtId="164" fontId="3" fillId="0" borderId="3" xfId="0" applyNumberFormat="1" applyFont="1" applyBorder="1"/>
    <xf numFmtId="9" fontId="3" fillId="0" borderId="3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9" fillId="0" borderId="3" xfId="0" applyNumberFormat="1" applyFont="1" applyBorder="1" applyAlignment="1">
      <alignment horizontal="right"/>
    </xf>
    <xf numFmtId="3" fontId="9" fillId="2" borderId="3" xfId="0" applyNumberFormat="1" applyFont="1" applyFill="1" applyBorder="1" applyAlignment="1">
      <alignment horizontal="right"/>
    </xf>
    <xf numFmtId="9" fontId="9" fillId="0" borderId="3" xfId="0" applyNumberFormat="1" applyFont="1" applyBorder="1" applyAlignment="1">
      <alignment horizontal="right" vertical="center"/>
    </xf>
    <xf numFmtId="3" fontId="9" fillId="0" borderId="3" xfId="0" applyNumberFormat="1" applyFont="1" applyBorder="1" applyAlignment="1">
      <alignment horizontal="right" vertical="center"/>
    </xf>
    <xf numFmtId="9" fontId="9" fillId="2" borderId="3" xfId="0" applyNumberFormat="1" applyFont="1" applyFill="1" applyBorder="1" applyAlignment="1">
      <alignment horizontal="right" vertical="center"/>
    </xf>
    <xf numFmtId="3" fontId="9" fillId="2" borderId="3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164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9" fontId="3" fillId="0" borderId="0" xfId="0" applyNumberFormat="1" applyFont="1" applyAlignment="1">
      <alignment wrapText="1"/>
    </xf>
    <xf numFmtId="0" fontId="13" fillId="0" borderId="0" xfId="0" applyFont="1" applyAlignment="1">
      <alignment horizontal="left"/>
    </xf>
    <xf numFmtId="0" fontId="14" fillId="0" borderId="0" xfId="3" applyFont="1" applyAlignment="1">
      <alignment vertical="center"/>
    </xf>
    <xf numFmtId="0" fontId="13" fillId="0" borderId="0" xfId="0" applyFont="1"/>
    <xf numFmtId="3" fontId="10" fillId="0" borderId="0" xfId="0" applyNumberFormat="1" applyFont="1"/>
    <xf numFmtId="0" fontId="13" fillId="0" borderId="0" xfId="0" applyFont="1" applyAlignment="1">
      <alignment wrapText="1"/>
    </xf>
    <xf numFmtId="164" fontId="3" fillId="3" borderId="0" xfId="0" applyNumberFormat="1" applyFont="1" applyFill="1"/>
    <xf numFmtId="164" fontId="0" fillId="3" borderId="0" xfId="0" applyNumberFormat="1" applyFill="1" applyAlignment="1">
      <alignment vertical="center"/>
    </xf>
    <xf numFmtId="164" fontId="7" fillId="3" borderId="0" xfId="1" applyNumberFormat="1" applyFont="1" applyFill="1" applyBorder="1" applyAlignment="1" applyProtection="1">
      <alignment horizontal="right" wrapText="1"/>
    </xf>
    <xf numFmtId="164" fontId="3" fillId="3" borderId="0" xfId="0" applyNumberFormat="1" applyFont="1" applyFill="1" applyAlignment="1">
      <alignment vertical="center"/>
    </xf>
    <xf numFmtId="164" fontId="3" fillId="4" borderId="3" xfId="0" applyNumberFormat="1" applyFont="1" applyFill="1" applyBorder="1"/>
    <xf numFmtId="164" fontId="3" fillId="3" borderId="3" xfId="0" applyNumberFormat="1" applyFont="1" applyFill="1" applyBorder="1"/>
    <xf numFmtId="164" fontId="9" fillId="4" borderId="3" xfId="0" applyNumberFormat="1" applyFont="1" applyFill="1" applyBorder="1" applyAlignment="1">
      <alignment horizontal="right"/>
    </xf>
    <xf numFmtId="164" fontId="9" fillId="3" borderId="3" xfId="0" applyNumberFormat="1" applyFont="1" applyFill="1" applyBorder="1" applyAlignment="1">
      <alignment horizontal="right"/>
    </xf>
    <xf numFmtId="0" fontId="13" fillId="3" borderId="0" xfId="0" applyFont="1" applyFill="1" applyAlignment="1">
      <alignment wrapText="1"/>
    </xf>
    <xf numFmtId="9" fontId="5" fillId="0" borderId="1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2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Link" xfId="3" builtinId="8"/>
    <cellStyle name="Prozent" xfId="1" builtinId="5"/>
    <cellStyle name="Standard" xfId="0" builtinId="0"/>
    <cellStyle name="Standard_Tabelle2" xfId="2" xr:uid="{00000000-0005-0000-0000-00000300000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>
          <bgColor theme="4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77931</xdr:colOff>
      <xdr:row>0</xdr:row>
      <xdr:rowOff>51954</xdr:rowOff>
    </xdr:from>
    <xdr:to>
      <xdr:col>12</xdr:col>
      <xdr:colOff>640771</xdr:colOff>
      <xdr:row>3</xdr:row>
      <xdr:rowOff>273628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17106" y="51954"/>
          <a:ext cx="2934565" cy="1040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: Hartes Kernkapital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HQLA: Total der qualitativ hochwertigen</a:t>
          </a:r>
          <a:r>
            <a:rPr lang="de-CH" sz="8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liquiden Aktiven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Leverage Ratio: Ungewichtete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RWA: Risikogewichtete Aktiven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T1: Kernkapital (Tier 1)</a:t>
          </a: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Jacob" refreshedDate="46076.646690740738" createdVersion="8" refreshedVersion="8" minRefreshableVersion="3" recordCount="243" xr:uid="{9474C549-44B9-7F44-94BD-5E24F4DACD8E}">
  <cacheSource type="worksheet">
    <worksheetSource ref="A6:AC249" sheet="KeyMetrics2019"/>
  </cacheSource>
  <cacheFields count="29">
    <cacheField name="Name" numFmtId="0">
      <sharedItems containsBlank="1" count="243">
        <m/>
        <s v="Spalte1"/>
        <s v="Aargauische Kantonalbank"/>
        <s v="acrevis Bank AG"/>
        <s v="AEK BANK 1826 Genossenschaft"/>
        <s v="Alpha RHEINTAL Bank AG"/>
        <s v="Alternative Bank Schweiz AG"/>
        <s v="AP ANLAGE &amp; PRIVATBANK AG"/>
        <s v="Appenzeller Kantonalbank"/>
        <s v="Aquila AG"/>
        <s v="Arab Bank (Switzerland) Ltd."/>
        <s v="AXION SWISS BANK SA"/>
        <s v="Baader Helvea AG"/>
        <s v="Baloise Bank SoBa AG"/>
        <s v="Banca Aletti &amp; C. (Suisse) SA"/>
        <s v="BANCA CREDINVEST SA"/>
        <s v="BANCA DEL SEMPIONE SA"/>
        <s v="Banca dello Stato del Cantone Ticino"/>
        <s v="Banca Popolare di Sondrio (Suisse) SA"/>
        <s v="BANCA ZARATTINI &amp; CO. SA"/>
        <s v="Banco Itaú (Suisse) SA"/>
        <s v="Banco Santander International SA"/>
        <s v="Bank am Bellevue AG"/>
        <s v="Bank Avera Genossenschaft"/>
        <s v="Bank BSU Genossenschaft"/>
        <s v="Bank CIC (Schweiz) AG"/>
        <s v="Bank Cler AG"/>
        <s v="Bank EEK AG"/>
        <s v="Bank EKI Genossenschaft"/>
        <s v="Bank Gantrisch Genossenschaft"/>
        <s v="Bank in Zuzwil AG"/>
        <s v="Bank J. Safra Sarasin AG"/>
        <s v="Bank Julius Bär &amp; Co. AG"/>
        <s v="Bank Leerau Genossenschaft"/>
        <s v="Lu"/>
        <s v="Bank SLM AG"/>
        <s v="Bank Sparhafen Zürich AG"/>
        <s v="Bank Thalwil Genossenschaft"/>
        <s v="Bank von Roll AG"/>
        <s v="Bank Vontobel AG"/>
        <s v="BANK ZIMMERBERG AG"/>
        <s v="bank zweiplus ag"/>
        <s v="Bankhaus Jungholz AG"/>
        <s v="BankMed (Suisse) SA"/>
        <s v="Bank-now AG"/>
        <s v="Banque Algérienne du Commerce Extérieur SA"/>
        <s v="Banque Audi (Suisse) SA"/>
        <s v="Banque Bonhôte &amp; Cie SA"/>
        <s v="Banque Cantonale de Fribourg"/>
        <s v="Banque Cantonale de Genève"/>
        <s v="Banque Cantonale du Jura SA"/>
        <s v="Banque Cantonale du Valais"/>
        <s v="Banque cantonale neuchâteloise"/>
        <s v="Banque Cantonale Vaudoise"/>
        <s v="Banque Cramer &amp; Cie SA"/>
        <s v="Banque de Commerce et de Placements SA"/>
        <s v="Banque Degroof Petercam (Suisse) SA"/>
        <s v="Banque du Léman SA"/>
        <s v="Banque Eric Sturdza SA"/>
        <s v="Banque Havilland (Suisse) S.A."/>
        <s v="BANQUE HERITAGE SA"/>
        <s v="Banque Internationale à Luxembourg (Suisse) SA"/>
        <s v="Banque Internationale de Commerce - BRED (Suisse) SA"/>
        <s v="Banque Lombard Odier &amp; Cie SA"/>
        <s v="Banque Pâris Bertrand SA"/>
        <s v="Banque Pictet &amp; Cie SA"/>
        <s v="BANQUE PRIVEE BCP (SUISSE) SA"/>
        <s v="BANQUE PROFIL DE GESTION SA"/>
        <s v="Banque SYZ SA"/>
        <s v="Banque Thaler SA"/>
        <s v="Bantleon Bank AG"/>
        <s v="Barclays Bank (Suisse) SA"/>
        <s v="Basellandschaftliche Kantonalbank"/>
        <s v="Basler Kantonalbank"/>
        <s v="BBO Bank Brienz Oberhasli AG"/>
        <s v="BBVA SA"/>
        <s v="Bellevue Group AG"/>
        <s v="BERGOS BERENBERG AG"/>
        <s v="Berner Kantonalbank AG"/>
        <s v="Bernerland Bank AG"/>
        <s v="Bezirks-Sparkasse Dielsdorf Genossenschaft"/>
        <s v="BLOM BANK (Switzerland) SA"/>
        <s v="BNP Paribas (Suisse) SA"/>
        <s v="Bondpartners S.A."/>
        <s v="bridport &amp; cie sa"/>
        <s v="BSZ Genossenschaft"/>
        <s v="Burgergemeinde Bern, DC Bank Deposito-Cassa der Stadt Bern"/>
        <s v="Burgerliche Ersparniskasse Bern, Genossenschaft"/>
        <s v="CA Indosuez (Switzerland) SA"/>
        <s v="Caisse d'Epargne d'Aubonne société coopérative"/>
        <s v="Caisse d'Epargne de Cossonay société coopérative"/>
        <s v="Caisse d'Epargne de Nyon société coopérative"/>
        <s v="Caisse d'Epargne et de Crédit Mutuel de Chermignon société coopérative"/>
        <s v="Caisse d'Epargne Riviera, société coopérative"/>
        <s v="CBH Compagnie Bancaire Helvétique SA"/>
        <s v="Cembra Money Bank AG"/>
        <s v="CIM BANQUE SA"/>
        <s v="Cité Gestion SA"/>
        <s v="Citibank (Switzerland) AG"/>
        <s v="Clientis AG"/>
        <s v="CMCT Holding SA"/>
        <s v="Compass Asset Management SA"/>
        <s v="Cornèr Banca SA"/>
        <s v="Crédit Agricole next bank (Suisse) SA"/>
        <s v="Credit Europe Bank (Suisse) SA"/>
        <s v="CREDIT MUTUEL DE LA VALLEE SA"/>
        <s v="Delen (Suisse) SA"/>
        <s v="Deutsche Bank (Suisse) SA"/>
        <s v="Dreyfus Söhne &amp; Cie. Aktiengesellschaft, Banquiers"/>
        <s v="Dukascopy Bank SA"/>
        <s v="DZ PRIVATBANK (Schweiz) AG"/>
        <s v="Edmond de Rothschild (Suisse) S.A."/>
        <s v="Edmond de Rothschild Holding SA"/>
        <s v="EFG Bank AG"/>
        <s v="EFG Bank European Financial Group SA"/>
        <s v="EFG International AG"/>
        <s v="Entris Banking AG"/>
        <s v="Ersparniskasse Affoltern i.E. AG"/>
        <s v="Ersparniskasse Rüeggisberg Genossenschaft"/>
        <s v="Ersparniskasse Schaffhausen AG"/>
        <s v="Ersparniskasse Speicher"/>
        <s v="F. van Lanschot Bankiers (Schweiz) AG"/>
        <s v="FAB Private Bank (Suisse) SA"/>
        <s v="Fidurhône SA"/>
        <s v="Financière SYZ SA"/>
        <s v="Fisch Asset Management AG"/>
        <s v="Frankfurter Bankgesellschaft (Schweiz) AG"/>
        <s v="Freie Gemeinschaftsbank Genossenschaft"/>
        <s v="Gazprombank (Schweiz) AG"/>
        <s v="Genossenschaft EEK Beteiligungen"/>
        <s v="Glarner Kantonalbank"/>
        <s v="Globalance Bank AG"/>
        <s v="Goldman Sachs Bank AG"/>
        <s v="Gonet &amp; Cie SA"/>
        <s v="Gonet SA"/>
        <s v="Grammont Finance SA"/>
        <s v="Graubündner Kantonalbank"/>
        <s v="GRB Glarner Regionalbank Genossenschaft"/>
        <s v="Groupe Mirabaud"/>
        <s v="Habib Bank AG Zürich"/>
        <s v="Helvetische Bank AG"/>
        <s v="HINDUJA BANQUE (SUISSE) SA"/>
        <s v="HINDUJA SUISSE HOLDING SA"/>
        <s v="Hottinger AG"/>
        <s v="HSBC Private Bank (Suisse) SA"/>
        <s v="Hyposwiss Private Bank Genève SA"/>
        <s v="Hypothekarbank Lenzburg AG"/>
        <s v="IBKR Financial Services AG"/>
        <s v="IMAC Bond SA"/>
        <s v="InCore Bank AG"/>
        <s v="Intesa Sanpaolo Private Bank (Suisse) Morval SA"/>
        <s v="ISP Group AG"/>
        <s v="ISP Securities AG"/>
        <s v="J. Safra Sarasin Holding AG"/>
        <s v="J.P. Morgan (Suisse) SA"/>
        <s v="JL Securities SA"/>
        <s v="Julius Bär Gruppe AG"/>
        <s v="Kepler Cheuvreux (Suisse) SA"/>
        <s v="LANDOLT &amp; CIE SA"/>
        <s v="Leihkasse Stammheim AG"/>
        <s v="Leonteq AG"/>
        <s v="Leonteq Securities AG"/>
        <s v="LF FINANCE (SUISSE) SA"/>
        <s v="LGT Bank (Schweiz) AG"/>
        <s v="Lienhardt &amp; Partner Privatbank Zürich AG"/>
        <s v="Luzerner Kantonalbank AG"/>
        <s v="Maerki Baumann &amp; Co. AG"/>
        <s v="MBaer Merchant Bank AG"/>
        <s v="Mercantil Bank (Schweiz) AG"/>
        <s v="MG Finance SA"/>
        <s v="Migros Bank AG"/>
        <s v="NBK Banque Privée (Suisse) SA"/>
        <s v="Neue Aargauer Bank AG"/>
        <s v="Neutral Holding S.p.f. SA"/>
        <s v="Nidwaldner Kantonalbank"/>
        <s v="NPB Neue Privat Bank AG"/>
        <s v="Obwaldner Kantonalbank"/>
        <s v="ODDO BHF (Schweiz) AG"/>
        <s v="One Swiss Bank SA"/>
        <s v="Parkwell Limited"/>
        <s v="PATRIMONY 1873 SA"/>
        <s v="Piguet Galland &amp; Cie SA"/>
        <s v="PKB PRIVATBANK SA"/>
        <s v="Privatbank Bellerive AG"/>
        <s v="Privatbank IHAG Zürich AG"/>
        <s v="Privatbank Von Graffenried AG"/>
        <s v="Private Client Bank AG"/>
        <s v="Private Client Partners AG"/>
        <s v="QNB (Suisse) SA"/>
        <s v="Quantus AG"/>
        <s v="Quilvest (Switzerland) Ltd."/>
        <s v="Regiobank Männedorf AG"/>
        <s v="Regiobank Solothurn AG"/>
        <s v="Reichmuth &amp; Co Holding AG"/>
        <s v="Remaco Asset Management AG"/>
        <s v="Reuss Private AG"/>
        <s v="Reuss Private Group AG"/>
        <s v="REYL &amp; Cie SA"/>
        <s v="Rothschild &amp; Co Bank AG"/>
        <s v="SAXO BANK (SCHWEIZ) AG"/>
        <s v="SB Saanen Bank AG"/>
        <s v="Sberbank (Switzerland) AG"/>
        <s v="Schaffhauser Kantonalbank"/>
        <s v="Schroder &amp; Co Bank AG"/>
        <s v="Schwyzer Kantonalbank"/>
        <s v="Scobag Privatbank AG"/>
        <s v="SEBA Bank AG"/>
        <s v="SeeBeteiligungs AG"/>
        <s v="SELVI &amp; Cie SA"/>
        <s v="SOBACO Holding AG"/>
        <s v="Società Bancaria Ticinese SA"/>
        <s v="SOCIETE GENERALE Private Banking (Suisse) SA"/>
        <s v="SPAR + LEIHKASSE GÜRBETAL AG"/>
        <s v="Spar- und Leihkasse Bucheggberg AG"/>
        <s v="Spar- und Leihkasse Frutigen AG"/>
        <s v="Spar- und Leihkasse Wynigen AG"/>
        <s v="Spar+Leihkasse Riggisberg AG"/>
        <s v="Sparkasse Schwyz AG"/>
        <s v="St. Galler Kantonalbank AG"/>
        <s v="Swiss Bankers Prepaid Services AG"/>
        <s v="Swissquote Bank SA"/>
        <s v="Swissquote Group Holding SA"/>
        <s v="Sygnum Bank AG"/>
        <s v="Tellco AG"/>
        <s v="Tensor Technologies AG"/>
        <s v="Thurgauer Kantonalbank"/>
        <s v="Trafina Privatbank AG"/>
        <s v="UBL (Switzerland) AG"/>
        <s v="UNION BANCAIRE PRIVEE, UBP SA"/>
        <s v="Union Securities Switzerland SA"/>
        <s v="UNITED MIZRAHI BANK (Switzerland) Ltd."/>
        <s v="Urner Kantonalbank"/>
        <s v="Valcourt SA"/>
        <s v="Valiant Bank AG"/>
        <s v="Valiant Holding AG"/>
        <s v="Vontobel Holding AG"/>
        <s v="VP Bank (Schweiz) AG"/>
        <s v="VZ Depotbank AG"/>
        <s v="VZ Holding AG"/>
        <s v="WIR Bank Genossenschaft"/>
        <s v="Zähringer Privatbank AG"/>
        <s v="Zuger Kantonalbank"/>
        <s v="Zürcher Landbank AG"/>
      </sharedItems>
    </cacheField>
    <cacheField name="Kategorie 1)" numFmtId="0">
      <sharedItems containsBlank="1" containsMixedTypes="1" containsNumber="1" containsInteger="1" minValue="3" maxValue="5"/>
    </cacheField>
    <cacheField name="Mindest-_x000a_eigenmittel" numFmtId="3">
      <sharedItems containsMixedTypes="1" containsNumber="1" minValue="316" maxValue="1804294"/>
    </cacheField>
    <cacheField name="Anrechenbare Eigenmittel" numFmtId="3">
      <sharedItems containsMixedTypes="1" containsNumber="1" containsInteger="1" minValue="1953" maxValue="4968913"/>
    </cacheField>
    <cacheField name="davon hartes Kernkapital (CET1)" numFmtId="3">
      <sharedItems containsMixedTypes="1" containsNumber="1" containsInteger="1" minValue="1953" maxValue="4968913"/>
    </cacheField>
    <cacheField name="davon Kernkapital (T1)" numFmtId="3">
      <sharedItems containsMixedTypes="1" containsNumber="1" containsInteger="1" minValue="1953" maxValue="4968913"/>
    </cacheField>
    <cacheField name="Risiko-gewichtete Positionen (RWA)" numFmtId="3">
      <sharedItems containsMixedTypes="1" containsNumber="1" minValue="3955" maxValue="22553673"/>
    </cacheField>
    <cacheField name="CET1-Quote (CET1 in % der RWA)" numFmtId="164">
      <sharedItems containsBlank="1" containsMixedTypes="1" containsNumber="1" minValue="8.5000000000000006E-2" maxValue="5.4589999999999996"/>
    </cacheField>
    <cacheField name="Kernkapital-quote (T1 in % der RWA)" numFmtId="164">
      <sharedItems containsBlank="1" containsMixedTypes="1" containsNumber="1" minValue="9.9000000000000005E-2" maxValue="5.4589999999999996"/>
    </cacheField>
    <cacheField name="Gesamtkapital-_x000a_quote (in % _x000a_der RWA)" numFmtId="164">
      <sharedItems containsBlank="1" containsMixedTypes="1" containsNumber="1" minValue="0.12" maxValue="5.4589999999999996"/>
    </cacheField>
    <cacheField name="Antizyklischer Puffer (AZP; in % der RWA)" numFmtId="164">
      <sharedItems containsBlank="1" containsMixedTypes="1" containsNumber="1" minValue="0" maxValue="1.7999999999999999E-2"/>
    </cacheField>
    <cacheField name="CET1_Zielquote exkl. AZP" numFmtId="164">
      <sharedItems containsBlank="1" containsMixedTypes="1" containsNumber="1" minValue="6.9999999999999993E-2" maxValue="7.8E-2"/>
    </cacheField>
    <cacheField name="CET1-Zielquote_x000a_inkl. AZP" numFmtId="164">
      <sharedItems containsBlank="1" containsMixedTypes="1" containsNumber="1" minValue="7.0000000000000007E-2" maxValue="9.1999999999999998E-2"/>
    </cacheField>
    <cacheField name="T1-Zielquote_x000a_inkl. AZP" numFmtId="0">
      <sharedItems containsBlank="1" containsMixedTypes="1" containsNumber="1" minValue="8.5000000000000006E-2" maxValue="0.11"/>
    </cacheField>
    <cacheField name="Gesamtkapital-_x000a_Zielquote inkl. AZP" numFmtId="0">
      <sharedItems containsBlank="1" containsMixedTypes="1" containsNumber="1" minValue="0.105" maxValue="0.13400000000000001"/>
    </cacheField>
    <cacheField name="Basel III Leverage_x000a_Ratio" numFmtId="0">
      <sharedItems containsBlank="1" containsMixedTypes="1" containsNumber="1" minValue="2.9000000000000001E-2" maxValue="1"/>
    </cacheField>
    <cacheField name="Gesamt-_x000a_engagement" numFmtId="3">
      <sharedItems containsMixedTypes="1" containsNumber="1" minValue="2908" maxValue="101002488"/>
    </cacheField>
    <cacheField name="LCR" numFmtId="9">
      <sharedItems containsBlank="1" containsMixedTypes="1" containsNumber="1" minValue="1.02" maxValue="1051.3599999999999"/>
    </cacheField>
    <cacheField name="Zähler der LCR (HQLA)" numFmtId="3">
      <sharedItems containsMixedTypes="1" containsNumber="1" minValue="0" maxValue="21021994.907356702"/>
    </cacheField>
    <cacheField name="Nenner der LCR (Net Outflow)" numFmtId="3">
      <sharedItems containsMixedTypes="1" containsNumber="1" minValue="0" maxValue="12125096.6561007"/>
    </cacheField>
    <cacheField name="LCR2" numFmtId="9">
      <sharedItems containsBlank="1" containsMixedTypes="1" containsNumber="1" minValue="1.02" maxValue="153.12"/>
    </cacheField>
    <cacheField name="Zähler der LCR (HQLA)2" numFmtId="3">
      <sharedItems containsMixedTypes="1" containsNumber="1" minValue="0" maxValue="21305996.845164701"/>
    </cacheField>
    <cacheField name="Nenner der LCR (Net Outflow)2" numFmtId="3">
      <sharedItems containsMixedTypes="1" containsNumber="1" minValue="0" maxValue="12716552.818908"/>
    </cacheField>
    <cacheField name="LCR3" numFmtId="9">
      <sharedItems containsBlank="1" containsMixedTypes="1" containsNumber="1" minValue="1.04" maxValue="17.72"/>
    </cacheField>
    <cacheField name="Zähler der LCR (HQLA)3" numFmtId="3">
      <sharedItems containsMixedTypes="1" containsNumber="1" minValue="100" maxValue="19648669.6807843"/>
    </cacheField>
    <cacheField name="Nenner der LCR (Net Outflow)3" numFmtId="3">
      <sharedItems containsMixedTypes="1" containsNumber="1" minValue="0" maxValue="12218189.376413301"/>
    </cacheField>
    <cacheField name="LCR4" numFmtId="9">
      <sharedItems containsBlank="1" containsMixedTypes="1" containsNumber="1" minValue="1.07" maxValue="107.88"/>
    </cacheField>
    <cacheField name="Zähler der LCR (HQLA)4" numFmtId="3">
      <sharedItems containsMixedTypes="1" containsNumber="1" minValue="100" maxValue="18596055.018172"/>
    </cacheField>
    <cacheField name="Nenner der LCR (Net Outflow)4" numFmtId="3">
      <sharedItems containsMixedTypes="1" containsNumber="1" minValue="0" maxValue="12074742.9888013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m/>
    <s v="in TCHF"/>
    <s v="in TCHF"/>
    <s v="in TCHF"/>
    <s v="in TCHF"/>
    <s v="in TCHF"/>
    <m/>
    <m/>
    <m/>
    <m/>
    <m/>
    <m/>
    <m/>
    <m/>
    <m/>
    <s v="in TCHF"/>
    <m/>
    <s v="in TCHF"/>
    <s v="in TCHF"/>
    <m/>
    <s v="in TCHF"/>
    <s v="in TCHF"/>
    <m/>
    <s v="in TCHF"/>
    <s v="in TCHF"/>
    <m/>
    <s v="in TCHF"/>
    <s v="in TCHF"/>
  </r>
  <r>
    <x v="1"/>
    <s v="Spalte2"/>
    <s v="Spalte3"/>
    <s v="Spalte4"/>
    <s v="Spalte5"/>
    <s v="Spalte6"/>
    <s v="Spalte7"/>
    <s v="Spalte8"/>
    <s v="Spalte9"/>
    <s v="Spalte10"/>
    <s v="Spalte11"/>
    <s v="Spalte112"/>
    <s v="Spalte12"/>
    <s v="Spalte13"/>
    <s v="Spalte14"/>
    <s v="Spalte15"/>
    <s v="Spalte16"/>
    <s v="Spalte17"/>
    <s v="Spalte18"/>
    <s v="Spalte19"/>
    <s v="Spalte20"/>
    <s v="Spalte21"/>
    <s v="Spalte22"/>
    <s v="Spalte23"/>
    <s v="Spalte24"/>
    <s v="Spalte25"/>
    <s v="Spalte26"/>
    <s v="Spalte27"/>
    <s v="Spalte28"/>
  </r>
  <r>
    <x v="2"/>
    <n v="3"/>
    <n v="1071512"/>
    <n v="2401058"/>
    <n v="2401058"/>
    <n v="2401058"/>
    <n v="13393901"/>
    <n v="0.17899999999999999"/>
    <n v="0.17899999999999999"/>
    <n v="0.17899999999999999"/>
    <n v="0.01"/>
    <n v="7.8E-2"/>
    <n v="8.7999999999999995E-2"/>
    <n v="0.106"/>
    <n v="0.13"/>
    <n v="7.6999999999999999E-2"/>
    <n v="31054874"/>
    <n v="1.35"/>
    <n v="4396167"/>
    <n v="3259248"/>
    <n v="1.38"/>
    <n v="4606179"/>
    <n v="3335773"/>
    <n v="1.54"/>
    <n v="4904460"/>
    <n v="3191809"/>
    <n v="1.53"/>
    <n v="5696790"/>
    <n v="3719379"/>
  </r>
  <r>
    <x v="3"/>
    <n v="4"/>
    <n v="172885"/>
    <n v="389443"/>
    <n v="389443"/>
    <n v="389443"/>
    <n v="2161060"/>
    <n v="0.18"/>
    <n v="0.18"/>
    <n v="0.18"/>
    <n v="0.01"/>
    <n v="7.400000000000001E-2"/>
    <n v="8.4000000000000005E-2"/>
    <n v="0.1"/>
    <n v="0.122"/>
    <n v="8.5000000000000006E-2"/>
    <n v="4583444"/>
    <n v="1.19"/>
    <n v="596787"/>
    <n v="501766"/>
    <n v="1.22"/>
    <n v="598016"/>
    <n v="489321"/>
    <n v="1.25"/>
    <n v="575194"/>
    <n v="460578"/>
    <n v="1.22"/>
    <n v="635806"/>
    <n v="520993"/>
  </r>
  <r>
    <x v="4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5"/>
    <n v="4"/>
    <n v="101321"/>
    <n v="208415"/>
    <n v="208415"/>
    <n v="208415"/>
    <n v="1266507"/>
    <n v="0.16500000000000001"/>
    <n v="0.16500000000000001"/>
    <n v="0.16500000000000001"/>
    <n v="8.9999999999999993E-3"/>
    <n v="7.400000000000001E-2"/>
    <n v="8.3000000000000004E-2"/>
    <n v="9.9000000000000005E-2"/>
    <n v="0.121"/>
    <n v="0.08"/>
    <n v="2589902"/>
    <n v="1.25"/>
    <n v="214452"/>
    <n v="171852"/>
    <n v="1.37"/>
    <n v="247453"/>
    <n v="180819"/>
    <n v="1.35"/>
    <n v="233215"/>
    <n v="172318"/>
    <n v="1.37"/>
    <n v="291538"/>
    <n v="212350"/>
  </r>
  <r>
    <x v="6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7"/>
    <n v="5"/>
    <n v="11283"/>
    <n v="27963"/>
    <n v="27963"/>
    <n v="27963"/>
    <n v="141042"/>
    <n v="0.19800000000000001"/>
    <n v="0.19800000000000001"/>
    <n v="0.19800000000000001"/>
    <n v="0"/>
    <n v="7.0000000000000007E-2"/>
    <n v="7.0000000000000007E-2"/>
    <n v="8.5000000000000006E-2"/>
    <n v="0.105"/>
    <n v="9.6000000000000002E-2"/>
    <n v="291509"/>
    <n v="1.5"/>
    <n v="84237"/>
    <n v="56130"/>
    <n v="1.73"/>
    <n v="112229"/>
    <n v="65059"/>
    <n v="1.68"/>
    <n v="117014"/>
    <n v="69537"/>
    <n v="1.61"/>
    <n v="119174"/>
    <n v="73833"/>
  </r>
  <r>
    <x v="8"/>
    <n v="4"/>
    <n v="127519"/>
    <n v="312024"/>
    <n v="312024"/>
    <n v="312024"/>
    <n v="1593993"/>
    <n v="0.19600000000000001"/>
    <n v="0.19600000000000001"/>
    <n v="0.19600000000000001"/>
    <n v="0.01"/>
    <n v="7.400000000000001E-2"/>
    <n v="8.4000000000000005E-2"/>
    <n v="0.1"/>
    <n v="0.122"/>
    <n v="8.6999999999999994E-2"/>
    <n v="3596708"/>
    <n v="1.1499999999999999"/>
    <n v="383112"/>
    <n v="332014"/>
    <n v="1.23"/>
    <n v="394101"/>
    <n v="319639"/>
    <n v="1.22"/>
    <n v="391372"/>
    <n v="320309"/>
    <n v="1.34"/>
    <n v="408695"/>
    <n v="304524"/>
  </r>
  <r>
    <x v="9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0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1"/>
    <n v="4"/>
    <n v="17715"/>
    <n v="69811"/>
    <n v="49811"/>
    <n v="69811"/>
    <n v="221436"/>
    <n v="0.22500000000000001"/>
    <n v="0.315"/>
    <n v="0.315"/>
    <n v="0"/>
    <n v="7.3999999999999996E-2"/>
    <n v="7.3999999999999996E-2"/>
    <n v="0.09"/>
    <n v="0.112"/>
    <n v="6.0999999999999999E-2"/>
    <n v="1149696"/>
    <n v="3.7"/>
    <n v="777909"/>
    <n v="210474"/>
    <n v="2.73"/>
    <n v="880434"/>
    <n v="322765"/>
    <n v="2.4500000000000002"/>
    <n v="869772"/>
    <n v="355225"/>
    <n v="2.74"/>
    <n v="469474"/>
    <n v="171357"/>
  </r>
  <r>
    <x v="12"/>
    <n v="5"/>
    <n v="2239"/>
    <n v="9001"/>
    <n v="8006"/>
    <n v="8006"/>
    <n v="27982"/>
    <n v="0.28599999999999998"/>
    <n v="0.28599999999999998"/>
    <n v="0.32200000000000001"/>
    <n v="0"/>
    <n v="7.0000000000000007E-2"/>
    <n v="7.0000000000000007E-2"/>
    <n v="8.5000000000000006E-2"/>
    <n v="0.105"/>
    <n v="0.56599999999999995"/>
    <n v="14132"/>
    <s v="2)"/>
    <s v="2)"/>
    <s v="2)"/>
    <s v="2)"/>
    <s v="2)"/>
    <s v="2)"/>
    <s v="2)"/>
    <s v="2)"/>
    <s v="2)"/>
    <s v="2)"/>
    <s v="2)"/>
    <s v="2)"/>
  </r>
  <r>
    <x v="13"/>
    <n v="4"/>
    <n v="248677"/>
    <n v="415622"/>
    <n v="366622"/>
    <n v="366622"/>
    <n v="3108465"/>
    <n v="0.11799999999999999"/>
    <n v="0.11799999999999999"/>
    <n v="0.13400000000000001"/>
    <n v="1.4E-2"/>
    <n v="7.3999999999999996E-2"/>
    <n v="8.7999999999999995E-2"/>
    <n v="0.104"/>
    <n v="0.126"/>
    <n v="4.4999999999999998E-2"/>
    <n v="8145327"/>
    <n v="1.28"/>
    <n v="921490"/>
    <n v="720186"/>
    <n v="1.3"/>
    <n v="931272"/>
    <n v="716498"/>
    <n v="1.35"/>
    <n v="993286"/>
    <n v="738179"/>
    <n v="1.6"/>
    <n v="1100900"/>
    <n v="689969"/>
  </r>
  <r>
    <x v="14"/>
    <n v="5"/>
    <n v="3256"/>
    <n v="30981"/>
    <n v="30981"/>
    <n v="30981"/>
    <n v="40703"/>
    <n v="0.76100000000000001"/>
    <n v="0.76100000000000001"/>
    <n v="0.76100000000000001"/>
    <n v="0"/>
    <n v="7.0000000000000007E-2"/>
    <n v="7.0000000000000007E-2"/>
    <n v="8.5000000000000006E-2"/>
    <n v="0.105"/>
    <n v="0.215"/>
    <n v="144423"/>
    <n v="1.1499999999999999"/>
    <n v="16680"/>
    <n v="14521"/>
    <n v="1.32"/>
    <n v="21129"/>
    <n v="15996"/>
    <n v="1.62"/>
    <n v="33457"/>
    <n v="20711"/>
    <n v="1.18"/>
    <n v="18738"/>
    <n v="15859"/>
  </r>
  <r>
    <x v="15"/>
    <n v="5"/>
    <n v="8875"/>
    <n v="32003"/>
    <n v="32003"/>
    <n v="32003"/>
    <n v="110940"/>
    <n v="0.28799999999999998"/>
    <n v="0.28799999999999998"/>
    <n v="0.28799999999999998"/>
    <n v="1E-3"/>
    <n v="6.9999999999999993E-2"/>
    <n v="7.0999999999999994E-2"/>
    <n v="8.5999999999999993E-2"/>
    <n v="0.106"/>
    <n v="6.0999999999999999E-2"/>
    <n v="521453"/>
    <n v="1.2"/>
    <n v="62957"/>
    <n v="52427"/>
    <n v="1.21"/>
    <n v="64155"/>
    <n v="52860"/>
    <n v="1.27"/>
    <n v="64145"/>
    <n v="50405"/>
    <n v="1.48"/>
    <n v="66977"/>
    <n v="45227"/>
  </r>
  <r>
    <x v="16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7"/>
    <n v="4"/>
    <n v="580232"/>
    <n v="1271168"/>
    <n v="1236168"/>
    <n v="1236168"/>
    <n v="7252904"/>
    <n v="0.17"/>
    <n v="0.17"/>
    <n v="0.17499999999999999"/>
    <n v="8.0000000000000002E-3"/>
    <n v="7.400000000000001E-2"/>
    <n v="8.2000000000000003E-2"/>
    <n v="9.8000000000000004E-2"/>
    <n v="0.12"/>
    <n v="8.1000000000000003E-2"/>
    <n v="15326305"/>
    <n v="1.72"/>
    <n v="2117037"/>
    <n v="1230154"/>
    <n v="1.58"/>
    <n v="2172873"/>
    <n v="1372752"/>
    <n v="1.69"/>
    <n v="2271933"/>
    <n v="1345970"/>
    <n v="1.77"/>
    <n v="2330403"/>
    <n v="1317802"/>
  </r>
  <r>
    <x v="18"/>
    <n v="4"/>
    <n v="169065"/>
    <n v="388555"/>
    <n v="388555"/>
    <n v="388555"/>
    <n v="2113313"/>
    <n v="0.184"/>
    <n v="0.184"/>
    <n v="0.184"/>
    <n v="1.2E-2"/>
    <n v="7.3999999999999996E-2"/>
    <n v="8.5999999999999993E-2"/>
    <n v="0.10199999999999999"/>
    <n v="0.124"/>
    <n v="6.8000000000000005E-2"/>
    <n v="5696370"/>
    <n v="1.51"/>
    <n v="687450"/>
    <n v="456212"/>
    <n v="1.57"/>
    <n v="692163"/>
    <n v="440320"/>
    <n v="1.6"/>
    <n v="692632"/>
    <n v="434027"/>
    <n v="1.77"/>
    <n v="749174"/>
    <n v="423591"/>
  </r>
  <r>
    <x v="19"/>
    <n v="5"/>
    <n v="21433"/>
    <n v="69149"/>
    <n v="69149"/>
    <n v="69149"/>
    <n v="267918"/>
    <n v="0.25800000000000001"/>
    <n v="0.25800000000000001"/>
    <n v="0.25800000000000001"/>
    <n v="0"/>
    <n v="7.0000000000000007E-2"/>
    <n v="7.0000000000000007E-2"/>
    <n v="8.5000000000000006E-2"/>
    <n v="0.105"/>
    <n v="0.13300000000000001"/>
    <n v="520382"/>
    <n v="1.31"/>
    <n v="46118"/>
    <n v="35302"/>
    <n v="1.38"/>
    <n v="51168"/>
    <n v="37154"/>
    <n v="1.44"/>
    <n v="56782"/>
    <n v="39378"/>
    <n v="1.52"/>
    <n v="57054"/>
    <n v="37657"/>
  </r>
  <r>
    <x v="20"/>
    <n v="4"/>
    <n v="47374"/>
    <n v="196118"/>
    <n v="196118"/>
    <n v="196118"/>
    <n v="592178"/>
    <n v="0.33100000000000002"/>
    <n v="0.33100000000000002"/>
    <n v="0.33100000000000002"/>
    <n v="0"/>
    <n v="7.3999999999999996E-2"/>
    <n v="7.3999999999999996E-2"/>
    <n v="0.09"/>
    <n v="0.112"/>
    <n v="0.18099999999999999"/>
    <n v="1085555"/>
    <n v="1.65"/>
    <n v="351205"/>
    <n v="212288"/>
    <n v="1.6"/>
    <n v="315110"/>
    <n v="196727"/>
    <n v="1.62"/>
    <n v="279963"/>
    <n v="172836"/>
    <n v="1.86"/>
    <n v="211941"/>
    <n v="114068"/>
  </r>
  <r>
    <x v="21"/>
    <n v="4"/>
    <n v="95383"/>
    <n v="1095941"/>
    <n v="1095171"/>
    <n v="1095171"/>
    <n v="1192289"/>
    <n v="0.91900000000000004"/>
    <n v="0.91900000000000004"/>
    <n v="0.91900000000000004"/>
    <n v="0"/>
    <n v="7.3999999999999996E-2"/>
    <n v="7.3999999999999996E-2"/>
    <n v="0.09"/>
    <n v="0.112"/>
    <n v="0.32600000000000001"/>
    <n v="3356310"/>
    <n v="1.68"/>
    <n v="1076199"/>
    <n v="639257"/>
    <n v="2.0299999999999998"/>
    <n v="1120582"/>
    <n v="551980"/>
    <n v="2.38"/>
    <n v="1256774"/>
    <n v="528179"/>
    <n v="2.35"/>
    <n v="1015180"/>
    <n v="432243"/>
  </r>
  <r>
    <x v="22"/>
    <n v="5"/>
    <n v="8521"/>
    <n v="37500"/>
    <n v="37500"/>
    <n v="37500"/>
    <n v="106518"/>
    <n v="0.35199999999999998"/>
    <n v="0.35199999999999998"/>
    <n v="0.35199999999999998"/>
    <n v="0"/>
    <n v="7.0000000000000007E-2"/>
    <n v="7.0000000000000007E-2"/>
    <n v="8.5000000000000006E-2"/>
    <n v="0.105"/>
    <n v="0.17799999999999999"/>
    <n v="211209"/>
    <n v="1.76"/>
    <n v="125661"/>
    <n v="71213"/>
    <n v="2.1800000000000002"/>
    <n v="88546"/>
    <n v="40606"/>
    <n v="5.56"/>
    <n v="125113"/>
    <n v="22511"/>
    <n v="5.09"/>
    <n v="100994"/>
    <n v="19837"/>
  </r>
  <r>
    <x v="23"/>
    <n v="4"/>
    <n v="149489"/>
    <n v="305693"/>
    <n v="204132"/>
    <n v="204132"/>
    <n v="1868619"/>
    <n v="0.109"/>
    <n v="0.109"/>
    <n v="0.16400000000000001"/>
    <n v="1.2999999999999999E-2"/>
    <n v="7.3999999999999996E-2"/>
    <n v="8.6999999999999994E-2"/>
    <n v="0.10299999999999999"/>
    <n v="0.125"/>
    <n v="4.5999999999999999E-2"/>
    <n v="4415265"/>
    <s v="4)"/>
    <s v="4)"/>
    <s v="4)"/>
    <s v="4)"/>
    <s v="4)"/>
    <s v="4)"/>
    <s v="4)"/>
    <s v="4)"/>
    <s v="4)"/>
    <s v="4)"/>
    <s v="4)"/>
    <s v="4)"/>
  </r>
  <r>
    <x v="24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5"/>
    <n v="4"/>
    <n v="388629"/>
    <n v="616275"/>
    <n v="451828"/>
    <n v="511828"/>
    <n v="4857858"/>
    <n v="9.2999999999999999E-2"/>
    <n v="0.105"/>
    <n v="0.127"/>
    <n v="8.0000000000000002E-3"/>
    <n v="7.400000000000001E-2"/>
    <n v="8.2000000000000003E-2"/>
    <n v="9.8000000000000004E-2"/>
    <n v="0.12"/>
    <n v="4.9000000000000002E-2"/>
    <n v="10456356"/>
    <n v="2.65"/>
    <n v="871643"/>
    <n v="328821"/>
    <n v="2.41"/>
    <n v="879567"/>
    <n v="365438"/>
    <n v="2.29"/>
    <n v="885654"/>
    <n v="386653"/>
    <n v="2.09"/>
    <n v="899995"/>
    <n v="429919"/>
  </r>
  <r>
    <x v="26"/>
    <n v="3"/>
    <n v="601583"/>
    <n v="1214241"/>
    <n v="1213172"/>
    <n v="1213172"/>
    <n v="7519785"/>
    <n v="0.161"/>
    <n v="0.161"/>
    <n v="0.161"/>
    <n v="1.4E-2"/>
    <n v="7.8E-2"/>
    <n v="9.1999999999999998E-2"/>
    <n v="0.11"/>
    <n v="0.13400000000000001"/>
    <n v="6.3E-2"/>
    <n v="19209093"/>
    <n v="1.79"/>
    <n v="1866761"/>
    <n v="1041603"/>
    <n v="1.73"/>
    <n v="1935692"/>
    <n v="1116987"/>
    <n v="1.71"/>
    <n v="1905335"/>
    <n v="1113303"/>
    <n v="1.4"/>
    <n v="2175070"/>
    <n v="1556874"/>
  </r>
  <r>
    <x v="27"/>
    <n v="4"/>
    <n v="55539"/>
    <n v="142385"/>
    <n v="142385"/>
    <n v="142385"/>
    <n v="694234"/>
    <n v="0.20499999999999999"/>
    <n v="0.20499999999999999"/>
    <n v="0.20499999999999999"/>
    <n v="1.2999999999999999E-2"/>
    <n v="7.3999999999999996E-2"/>
    <n v="8.6999999999999994E-2"/>
    <n v="0.10299999999999999"/>
    <n v="0.125"/>
    <n v="8.6999999999999994E-2"/>
    <n v="1639770"/>
    <n v="1.58"/>
    <n v="208717"/>
    <n v="132063"/>
    <n v="1.64"/>
    <n v="229639"/>
    <n v="139893"/>
    <n v="1.74"/>
    <n v="224119"/>
    <n v="128438"/>
    <n v="1.83"/>
    <n v="221046"/>
    <n v="120855"/>
  </r>
  <r>
    <x v="28"/>
    <n v="5"/>
    <n v="48711"/>
    <n v="108639"/>
    <n v="91482"/>
    <n v="91482"/>
    <n v="608887"/>
    <n v="0.15"/>
    <n v="0.15"/>
    <n v="0.17799999999999999"/>
    <n v="0.01"/>
    <n v="7.0000000000000007E-2"/>
    <n v="0.08"/>
    <n v="9.5000000000000001E-2"/>
    <n v="0.115"/>
    <n v="7.0999999999999994E-2"/>
    <n v="1288323"/>
    <n v="1.6"/>
    <n v="135599"/>
    <n v="84984"/>
    <n v="1.68"/>
    <n v="141199"/>
    <n v="84156"/>
    <n v="1.48"/>
    <n v="120154"/>
    <n v="81073"/>
    <n v="1.63"/>
    <n v="143169"/>
    <n v="87757"/>
  </r>
  <r>
    <x v="29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30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31"/>
    <n v="3"/>
    <n v="835921"/>
    <n v="2581202"/>
    <n v="2581202"/>
    <n v="2581202"/>
    <n v="10449012"/>
    <n v="0.247"/>
    <n v="0.247"/>
    <n v="0.247"/>
    <n v="0"/>
    <n v="7.8E-2"/>
    <n v="7.8E-2"/>
    <n v="9.6000000000000002E-2"/>
    <n v="0.12"/>
    <n v="8.3000000000000004E-2"/>
    <n v="31032495"/>
    <n v="1.7"/>
    <n v="7059449"/>
    <n v="4160565"/>
    <n v="1.64"/>
    <n v="6743928"/>
    <n v="4124213"/>
    <n v="1.74"/>
    <n v="8375720"/>
    <n v="4826816"/>
    <n v="1.63"/>
    <n v="8165661"/>
    <n v="5012230"/>
  </r>
  <r>
    <x v="32"/>
    <n v="3"/>
    <n v="1455004"/>
    <n v="3695533"/>
    <n v="3116598"/>
    <n v="3596598"/>
    <n v="18187554"/>
    <n v="0.17100000000000001"/>
    <n v="0.19800000000000001"/>
    <n v="0.20300000000000001"/>
    <n v="2E-3"/>
    <n v="7.8E-2"/>
    <n v="0.08"/>
    <n v="9.8000000000000004E-2"/>
    <n v="0.122"/>
    <n v="3.7999999999999999E-2"/>
    <n v="94406982"/>
    <n v="1.37"/>
    <n v="14520763"/>
    <n v="10610856"/>
    <n v="1.54"/>
    <n v="14691787"/>
    <n v="9529324"/>
    <n v="1.35"/>
    <n v="12961396"/>
    <n v="9601007"/>
    <n v="1.5"/>
    <n v="12684074"/>
    <n v="8467681"/>
  </r>
  <r>
    <x v="33"/>
    <n v="5"/>
    <n v="25611"/>
    <n v="64272"/>
    <n v="60688"/>
    <n v="60688"/>
    <n v="320133"/>
    <n v="0.19"/>
    <n v="0.19"/>
    <n v="0.20100000000000001"/>
    <n v="1.2E-2"/>
    <n v="7.0000000000000007E-2"/>
    <n v="8.2000000000000003E-2"/>
    <n v="9.7000000000000003E-2"/>
    <n v="0.11700000000000001"/>
    <n v="8.5999999999999993E-2"/>
    <n v="703952"/>
    <n v="1.61"/>
    <n v="43781"/>
    <n v="27195"/>
    <n v="1.68"/>
    <n v="49011"/>
    <n v="29150"/>
    <n v="1.67"/>
    <n v="47500"/>
    <n v="28371"/>
    <n v="1.4"/>
    <n v="51485"/>
    <n v="36801"/>
  </r>
  <r>
    <x v="34"/>
    <n v="4"/>
    <n v="278299"/>
    <n v="510649"/>
    <n v="510649"/>
    <n v="510649"/>
    <n v="3478736"/>
    <n v="0.14699999999999999"/>
    <n v="0.14699999999999999"/>
    <n v="0.14699999999999999"/>
    <n v="0.01"/>
    <n v="7.400000000000001E-2"/>
    <n v="8.4000000000000005E-2"/>
    <n v="0.1"/>
    <n v="0.122"/>
    <n v="6.4000000000000001E-2"/>
    <n v="8017857"/>
    <n v="1.33"/>
    <n v="942351"/>
    <n v="707142"/>
    <n v="1.38"/>
    <n v="977666"/>
    <n v="710788"/>
    <n v="1.23"/>
    <n v="912017"/>
    <n v="743831"/>
    <n v="1.34"/>
    <n v="1243096"/>
    <n v="931092"/>
  </r>
  <r>
    <x v="35"/>
    <n v="4"/>
    <n v="59088"/>
    <n v="146802"/>
    <n v="138962"/>
    <n v="138962"/>
    <n v="738601"/>
    <n v="0.188"/>
    <n v="0.188"/>
    <n v="0.19900000000000001"/>
    <n v="1.0999999999999999E-2"/>
    <n v="7.400000000000001E-2"/>
    <n v="8.5000000000000006E-2"/>
    <n v="0.10100000000000001"/>
    <n v="0.123"/>
    <n v="8.5999999999999993E-2"/>
    <n v="1616885"/>
    <n v="1.1399999999999999"/>
    <n v="155686"/>
    <n v="136010"/>
    <n v="1.24"/>
    <n v="165009"/>
    <n v="133026"/>
    <n v="1.28"/>
    <n v="170207"/>
    <n v="133064"/>
    <n v="1.35"/>
    <n v="181167"/>
    <n v="133854"/>
  </r>
  <r>
    <x v="36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37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38"/>
    <n v="5"/>
    <n v="5646"/>
    <n v="20819"/>
    <n v="20819"/>
    <n v="20819"/>
    <n v="70572"/>
    <n v="0.29499999999999998"/>
    <n v="0.29499999999999998"/>
    <n v="0.29499999999999998"/>
    <n v="0"/>
    <n v="7.0000000000000007E-2"/>
    <n v="7.0000000000000007E-2"/>
    <n v="8.5000000000000006E-2"/>
    <n v="0.105"/>
    <n v="2.9000000000000001E-2"/>
    <n v="724555"/>
    <n v="2.29"/>
    <n v="41833"/>
    <n v="18301"/>
    <n v="3.2"/>
    <n v="66817"/>
    <n v="20885"/>
    <n v="3.09"/>
    <n v="70591"/>
    <n v="22811"/>
    <n v="3.04"/>
    <n v="466977"/>
    <n v="153644"/>
  </r>
  <r>
    <x v="39"/>
    <n v="3"/>
    <n v="370168"/>
    <n v="1156876"/>
    <n v="1055511"/>
    <n v="1055511"/>
    <n v="4627097"/>
    <n v="0.22800000000000001"/>
    <n v="0.22800000000000001"/>
    <n v="0.25"/>
    <n v="2E-3"/>
    <n v="7.8E-2"/>
    <n v="0.08"/>
    <n v="9.8000000000000004E-2"/>
    <n v="0.122"/>
    <n v="6.2E-2"/>
    <n v="16890067"/>
    <n v="1.6"/>
    <n v="4860277"/>
    <n v="3038269"/>
    <n v="1.48"/>
    <n v="4231030"/>
    <n v="2864851"/>
    <n v="1.64"/>
    <n v="4192785"/>
    <n v="2553307"/>
    <n v="1.33"/>
    <n v="3885103"/>
    <n v="2922495"/>
  </r>
  <r>
    <x v="40"/>
    <n v="5"/>
    <n v="39763"/>
    <n v="82482"/>
    <n v="60679"/>
    <n v="60679"/>
    <n v="497035"/>
    <n v="0.122"/>
    <n v="0.122"/>
    <n v="0.16600000000000001"/>
    <n v="1.4E-2"/>
    <n v="7.0000000000000007E-2"/>
    <n v="8.4000000000000005E-2"/>
    <n v="9.9000000000000005E-2"/>
    <n v="0.11899999999999999"/>
    <n v="4.9000000000000002E-2"/>
    <n v="1228852"/>
    <n v="1.1399999999999999"/>
    <n v="82265"/>
    <n v="71850"/>
    <n v="1.1200000000000001"/>
    <n v="76047"/>
    <n v="68197"/>
    <n v="1.29"/>
    <n v="93448"/>
    <n v="72354"/>
    <n v="1.37"/>
    <n v="117088"/>
    <n v="85324"/>
  </r>
  <r>
    <x v="41"/>
    <n v="5"/>
    <n v="9098"/>
    <n v="52340"/>
    <n v="52340"/>
    <n v="52340"/>
    <n v="113728"/>
    <n v="0.46"/>
    <n v="0.46"/>
    <n v="0.46"/>
    <n v="2E-3"/>
    <n v="6.9999999999999993E-2"/>
    <n v="7.1999999999999995E-2"/>
    <n v="8.6999999999999994E-2"/>
    <n v="0.107"/>
    <n v="0.106"/>
    <n v="495297"/>
    <n v="9.09"/>
    <n v="256130"/>
    <n v="28168"/>
    <n v="9.1999999999999993"/>
    <n v="281037"/>
    <n v="30534"/>
    <n v="9.06"/>
    <n v="276316"/>
    <n v="30487"/>
    <n v="9.3800000000000008"/>
    <n v="298981"/>
    <n v="31887"/>
  </r>
  <r>
    <x v="42"/>
    <n v="5"/>
    <n v="1874"/>
    <n v="10130"/>
    <n v="10130"/>
    <n v="10130"/>
    <n v="23422"/>
    <n v="0.432"/>
    <n v="0.432"/>
    <n v="0.432"/>
    <n v="0"/>
    <n v="7.0000000000000007E-2"/>
    <n v="7.0000000000000007E-2"/>
    <n v="8.5000000000000006E-2"/>
    <n v="0.105"/>
    <n v="0.13500000000000001"/>
    <n v="74982"/>
    <n v="4.88"/>
    <n v="9181"/>
    <n v="1882"/>
    <n v="3.53"/>
    <n v="7210"/>
    <n v="2044"/>
    <n v="4.63"/>
    <n v="9279"/>
    <n v="2003"/>
    <n v="5.58"/>
    <n v="11111"/>
    <n v="1991"/>
  </r>
  <r>
    <x v="43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44"/>
    <n v="5"/>
    <n v="207514"/>
    <n v="310677"/>
    <n v="220677"/>
    <n v="260677"/>
    <n v="2593921"/>
    <n v="8.5000000000000006E-2"/>
    <n v="0.1"/>
    <n v="0.12"/>
    <n v="0"/>
    <n v="7.0000000000000007E-2"/>
    <n v="7.0000000000000007E-2"/>
    <n v="8.5000000000000006E-2"/>
    <n v="0.105"/>
    <n v="7.0000000000000007E-2"/>
    <n v="3734043"/>
    <s v="2)"/>
    <s v="2)"/>
    <s v="2)"/>
    <s v="2)"/>
    <s v="2)"/>
    <s v="2)"/>
    <s v="2)"/>
    <s v="2)"/>
    <s v="2)"/>
    <s v="2)"/>
    <s v="2)"/>
    <s v="2)"/>
  </r>
  <r>
    <x v="45"/>
    <n v="5"/>
    <n v="23651"/>
    <n v="327770"/>
    <n v="324536"/>
    <n v="324536"/>
    <n v="295637"/>
    <n v="1.0980000000000001"/>
    <n v="1.0980000000000001"/>
    <n v="1.109"/>
    <n v="0"/>
    <n v="7.0000000000000007E-2"/>
    <n v="7.0000000000000007E-2"/>
    <n v="8.5000000000000006E-2"/>
    <n v="0.105"/>
    <n v="0.435"/>
    <n v="746516"/>
    <n v="6.95"/>
    <n v="262019"/>
    <n v="37709"/>
    <n v="6.9"/>
    <n v="261715"/>
    <n v="37945"/>
    <n v="7.95"/>
    <n v="260186"/>
    <n v="32734"/>
    <n v="7.53"/>
    <n v="253420"/>
    <n v="33649"/>
  </r>
  <r>
    <x v="46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47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48"/>
    <n v="3"/>
    <n v="912533"/>
    <n v="2058071"/>
    <n v="2058071"/>
    <n v="2058071"/>
    <n v="11406666"/>
    <n v="0.18"/>
    <n v="0.18"/>
    <n v="0.18"/>
    <n v="8.9999999999999993E-3"/>
    <n v="7.8E-2"/>
    <n v="8.6999999999999994E-2"/>
    <n v="0.105"/>
    <n v="0.129"/>
    <n v="8.2000000000000003E-2"/>
    <n v="24997387"/>
    <n v="1.31"/>
    <n v="3110393"/>
    <n v="2365357"/>
    <n v="1.44"/>
    <n v="3345100"/>
    <n v="2330282"/>
    <n v="1.58"/>
    <n v="3556356"/>
    <n v="2244639"/>
    <n v="1.55"/>
    <n v="3383137"/>
    <n v="2178367"/>
  </r>
  <r>
    <x v="49"/>
    <n v="3"/>
    <n v="982568"/>
    <n v="1981870"/>
    <n v="1633130"/>
    <n v="1857920"/>
    <n v="12282103"/>
    <n v="0.13300000000000001"/>
    <n v="0.151"/>
    <n v="0.161"/>
    <n v="6.0000000000000001E-3"/>
    <n v="7.8E-2"/>
    <n v="8.4000000000000005E-2"/>
    <n v="0.10199999999999999"/>
    <n v="0.126"/>
    <n v="7.1999999999999995E-2"/>
    <n v="25815100"/>
    <n v="1.4"/>
    <n v="4572997"/>
    <n v="3277067"/>
    <n v="1.43"/>
    <n v="4772321"/>
    <n v="3328809"/>
    <n v="1.66"/>
    <n v="4771151"/>
    <n v="2880679"/>
    <n v="1.49"/>
    <n v="5461317"/>
    <n v="3656844"/>
  </r>
  <r>
    <x v="50"/>
    <n v="4"/>
    <n v="120226"/>
    <n v="249844"/>
    <n v="249844"/>
    <n v="249844"/>
    <n v="1502827"/>
    <n v="0.16600000000000001"/>
    <n v="0.16600000000000001"/>
    <n v="0.16600000000000001"/>
    <n v="1.0999999999999999E-2"/>
    <n v="7.400000000000001E-2"/>
    <n v="8.5000000000000006E-2"/>
    <n v="0.10100000000000001"/>
    <n v="0.123"/>
    <n v="7.0999999999999994E-2"/>
    <n v="3496310"/>
    <n v="1.26"/>
    <n v="329773"/>
    <n v="260883"/>
    <n v="1.21"/>
    <n v="341217"/>
    <n v="282473"/>
    <n v="1.2"/>
    <n v="320098"/>
    <n v="266596"/>
    <n v="1.43"/>
    <n v="416502"/>
    <n v="290494"/>
  </r>
  <r>
    <x v="51"/>
    <n v="3"/>
    <n v="595265"/>
    <n v="1364959"/>
    <n v="1364959"/>
    <n v="1364959"/>
    <n v="7440808"/>
    <n v="0.183"/>
    <n v="0.183"/>
    <n v="0.183"/>
    <n v="8.9999999999999993E-3"/>
    <n v="7.8E-2"/>
    <n v="8.6999999999999994E-2"/>
    <n v="0.105"/>
    <n v="0.129"/>
    <n v="0.08"/>
    <n v="17011793"/>
    <n v="1.33"/>
    <n v="2821498"/>
    <n v="2120946"/>
    <n v="1.33"/>
    <n v="2896964"/>
    <n v="2181249"/>
    <n v="1.32"/>
    <n v="3044780"/>
    <n v="2301247"/>
    <n v="1.22"/>
    <n v="2518290"/>
    <n v="2065681"/>
  </r>
  <r>
    <x v="52"/>
    <n v="4"/>
    <n v="398047"/>
    <n v="856699"/>
    <n v="856699"/>
    <n v="856699"/>
    <n v="4975588"/>
    <n v="0.17199999999999999"/>
    <n v="0.17199999999999999"/>
    <n v="0.17199999999999999"/>
    <n v="0.01"/>
    <n v="7.400000000000001E-2"/>
    <n v="8.4000000000000005E-2"/>
    <n v="0.1"/>
    <n v="0.122"/>
    <n v="7.2999999999999995E-2"/>
    <n v="11732780"/>
    <n v="1.29"/>
    <n v="1377673"/>
    <n v="1064607"/>
    <n v="1.19"/>
    <n v="1394273"/>
    <n v="1173775"/>
    <n v="1.24"/>
    <n v="1387738"/>
    <n v="1116643"/>
    <n v="1.35"/>
    <n v="1517610"/>
    <n v="1124516"/>
  </r>
  <r>
    <x v="53"/>
    <n v="3"/>
    <n v="1502875"/>
    <n v="3243646"/>
    <n v="3220297"/>
    <n v="3220297"/>
    <n v="18785932"/>
    <n v="0.17100000000000001"/>
    <n v="0.17100000000000001"/>
    <n v="0.17299999999999999"/>
    <n v="8.0000000000000002E-3"/>
    <n v="7.7999999999999986E-2"/>
    <n v="8.5999999999999993E-2"/>
    <n v="0.104"/>
    <n v="0.128"/>
    <n v="6.3E-2"/>
    <n v="51101446"/>
    <n v="1.1399999999999999"/>
    <n v="8630444"/>
    <n v="7588105"/>
    <n v="1.18"/>
    <n v="8945591"/>
    <n v="7575084"/>
    <n v="1.3"/>
    <n v="8748402"/>
    <n v="6747972"/>
    <n v="1.29"/>
    <n v="9371318"/>
    <n v="7244428"/>
  </r>
  <r>
    <x v="54"/>
    <n v="5"/>
    <n v="24365"/>
    <n v="69490"/>
    <n v="66525"/>
    <n v="66525"/>
    <n v="304566"/>
    <n v="0.218"/>
    <n v="0.218"/>
    <n v="0.22800000000000001"/>
    <n v="4.0000000000000001E-3"/>
    <n v="6.9999999999999993E-2"/>
    <n v="7.3999999999999996E-2"/>
    <n v="8.8999999999999996E-2"/>
    <n v="0.109"/>
    <n v="9.4E-2"/>
    <n v="709347"/>
    <n v="3.13"/>
    <n v="175374"/>
    <n v="56065"/>
    <n v="2.41"/>
    <n v="158350"/>
    <n v="65813"/>
    <n v="3.07"/>
    <n v="170496"/>
    <n v="55527"/>
    <n v="2.57"/>
    <n v="158984"/>
    <n v="61785"/>
  </r>
  <r>
    <x v="55"/>
    <n v="5"/>
    <n v="268235"/>
    <n v="469013"/>
    <n v="469013"/>
    <n v="469013"/>
    <n v="3352943"/>
    <n v="0.14000000000000001"/>
    <n v="0.14000000000000001"/>
    <n v="0.14000000000000001"/>
    <n v="0"/>
    <n v="7.0000000000000007E-2"/>
    <n v="7.0000000000000007E-2"/>
    <n v="8.5000000000000006E-2"/>
    <n v="0.105"/>
    <n v="0.11"/>
    <n v="4253206"/>
    <n v="1.35"/>
    <n v="694203"/>
    <n v="514654"/>
    <n v="1.56"/>
    <n v="783268"/>
    <n v="501498"/>
    <n v="1.49"/>
    <n v="793789"/>
    <n v="531049"/>
    <n v="2"/>
    <n v="600362"/>
    <n v="300145"/>
  </r>
  <r>
    <x v="56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57"/>
    <n v="5"/>
    <n v="30970"/>
    <n v="78763"/>
    <n v="77833"/>
    <n v="77833"/>
    <n v="387125"/>
    <n v="0.20100000000000001"/>
    <n v="0.20100000000000001"/>
    <n v="0.20300000000000001"/>
    <n v="1.2999999999999999E-2"/>
    <n v="7.0000000000000007E-2"/>
    <n v="8.3000000000000004E-2"/>
    <n v="9.8000000000000004E-2"/>
    <n v="0.11799999999999999"/>
    <n v="7.9000000000000001E-2"/>
    <n v="991091"/>
    <n v="1.33"/>
    <n v="15375"/>
    <n v="11541"/>
    <n v="1.34"/>
    <n v="18323"/>
    <n v="13718"/>
    <n v="1.43"/>
    <n v="14265"/>
    <n v="9983"/>
    <n v="2.2599999999999998"/>
    <n v="42270"/>
    <n v="18726"/>
  </r>
  <r>
    <x v="58"/>
    <n v="5"/>
    <n v="17351"/>
    <n v="28879"/>
    <n v="28879"/>
    <n v="28879"/>
    <n v="216882"/>
    <n v="0.13300000000000001"/>
    <n v="0.13300000000000001"/>
    <n v="0.13300000000000001"/>
    <n v="0"/>
    <n v="7.0000000000000007E-2"/>
    <n v="7.0000000000000007E-2"/>
    <n v="8.5000000000000006E-2"/>
    <n v="0.105"/>
    <n v="7.3999999999999996E-2"/>
    <n v="390288"/>
    <n v="4.9800000000000004"/>
    <n v="82492"/>
    <n v="16564"/>
    <n v="4.12"/>
    <n v="65918"/>
    <n v="16009"/>
    <n v="4.58"/>
    <n v="66585"/>
    <n v="14527"/>
    <n v="3.79"/>
    <n v="53884"/>
    <n v="14211"/>
  </r>
  <r>
    <x v="59"/>
    <n v="5"/>
    <n v="5364"/>
    <n v="77465"/>
    <n v="77465"/>
    <n v="77465"/>
    <n v="67049"/>
    <n v="1.155"/>
    <n v="1.155"/>
    <n v="1.155"/>
    <n v="1E-3"/>
    <n v="6.9999999999999993E-2"/>
    <n v="7.0999999999999994E-2"/>
    <n v="8.5999999999999993E-2"/>
    <n v="0.106"/>
    <n v="0.45900000000000002"/>
    <n v="168942"/>
    <n v="3.02"/>
    <n v="24446"/>
    <n v="8090"/>
    <n v="3.51"/>
    <n v="36384"/>
    <n v="10353"/>
    <n v="4.4000000000000004"/>
    <n v="31500"/>
    <n v="7159"/>
    <n v="2.29"/>
    <n v="19993"/>
    <n v="8745"/>
  </r>
  <r>
    <x v="60"/>
    <n v="4"/>
    <n v="28331"/>
    <n v="87916"/>
    <n v="87916"/>
    <n v="87916"/>
    <n v="354138"/>
    <n v="0.248"/>
    <n v="0.248"/>
    <n v="0.248"/>
    <n v="0"/>
    <n v="7.3999999999999996E-2"/>
    <n v="7.3999999999999996E-2"/>
    <n v="0.09"/>
    <n v="0.112"/>
    <n v="8.6999999999999994E-2"/>
    <n v="1006128"/>
    <n v="2.7010000000000001"/>
    <n v="381851"/>
    <n v="140920"/>
    <n v="2.71"/>
    <n v="405720"/>
    <n v="149681"/>
    <n v="3.27"/>
    <n v="404739"/>
    <n v="123762"/>
    <n v="3.78"/>
    <n v="349839"/>
    <n v="92556"/>
  </r>
  <r>
    <x v="61"/>
    <n v="5"/>
    <n v="28759"/>
    <n v="147829"/>
    <n v="147829"/>
    <n v="147829"/>
    <n v="359487"/>
    <n v="0.41099999999999998"/>
    <n v="0.41099999999999998"/>
    <n v="0.41099999999999998"/>
    <n v="0"/>
    <n v="7.0000000000000007E-2"/>
    <n v="7.0000000000000007E-2"/>
    <n v="8.5000000000000006E-2"/>
    <n v="0.105"/>
    <n v="0.125"/>
    <n v="1184182"/>
    <n v="1.74"/>
    <n v="315768"/>
    <n v="181221"/>
    <n v="1.41"/>
    <n v="278971"/>
    <n v="197929"/>
    <n v="1.78"/>
    <n v="319560"/>
    <n v="179647"/>
    <n v="2.95"/>
    <n v="454860"/>
    <n v="154187"/>
  </r>
  <r>
    <x v="62"/>
    <n v="5"/>
    <n v="39921"/>
    <n v="98157"/>
    <n v="73157"/>
    <n v="98157"/>
    <n v="499015"/>
    <n v="0.14699999999999999"/>
    <n v="0.19700000000000001"/>
    <n v="0.19700000000000001"/>
    <n v="0"/>
    <n v="7.0000000000000007E-2"/>
    <n v="7.0000000000000007E-2"/>
    <n v="8.5000000000000006E-2"/>
    <n v="0.105"/>
    <n v="0.113"/>
    <n v="865564"/>
    <n v="1.18"/>
    <n v="135307"/>
    <n v="114611"/>
    <n v="1.35"/>
    <n v="138508"/>
    <n v="102585"/>
    <n v="1.18"/>
    <n v="136030"/>
    <n v="115123"/>
    <n v="1.26"/>
    <n v="163384"/>
    <n v="129790"/>
  </r>
  <r>
    <x v="63"/>
    <n v="3"/>
    <n v="348096"/>
    <n v="1305611"/>
    <n v="1295829"/>
    <n v="1305611"/>
    <n v="4351206"/>
    <n v="0.29799999999999999"/>
    <n v="0.3"/>
    <n v="0.3"/>
    <n v="0"/>
    <n v="7.8E-2"/>
    <n v="7.8E-2"/>
    <n v="9.6000000000000002E-2"/>
    <n v="0.12"/>
    <n v="7.0000000000000007E-2"/>
    <n v="18519957"/>
    <n v="2.02"/>
    <n v="11211976"/>
    <n v="5561062"/>
    <n v="1.97"/>
    <n v="11220640"/>
    <n v="5702176"/>
    <n v="2.0099999999999998"/>
    <n v="10597559"/>
    <n v="5280695"/>
    <n v="2.0699999999999998"/>
    <n v="9745592"/>
    <n v="4700084"/>
  </r>
  <r>
    <x v="64"/>
    <n v="5"/>
    <n v="7506"/>
    <n v="13530"/>
    <n v="13530"/>
    <n v="13530"/>
    <n v="93819"/>
    <n v="0.14399999999999999"/>
    <n v="0.14399999999999999"/>
    <n v="0.14399999999999999"/>
    <n v="0"/>
    <n v="7.0000000000000007E-2"/>
    <n v="7.0000000000000007E-2"/>
    <n v="8.5000000000000006E-2"/>
    <n v="0.105"/>
    <n v="0.112"/>
    <n v="120529"/>
    <n v="2.08"/>
    <n v="26430"/>
    <n v="12719"/>
    <n v="1.77"/>
    <n v="40200"/>
    <n v="22675"/>
    <n v="1.85"/>
    <n v="36558"/>
    <n v="19742"/>
    <n v="2.02"/>
    <n v="30018"/>
    <n v="14840"/>
  </r>
  <r>
    <x v="65"/>
    <n v="3"/>
    <n v="1009691.413846"/>
    <n v="2592042"/>
    <n v="2592042"/>
    <n v="2592042"/>
    <n v="12621142.673075"/>
    <n v="0.20537300521367799"/>
    <n v="0.20537300521367799"/>
    <n v="0.20537300521367799"/>
    <n v="2.0000000000000002E-5"/>
    <n v="7.8E-2"/>
    <n v="7.8020000000000006E-2"/>
    <n v="9.6019999999999994E-2"/>
    <n v="0.12002"/>
    <n v="5.8564999999999999E-2"/>
    <n v="44259092.310666002"/>
    <n v="1.7337589549671399"/>
    <n v="21021994.907356702"/>
    <n v="12125096.6561007"/>
    <n v="1.6754538080072401"/>
    <n v="21305996.845164701"/>
    <n v="12716552.818908"/>
    <n v="1.6081490534690199"/>
    <n v="19648669.6807843"/>
    <n v="12218189.376413301"/>
    <n v="1.54007874415371"/>
    <n v="18596055.018172"/>
    <n v="12074742.988801301"/>
  </r>
  <r>
    <x v="66"/>
    <n v="5"/>
    <n v="11642"/>
    <n v="80224"/>
    <n v="80224"/>
    <n v="80224"/>
    <n v="145522"/>
    <n v="0.55100000000000005"/>
    <n v="0.55100000000000005"/>
    <n v="0.55100000000000005"/>
    <n v="0"/>
    <n v="7.0000000000000007E-2"/>
    <n v="7.0000000000000007E-2"/>
    <n v="8.5000000000000006E-2"/>
    <n v="0.105"/>
    <n v="0.105"/>
    <n v="767019"/>
    <n v="3.83"/>
    <n v="95559"/>
    <n v="24941"/>
    <n v="4.72"/>
    <n v="109526"/>
    <n v="23186"/>
    <n v="3.98"/>
    <n v="91895"/>
    <n v="23103"/>
    <n v="2.72"/>
    <n v="66648"/>
    <n v="24519"/>
  </r>
  <r>
    <x v="67"/>
    <n v="5"/>
    <n v="7677"/>
    <n v="56264"/>
    <n v="53685"/>
    <n v="53685"/>
    <n v="95964"/>
    <n v="0.55900000000000005"/>
    <n v="0.55900000000000005"/>
    <n v="0.58599999999999997"/>
    <n v="4.0000000000000001E-3"/>
    <n v="6.9999999999999993E-2"/>
    <n v="7.3999999999999996E-2"/>
    <n v="8.8999999999999996E-2"/>
    <n v="0.109"/>
    <n v="0.19700000000000001"/>
    <n v="272165"/>
    <n v="1.44"/>
    <n v="38313"/>
    <n v="26696"/>
    <n v="1.33"/>
    <n v="37015"/>
    <n v="27761"/>
    <n v="1.42"/>
    <n v="38328"/>
    <n v="27076"/>
    <n v="1.46"/>
    <n v="36344"/>
    <n v="24943"/>
  </r>
  <r>
    <x v="68"/>
    <n v="4"/>
    <n v="64192"/>
    <n v="166578"/>
    <n v="166578"/>
    <n v="166578"/>
    <n v="802398"/>
    <n v="0.20799999999999999"/>
    <n v="0.20799999999999999"/>
    <n v="0.20799999999999999"/>
    <n v="0"/>
    <n v="7.3999999999999996E-2"/>
    <n v="7.3999999999999996E-2"/>
    <n v="0.09"/>
    <n v="0.112"/>
    <n v="7.4999999999999997E-2"/>
    <n v="2218382"/>
    <n v="1.73"/>
    <n v="1003199"/>
    <n v="581179"/>
    <n v="1.72"/>
    <n v="1007330"/>
    <n v="586277"/>
    <n v="1.64"/>
    <n v="866803"/>
    <n v="529169"/>
    <n v="1.48"/>
    <n v="704031"/>
    <n v="477261"/>
  </r>
  <r>
    <x v="69"/>
    <n v="5"/>
    <n v="13997"/>
    <n v="68335"/>
    <n v="38579"/>
    <n v="38579"/>
    <n v="174961"/>
    <n v="0.22"/>
    <n v="0.22"/>
    <n v="0.39100000000000001"/>
    <n v="0"/>
    <n v="7.0000000000000007E-2"/>
    <n v="7.0000000000000007E-2"/>
    <n v="8.5000000000000006E-2"/>
    <n v="0.105"/>
    <n v="7.8E-2"/>
    <n v="492008"/>
    <n v="1.93"/>
    <n v="97410"/>
    <n v="50434"/>
    <n v="1.6"/>
    <n v="98847"/>
    <n v="61711"/>
    <n v="2.21"/>
    <n v="104285"/>
    <n v="47097"/>
    <n v="2.14"/>
    <n v="114516"/>
    <n v="53454"/>
  </r>
  <r>
    <x v="70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71"/>
    <n v="4"/>
    <n v="70518"/>
    <n v="162317"/>
    <n v="112317"/>
    <n v="162317"/>
    <n v="881471"/>
    <n v="0.127"/>
    <n v="0.184"/>
    <n v="0.184"/>
    <n v="1E-3"/>
    <n v="7.3999999999999996E-2"/>
    <n v="7.4999999999999997E-2"/>
    <n v="9.0999999999999998E-2"/>
    <n v="0.113"/>
    <n v="4.4999999999999998E-2"/>
    <n v="3601757"/>
    <n v="1.54"/>
    <n v="761775"/>
    <n v="494136"/>
    <n v="1.83"/>
    <n v="844067"/>
    <n v="461106"/>
    <n v="1.51"/>
    <n v="681973"/>
    <n v="452553"/>
    <n v="1.77"/>
    <n v="574895"/>
    <n v="324978"/>
  </r>
  <r>
    <x v="72"/>
    <n v="3"/>
    <n v="953848"/>
    <n v="2430904"/>
    <n v="2430904"/>
    <n v="2430904"/>
    <n v="11923101"/>
    <n v="0.20399999999999999"/>
    <n v="0.20399999999999999"/>
    <n v="0.20399999999999999"/>
    <n v="1.0999999999999999E-2"/>
    <n v="7.8E-2"/>
    <n v="8.8999999999999996E-2"/>
    <n v="0.107"/>
    <n v="0.13100000000000001"/>
    <n v="8.6999999999999994E-2"/>
    <n v="27928373"/>
    <n v="1.17"/>
    <n v="3753343"/>
    <n v="3197432"/>
    <n v="1.1399999999999999"/>
    <n v="3691291"/>
    <n v="3246017"/>
    <n v="1.19"/>
    <n v="3899938"/>
    <n v="3279171"/>
    <n v="1.1499999999999999"/>
    <n v="3989033"/>
    <n v="3462752"/>
  </r>
  <r>
    <x v="73"/>
    <n v="3"/>
    <n v="1804294"/>
    <n v="3922069"/>
    <n v="3850906"/>
    <n v="3920429"/>
    <n v="22553673"/>
    <n v="0.17100000000000001"/>
    <n v="0.17399999999999999"/>
    <n v="0.17399999999999999"/>
    <n v="8.0000000000000002E-3"/>
    <n v="7.7999999999999986E-2"/>
    <n v="8.5999999999999993E-2"/>
    <n v="0.104"/>
    <n v="0.128"/>
    <n v="7.9000000000000001E-2"/>
    <n v="49480400"/>
    <n v="1.37"/>
    <n v="7384605"/>
    <n v="5387465"/>
    <n v="1.39"/>
    <n v="7880495"/>
    <n v="5681136"/>
    <n v="1.59"/>
    <n v="8757689"/>
    <n v="5515731"/>
    <n v="1.37"/>
    <n v="7128556"/>
    <n v="5219071"/>
  </r>
  <r>
    <x v="74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75"/>
    <n v="5"/>
    <n v="19371"/>
    <n v="124112"/>
    <n v="124082"/>
    <n v="124082"/>
    <n v="242137"/>
    <n v="0.51200000000000001"/>
    <n v="0.51200000000000001"/>
    <n v="0.51300000000000001"/>
    <n v="0"/>
    <n v="7.0000000000000007E-2"/>
    <n v="7.0000000000000007E-2"/>
    <n v="8.5000000000000006E-2"/>
    <n v="0.105"/>
    <n v="0.13600000000000001"/>
    <n v="911687"/>
    <n v="1.38"/>
    <n v="186443"/>
    <n v="135366"/>
    <n v="2.63"/>
    <n v="144557"/>
    <n v="54893"/>
    <n v="3.92"/>
    <n v="210642"/>
    <n v="53757"/>
    <n v="2.2200000000000002"/>
    <n v="245493"/>
    <n v="110806"/>
  </r>
  <r>
    <x v="76"/>
    <n v="5"/>
    <n v="35671"/>
    <n v="74398"/>
    <n v="74398"/>
    <n v="74398"/>
    <n v="445888"/>
    <n v="0.16700000000000001"/>
    <n v="0.16700000000000001"/>
    <n v="0.16700000000000001"/>
    <n v="0"/>
    <n v="7.0000000000000007E-2"/>
    <n v="7.0000000000000007E-2"/>
    <n v="8.5000000000000006E-2"/>
    <n v="0.105"/>
    <n v="0.191"/>
    <n v="390013"/>
    <n v="2.21"/>
    <n v="125674"/>
    <n v="56925"/>
    <n v="2.78"/>
    <n v="88558"/>
    <n v="31807"/>
    <n v="6.19"/>
    <n v="125125"/>
    <n v="20221"/>
    <n v="5.46"/>
    <n v="101003"/>
    <n v="18506"/>
  </r>
  <r>
    <x v="77"/>
    <n v="5"/>
    <n v="10729"/>
    <n v="32304"/>
    <n v="32304"/>
    <n v="32304"/>
    <n v="134113"/>
    <n v="0.24099999999999999"/>
    <n v="0.24099999999999999"/>
    <n v="0.24099999999999999"/>
    <n v="0"/>
    <n v="7.0000000000000007E-2"/>
    <n v="7.0000000000000007E-2"/>
    <n v="8.5000000000000006E-2"/>
    <n v="0.105"/>
    <n v="5.5E-2"/>
    <n v="586397"/>
    <n v="2.25"/>
    <n v="132421"/>
    <n v="58817"/>
    <n v="2.67"/>
    <n v="153122"/>
    <n v="57386"/>
    <n v="2.4900000000000002"/>
    <n v="134299"/>
    <n v="53882"/>
    <n v="1.56"/>
    <n v="101968"/>
    <n v="65508"/>
  </r>
  <r>
    <x v="78"/>
    <n v="3"/>
    <n v="1044628"/>
    <n v="2540534"/>
    <n v="2540534"/>
    <n v="2540534"/>
    <n v="13057846"/>
    <n v="0.19500000000000001"/>
    <n v="0.19500000000000001"/>
    <n v="0.19500000000000001"/>
    <n v="1.0999999999999999E-2"/>
    <n v="7.8E-2"/>
    <n v="8.8999999999999996E-2"/>
    <n v="0.107"/>
    <n v="0.13100000000000001"/>
    <n v="7.4999999999999997E-2"/>
    <n v="33964919"/>
    <n v="1.46"/>
    <n v="4413633"/>
    <n v="3027205"/>
    <n v="1.42"/>
    <n v="4168117"/>
    <n v="2944549"/>
    <n v="1.28"/>
    <n v="3860427"/>
    <n v="3013181"/>
    <n v="1.39"/>
    <n v="4605038"/>
    <n v="3310634"/>
  </r>
  <r>
    <x v="79"/>
    <n v="4"/>
    <n v="57793"/>
    <n v="144610"/>
    <n v="139187"/>
    <n v="139187"/>
    <n v="722411"/>
    <n v="0.193"/>
    <n v="0.193"/>
    <n v="0.2"/>
    <n v="1.0999999999999999E-2"/>
    <n v="7.400000000000001E-2"/>
    <n v="8.5000000000000006E-2"/>
    <n v="0.10100000000000001"/>
    <n v="0.123"/>
    <n v="8.6999999999999994E-2"/>
    <n v="1603245"/>
    <n v="1.39"/>
    <n v="161813"/>
    <n v="116272"/>
    <n v="1.49"/>
    <n v="159642"/>
    <n v="107128"/>
    <n v="1.46"/>
    <n v="167933"/>
    <n v="115005"/>
    <n v="1.33"/>
    <n v="174768"/>
    <n v="131011"/>
  </r>
  <r>
    <x v="80"/>
    <n v="4"/>
    <n v="54945"/>
    <n v="118989"/>
    <n v="86233"/>
    <n v="86233"/>
    <n v="686814"/>
    <n v="0.126"/>
    <n v="0.126"/>
    <n v="0.17299999999999999"/>
    <n v="1.2E-2"/>
    <n v="7.3999999999999996E-2"/>
    <n v="8.5999999999999993E-2"/>
    <n v="0.10199999999999999"/>
    <n v="0.124"/>
    <n v="7.9000000000000001E-2"/>
    <n v="1503419"/>
    <n v="1.8"/>
    <n v="94787"/>
    <n v="52547"/>
    <n v="1.84"/>
    <n v="90897"/>
    <n v="49515"/>
    <n v="1.86"/>
    <n v="89753"/>
    <n v="48173"/>
    <n v="2.4300000000000002"/>
    <n v="116706"/>
    <n v="48090"/>
  </r>
  <r>
    <x v="81"/>
    <n v="5"/>
    <n v="13213"/>
    <n v="107722"/>
    <n v="107386"/>
    <n v="107386"/>
    <n v="165162"/>
    <n v="0.65"/>
    <n v="0.65"/>
    <n v="0.65200000000000002"/>
    <n v="0"/>
    <n v="7.0000000000000007E-2"/>
    <n v="7.0000000000000007E-2"/>
    <n v="8.5000000000000006E-2"/>
    <n v="0.105"/>
    <n v="0.21299999999999999"/>
    <n v="504004"/>
    <n v="3.37"/>
    <n v="363059"/>
    <n v="107812"/>
    <n v="2.4"/>
    <n v="349945"/>
    <n v="145569"/>
    <n v="2.5299999999999998"/>
    <n v="327121"/>
    <n v="129317"/>
    <n v="3.94"/>
    <n v="270374"/>
    <n v="68632"/>
  </r>
  <r>
    <x v="82"/>
    <n v="3"/>
    <n v="750464"/>
    <n v="1845371"/>
    <n v="1845371"/>
    <n v="1845371"/>
    <n v="9380797"/>
    <n v="0.19700000000000001"/>
    <n v="0.19700000000000001"/>
    <n v="0.19700000000000001"/>
    <n v="0"/>
    <n v="7.8E-2"/>
    <n v="7.8E-2"/>
    <n v="9.6000000000000002E-2"/>
    <n v="0.12"/>
    <n v="7.6999999999999999E-2"/>
    <n v="23939906"/>
    <n v="1.07"/>
    <n v="8459316"/>
    <n v="7938496"/>
    <n v="1.1000000000000001"/>
    <n v="8827364"/>
    <n v="7997071"/>
    <n v="1.0900000000000001"/>
    <n v="8741339"/>
    <n v="7991831"/>
    <n v="1.26"/>
    <n v="6699627"/>
    <n v="5314227"/>
  </r>
  <r>
    <x v="83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84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85"/>
    <n v="5"/>
    <n v="29812"/>
    <n v="66328"/>
    <n v="66328"/>
    <n v="66328"/>
    <n v="372653"/>
    <n v="0.17799999999999999"/>
    <n v="0.17799999999999999"/>
    <n v="0.17799999999999999"/>
    <n v="8.9999999999999993E-3"/>
    <n v="7.0000000000000007E-2"/>
    <n v="7.9000000000000001E-2"/>
    <n v="9.4E-2"/>
    <n v="0.114"/>
    <n v="0.104"/>
    <n v="638486"/>
    <s v="2)"/>
    <s v="2)"/>
    <s v="2)"/>
    <s v="2)"/>
    <s v="2)"/>
    <s v="2)"/>
    <s v="2)"/>
    <s v="2)"/>
    <s v="2)"/>
    <s v="2)"/>
    <s v="2)"/>
    <s v="2)"/>
  </r>
  <r>
    <x v="86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87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88"/>
    <n v="3"/>
    <n v="790952"/>
    <n v="1885912"/>
    <n v="1554962"/>
    <n v="1554962"/>
    <n v="9886899"/>
    <n v="0.157"/>
    <n v="0.157"/>
    <n v="0.191"/>
    <n v="0"/>
    <n v="7.8E-2"/>
    <n v="7.8E-2"/>
    <n v="9.6000000000000002E-2"/>
    <n v="0.12"/>
    <n v="7.5999999999999998E-2"/>
    <n v="19806641"/>
    <n v="1.65"/>
    <n v="3091665"/>
    <n v="1876092"/>
    <n v="1.51"/>
    <n v="3255323"/>
    <n v="2151079"/>
    <n v="1.46"/>
    <n v="3562075"/>
    <n v="2435508"/>
    <n v="1.7"/>
    <n v="2671297"/>
    <n v="1575895"/>
  </r>
  <r>
    <x v="89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90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91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92"/>
    <n v="5"/>
    <n v="3330"/>
    <n v="8804"/>
    <n v="7435"/>
    <n v="7435"/>
    <n v="41622"/>
    <n v="0.17899999999999999"/>
    <n v="0.17899999999999999"/>
    <n v="0.21199999999999999"/>
    <n v="1.7999999999999999E-2"/>
    <n v="6.9999999999999993E-2"/>
    <n v="8.7999999999999995E-2"/>
    <n v="0.10299999999999999"/>
    <n v="0.123"/>
    <n v="7.0000000000000007E-2"/>
    <n v="106112"/>
    <n v="1.61"/>
    <n v="7970"/>
    <n v="4961"/>
    <n v="1.77"/>
    <n v="8548"/>
    <n v="4833"/>
    <n v="1.24"/>
    <n v="8429"/>
    <n v="6805"/>
    <n v="1.98"/>
    <n v="14475"/>
    <n v="7314"/>
  </r>
  <r>
    <x v="93"/>
    <n v="5"/>
    <n v="20877"/>
    <n v="46186"/>
    <n v="40686"/>
    <n v="40686"/>
    <n v="260968"/>
    <n v="0.156"/>
    <n v="0.156"/>
    <n v="0.17699999999999999"/>
    <n v="1.0999999999999999E-2"/>
    <n v="7.0000000000000007E-2"/>
    <n v="8.1000000000000003E-2"/>
    <n v="9.6000000000000002E-2"/>
    <n v="0.11600000000000001"/>
    <n v="6.7000000000000004E-2"/>
    <n v="604858"/>
    <n v="5.59"/>
    <n v="71801"/>
    <n v="12843"/>
    <n v="7.9"/>
    <n v="76962"/>
    <n v="9747"/>
    <n v="9.9"/>
    <n v="80614"/>
    <n v="8140"/>
    <n v="10.91"/>
    <n v="82784"/>
    <n v="7589"/>
  </r>
  <r>
    <x v="94"/>
    <n v="4"/>
    <n v="50226"/>
    <n v="215926"/>
    <n v="215926"/>
    <n v="215926"/>
    <n v="627831"/>
    <n v="0.34399999999999997"/>
    <n v="0.34399999999999997"/>
    <n v="0.34399999999999997"/>
    <n v="0"/>
    <n v="7.3999999999999996E-2"/>
    <n v="7.3999999999999996E-2"/>
    <n v="0.09"/>
    <n v="0.112"/>
    <n v="7.3999999999999996E-2"/>
    <n v="2910263"/>
    <n v="2.27"/>
    <n v="474645"/>
    <n v="209402"/>
    <n v="3.02"/>
    <n v="552589"/>
    <n v="182919"/>
    <n v="2.31"/>
    <n v="528684"/>
    <n v="229035"/>
    <n v="2.4300000000000002"/>
    <n v="470164"/>
    <n v="193228"/>
  </r>
  <r>
    <x v="95"/>
    <n v="4"/>
    <n v="472649"/>
    <n v="962297"/>
    <n v="812297"/>
    <n v="962297"/>
    <n v="5908114"/>
    <n v="0.13700000000000001"/>
    <n v="0.16300000000000001"/>
    <n v="0.16300000000000001"/>
    <n v="0"/>
    <n v="7.3999999999999996E-2"/>
    <n v="7.3999999999999996E-2"/>
    <n v="0.09"/>
    <n v="0.112"/>
    <n v="0.125"/>
    <n v="7680964"/>
    <n v="4.3899999999999997"/>
    <n v="555720"/>
    <n v="126549"/>
    <n v="6.82"/>
    <n v="406162"/>
    <n v="59532"/>
    <n v="10.45"/>
    <n v="1012599"/>
    <n v="96935"/>
    <n v="5.54"/>
    <n v="481124"/>
    <n v="86829"/>
  </r>
  <r>
    <x v="96"/>
    <n v="5"/>
    <n v="32053"/>
    <n v="62268"/>
    <n v="62268"/>
    <n v="62268"/>
    <n v="400664"/>
    <n v="0.155"/>
    <n v="0.155"/>
    <n v="0.155"/>
    <n v="0"/>
    <n v="7.0000000000000007E-2"/>
    <n v="7.0000000000000007E-2"/>
    <n v="8.5000000000000006E-2"/>
    <n v="0.105"/>
    <n v="4.1000000000000002E-2"/>
    <n v="1503590"/>
    <n v="5.46"/>
    <n v="507975"/>
    <n v="93088"/>
    <n v="5.47"/>
    <n v="543248"/>
    <n v="99234"/>
    <n v="4.57"/>
    <n v="504528"/>
    <n v="110301"/>
    <n v="4.41"/>
    <n v="467683"/>
    <n v="106161"/>
  </r>
  <r>
    <x v="97"/>
    <n v="5"/>
    <n v="5061"/>
    <n v="13818"/>
    <n v="13818"/>
    <n v="13818"/>
    <n v="63260"/>
    <n v="0.218"/>
    <n v="0.218"/>
    <n v="0.218"/>
    <n v="0"/>
    <n v="7.0000000000000007E-2"/>
    <n v="7.0000000000000007E-2"/>
    <n v="8.5000000000000006E-2"/>
    <n v="0.105"/>
    <n v="5.1999999999999998E-2"/>
    <n v="266712"/>
    <s v="2)"/>
    <s v="2)"/>
    <s v="2)"/>
    <s v="2)"/>
    <s v="2)"/>
    <s v="2)"/>
    <s v="2)"/>
    <s v="2)"/>
    <s v="2)"/>
    <s v="2)"/>
    <s v="2)"/>
    <s v="2)"/>
  </r>
  <r>
    <x v="98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99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00"/>
    <n v="5"/>
    <n v="20687"/>
    <n v="36248"/>
    <n v="36248"/>
    <n v="36248"/>
    <n v="258587"/>
    <n v="0.14000000000000001"/>
    <n v="0.14000000000000001"/>
    <n v="0.14000000000000001"/>
    <n v="0"/>
    <n v="7.0000000000000007E-2"/>
    <n v="7.0000000000000007E-2"/>
    <n v="8.5000000000000006E-2"/>
    <n v="0.105"/>
    <n v="9.1999999999999998E-2"/>
    <n v="395321"/>
    <n v="5.25"/>
    <n v="82506"/>
    <n v="15702"/>
    <n v="4.3600000000000003"/>
    <n v="65932"/>
    <n v="15137"/>
    <n v="4.83"/>
    <n v="66598"/>
    <n v="13777"/>
    <n v="3.96"/>
    <n v="53896"/>
    <n v="13595"/>
  </r>
  <r>
    <x v="101"/>
    <n v="5"/>
    <n v="2491"/>
    <n v="7145"/>
    <n v="7145"/>
    <n v="7145"/>
    <n v="31138"/>
    <n v="0.22900000000000001"/>
    <n v="0.22900000000000001"/>
    <n v="0.22900000000000001"/>
    <n v="0"/>
    <n v="7.0000000000000007E-2"/>
    <n v="7.0000000000000007E-2"/>
    <n v="8.5000000000000006E-2"/>
    <n v="0.105"/>
    <n v="0.55000000000000004"/>
    <n v="12987"/>
    <s v="2)"/>
    <s v="2)"/>
    <s v="2)"/>
    <s v="2)"/>
    <s v="2)"/>
    <s v="2)"/>
    <s v="2)"/>
    <s v="2)"/>
    <s v="2)"/>
    <s v="2)"/>
    <s v="2)"/>
    <s v="2)"/>
  </r>
  <r>
    <x v="102"/>
    <n v="4"/>
    <n v="375023"/>
    <n v="970274"/>
    <n v="970274"/>
    <n v="970274"/>
    <n v="4687793"/>
    <n v="0.20699999999999999"/>
    <n v="0.20699999999999999"/>
    <n v="0.20699999999999999"/>
    <n v="2E-3"/>
    <n v="7.3999999999999996E-2"/>
    <n v="7.5999999999999998E-2"/>
    <n v="9.1999999999999998E-2"/>
    <n v="0.114"/>
    <n v="0.109"/>
    <n v="8906570"/>
    <n v="1.9"/>
    <n v="2026997"/>
    <n v="1066596"/>
    <n v="1.74"/>
    <n v="1861491"/>
    <n v="1072340"/>
    <n v="1.79"/>
    <n v="1983631"/>
    <n v="1107496"/>
    <n v="1.75"/>
    <n v="1958487"/>
    <n v="1118363"/>
  </r>
  <r>
    <x v="103"/>
    <n v="4"/>
    <n v="194751"/>
    <n v="411037"/>
    <n v="391320"/>
    <n v="391320"/>
    <n v="2434386"/>
    <n v="0.161"/>
    <n v="0.161"/>
    <n v="0.16900000000000001"/>
    <n v="8.9999999999999993E-3"/>
    <n v="7.400000000000001E-2"/>
    <n v="8.3000000000000004E-2"/>
    <n v="9.9000000000000005E-2"/>
    <n v="0.121"/>
    <n v="7.0000000000000007E-2"/>
    <n v="5624839"/>
    <n v="1.74"/>
    <n v="314746"/>
    <n v="180765"/>
    <n v="1.82"/>
    <n v="321846"/>
    <n v="176924"/>
    <n v="1.36"/>
    <n v="215614"/>
    <n v="158633"/>
    <n v="3.14"/>
    <n v="328213"/>
    <n v="104564"/>
  </r>
  <r>
    <x v="104"/>
    <n v="5"/>
    <n v="33160"/>
    <n v="111412"/>
    <n v="49480"/>
    <n v="49480"/>
    <n v="414504"/>
    <n v="0.11899999999999999"/>
    <n v="0.11899999999999999"/>
    <n v="0.26900000000000002"/>
    <n v="0"/>
    <n v="7.0000000000000007E-2"/>
    <n v="7.0000000000000007E-2"/>
    <n v="8.5000000000000006E-2"/>
    <n v="0.105"/>
    <n v="9.1999999999999998E-2"/>
    <n v="535963"/>
    <n v="1.36"/>
    <n v="96411"/>
    <n v="71140"/>
    <n v="1.35"/>
    <n v="77431"/>
    <n v="57548"/>
    <n v="1.85"/>
    <n v="44247"/>
    <n v="23951"/>
    <n v="1.39"/>
    <n v="55708"/>
    <n v="39934"/>
  </r>
  <r>
    <x v="105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06"/>
    <n v="5"/>
    <n v="756"/>
    <n v="6934"/>
    <n v="6934"/>
    <n v="6934"/>
    <n v="9452"/>
    <n v="0.73399999999999999"/>
    <n v="0.73399999999999999"/>
    <n v="0.73399999999999999"/>
    <n v="0"/>
    <n v="7.0000000000000007E-2"/>
    <n v="7.0000000000000007E-2"/>
    <n v="8.5000000000000006E-2"/>
    <n v="0.105"/>
    <n v="0.30199999999999999"/>
    <n v="22959"/>
    <s v="2)"/>
    <s v="2)"/>
    <s v="2)"/>
    <s v="2)"/>
    <s v="2)"/>
    <s v="2)"/>
    <s v="2)"/>
    <s v="2)"/>
    <s v="2)"/>
    <s v="2)"/>
    <s v="2)"/>
    <s v="2)"/>
  </r>
  <r>
    <x v="107"/>
    <n v="4"/>
    <n v="218123"/>
    <n v="635420"/>
    <n v="583667"/>
    <n v="583667"/>
    <n v="2726534"/>
    <n v="0.214"/>
    <n v="0.214"/>
    <n v="0.23300000000000001"/>
    <n v="0"/>
    <n v="7.3999999999999996E-2"/>
    <n v="7.3999999999999996E-2"/>
    <n v="0.09"/>
    <n v="0.112"/>
    <n v="7.0000000000000007E-2"/>
    <n v="8295009"/>
    <n v="1.56"/>
    <n v="1093395"/>
    <n v="700697"/>
    <n v="1.46"/>
    <n v="1057278"/>
    <n v="722455"/>
    <n v="1.49"/>
    <n v="1006146"/>
    <n v="675550"/>
    <n v="1.42"/>
    <n v="899022"/>
    <n v="632233"/>
  </r>
  <r>
    <x v="108"/>
    <n v="4"/>
    <n v="122877"/>
    <n v="550761"/>
    <n v="550761"/>
    <n v="550761"/>
    <n v="1535957"/>
    <n v="0.35899999999999999"/>
    <n v="0.35899999999999999"/>
    <n v="0.35899999999999999"/>
    <n v="1E-3"/>
    <n v="7.3999999999999996E-2"/>
    <n v="7.4999999999999997E-2"/>
    <n v="9.0999999999999998E-2"/>
    <n v="0.113"/>
    <n v="0.22600000000000001"/>
    <n v="2434176"/>
    <n v="4.1399999999999997"/>
    <n v="998626"/>
    <n v="241071"/>
    <n v="3.85"/>
    <n v="1066076"/>
    <n v="277176"/>
    <n v="4.05"/>
    <n v="1030753"/>
    <n v="254709"/>
    <n v="3.69"/>
    <n v="973295"/>
    <n v="263975"/>
  </r>
  <r>
    <x v="109"/>
    <n v="5"/>
    <n v="20139"/>
    <n v="32579"/>
    <n v="32579"/>
    <n v="32579"/>
    <n v="251735"/>
    <n v="0.129"/>
    <n v="0.129"/>
    <n v="0.129"/>
    <n v="0"/>
    <n v="7.0000000000000007E-2"/>
    <n v="7.0000000000000007E-2"/>
    <n v="8.5000000000000006E-2"/>
    <n v="0.105"/>
    <n v="0.19800000000000001"/>
    <n v="164284"/>
    <n v="5.95"/>
    <n v="50204"/>
    <n v="8442"/>
    <n v="5.76"/>
    <n v="46800"/>
    <n v="8128"/>
    <n v="6.87"/>
    <n v="45151"/>
    <n v="6571"/>
    <n v="7.77"/>
    <n v="46142"/>
    <n v="5942"/>
  </r>
  <r>
    <x v="110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11"/>
    <n v="3"/>
    <n v="472869"/>
    <n v="1358920"/>
    <n v="1336101"/>
    <n v="1342947"/>
    <n v="5910860"/>
    <n v="0.22700000000000001"/>
    <n v="0.23"/>
    <n v="0.23"/>
    <n v="0"/>
    <n v="7.8E-2"/>
    <n v="7.8E-2"/>
    <n v="9.6000000000000002E-2"/>
    <n v="0.12"/>
    <n v="7.3999999999999996E-2"/>
    <n v="18194072"/>
    <n v="1.58"/>
    <n v="7207817"/>
    <n v="4549087"/>
    <n v="1.46"/>
    <n v="6859022"/>
    <n v="4710465"/>
    <n v="1.57"/>
    <n v="8373668"/>
    <n v="5341041"/>
    <n v="1.55"/>
    <n v="8813522"/>
    <n v="5671584"/>
  </r>
  <r>
    <x v="112"/>
    <n v="3"/>
    <n v="463997"/>
    <n v="1314176"/>
    <n v="1241357"/>
    <n v="1298203"/>
    <n v="5799965"/>
    <n v="0.214"/>
    <n v="0.224"/>
    <n v="0.22700000000000001"/>
    <n v="0"/>
    <n v="7.8E-2"/>
    <n v="7.8E-2"/>
    <n v="9.6000000000000002E-2"/>
    <n v="0.12"/>
    <n v="7.1999999999999995E-2"/>
    <n v="18043504"/>
    <n v="1.69"/>
    <n v="10102520"/>
    <n v="5962551"/>
    <n v="1.64"/>
    <n v="9605751"/>
    <n v="5844304"/>
    <n v="1.64"/>
    <n v="9294615"/>
    <n v="5676374"/>
    <n v="1.57"/>
    <n v="8813998"/>
    <n v="5602070"/>
  </r>
  <r>
    <x v="113"/>
    <n v="3"/>
    <n v="556020"/>
    <n v="1317295"/>
    <n v="879031"/>
    <n v="1316500"/>
    <n v="6950251"/>
    <n v="0.126"/>
    <n v="0.189"/>
    <n v="0.19"/>
    <n v="2E-3"/>
    <n v="7.8E-2"/>
    <n v="0.08"/>
    <n v="9.8000000000000004E-2"/>
    <n v="0.122"/>
    <n v="4.2999999999999997E-2"/>
    <n v="30902024"/>
    <n v="1.55"/>
    <n v="6778461"/>
    <n v="4383792"/>
    <n v="1.4"/>
    <n v="7040913"/>
    <n v="5021803"/>
    <n v="1.39"/>
    <n v="6373577"/>
    <n v="4587476"/>
    <n v="1.63"/>
    <n v="7706183"/>
    <n v="4713269"/>
  </r>
  <r>
    <x v="114"/>
    <n v="3"/>
    <n v="815483"/>
    <n v="1886756"/>
    <n v="1516101"/>
    <n v="1622195"/>
    <n v="10193539"/>
    <n v="0.14899999999999999"/>
    <n v="0.159"/>
    <n v="0.185"/>
    <n v="1E-3"/>
    <n v="7.8E-2"/>
    <n v="7.9000000000000001E-2"/>
    <n v="9.7000000000000003E-2"/>
    <n v="0.121"/>
    <n v="3.7999999999999999E-2"/>
    <n v="43086431"/>
    <n v="1.78"/>
    <n v="11898698"/>
    <n v="6698923"/>
    <n v="1.76"/>
    <n v="12546237"/>
    <n v="7140881"/>
    <n v="1.82"/>
    <n v="11789776"/>
    <n v="6467114"/>
    <n v="1.84"/>
    <n v="11505701"/>
    <n v="6252475"/>
  </r>
  <r>
    <x v="115"/>
    <n v="3"/>
    <n v="810900"/>
    <n v="2039100"/>
    <n v="1639600"/>
    <n v="1654100"/>
    <n v="10136100"/>
    <n v="0.16200000000000001"/>
    <n v="0.16300000000000001"/>
    <n v="0.20100000000000001"/>
    <n v="1E-3"/>
    <n v="7.8E-2"/>
    <n v="7.9000000000000001E-2"/>
    <n v="9.7000000000000003E-2"/>
    <n v="0.121"/>
    <n v="3.9E-2"/>
    <n v="42709000"/>
    <n v="1.75"/>
    <n v="11623300"/>
    <n v="6658233"/>
    <n v="1.73"/>
    <n v="12282464"/>
    <n v="7096258"/>
    <n v="1.79"/>
    <n v="11468965"/>
    <n v="6402248"/>
    <n v="1.81"/>
    <n v="11189049"/>
    <n v="6180500"/>
  </r>
  <r>
    <x v="116"/>
    <n v="5"/>
    <n v="40767"/>
    <n v="235408"/>
    <n v="198365"/>
    <n v="198365"/>
    <n v="509593"/>
    <n v="0.38900000000000001"/>
    <n v="0.38900000000000001"/>
    <n v="0.46200000000000002"/>
    <n v="0"/>
    <n v="7.0000000000000007E-2"/>
    <n v="7.0000000000000007E-2"/>
    <n v="8.5000000000000006E-2"/>
    <n v="0.105"/>
    <n v="0.08"/>
    <n v="2491730"/>
    <n v="1.02"/>
    <n v="5497365"/>
    <n v="5367421"/>
    <n v="1.02"/>
    <n v="5551878"/>
    <n v="5426237"/>
    <n v="1.04"/>
    <n v="5672261"/>
    <n v="5468448"/>
    <n v="1.07"/>
    <n v="7747950"/>
    <n v="7217324"/>
  </r>
  <r>
    <x v="117"/>
    <n v="5"/>
    <n v="12813"/>
    <n v="40824"/>
    <n v="39401"/>
    <n v="39401"/>
    <n v="160163"/>
    <n v="0.246"/>
    <n v="0.246"/>
    <n v="0.255"/>
    <n v="7.0000000000000001E-3"/>
    <n v="6.9999999999999993E-2"/>
    <n v="7.6999999999999999E-2"/>
    <n v="9.1999999999999998E-2"/>
    <n v="0.112"/>
    <n v="0.13100000000000001"/>
    <n v="301445"/>
    <n v="1.33"/>
    <n v="24020"/>
    <n v="17994"/>
    <n v="1.72"/>
    <n v="28452"/>
    <n v="16550"/>
    <n v="1.86"/>
    <n v="29255"/>
    <n v="15693"/>
    <n v="1.77"/>
    <n v="33006"/>
    <n v="18633"/>
  </r>
  <r>
    <x v="118"/>
    <n v="5"/>
    <n v="15123"/>
    <n v="27246"/>
    <n v="26114"/>
    <n v="26114"/>
    <n v="189042"/>
    <n v="0.13800000000000001"/>
    <n v="0.13800000000000001"/>
    <n v="0.14399999999999999"/>
    <n v="8.0000000000000002E-3"/>
    <n v="7.0000000000000007E-2"/>
    <n v="7.8E-2"/>
    <n v="9.2999999999999999E-2"/>
    <n v="0.113"/>
    <n v="7.1999999999999995E-2"/>
    <n v="362849"/>
    <n v="1.68"/>
    <n v="20791"/>
    <n v="12346"/>
    <n v="1.81"/>
    <n v="22721"/>
    <n v="12573"/>
    <n v="2.5499999999999998"/>
    <n v="24386"/>
    <n v="9545"/>
    <n v="2.4"/>
    <n v="28695"/>
    <n v="11978"/>
  </r>
  <r>
    <x v="119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20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21"/>
    <n v="5"/>
    <n v="9445"/>
    <n v="23368"/>
    <n v="23368"/>
    <n v="23368"/>
    <n v="118066"/>
    <n v="0.19800000000000001"/>
    <n v="0.19800000000000001"/>
    <n v="0.19800000000000001"/>
    <n v="0"/>
    <n v="7.0000000000000007E-2"/>
    <n v="7.0000000000000007E-2"/>
    <n v="8.5000000000000006E-2"/>
    <n v="0.105"/>
    <n v="3.9E-2"/>
    <n v="605378"/>
    <n v="1.23"/>
    <n v="40837"/>
    <n v="33237"/>
    <n v="1.32"/>
    <n v="40374"/>
    <n v="30602"/>
    <n v="1.38"/>
    <n v="41081"/>
    <n v="29852"/>
    <n v="1.48"/>
    <n v="44793"/>
    <n v="30245"/>
  </r>
  <r>
    <x v="122"/>
    <n v="5"/>
    <n v="31790"/>
    <n v="97112"/>
    <n v="97112"/>
    <n v="97112"/>
    <n v="397381"/>
    <n v="0.24399999999999999"/>
    <n v="0.24399999999999999"/>
    <n v="0.24399999999999999"/>
    <n v="1E-3"/>
    <n v="6.9999999999999993E-2"/>
    <n v="7.0999999999999994E-2"/>
    <n v="8.5999999999999993E-2"/>
    <n v="0.106"/>
    <n v="0.128"/>
    <n v="758858"/>
    <n v="2.06"/>
    <n v="133989"/>
    <n v="65031"/>
    <n v="1.54"/>
    <n v="105320"/>
    <n v="68356"/>
    <n v="1.39"/>
    <n v="97860"/>
    <n v="70381"/>
    <n v="1.67"/>
    <n v="97489"/>
    <n v="58234"/>
  </r>
  <r>
    <x v="123"/>
    <n v="5"/>
    <n v="1415"/>
    <n v="3356"/>
    <n v="3356"/>
    <n v="3356"/>
    <n v="17684"/>
    <n v="0.19"/>
    <n v="0.19"/>
    <n v="0.19"/>
    <n v="0"/>
    <n v="7.0000000000000007E-2"/>
    <n v="7.0000000000000007E-2"/>
    <n v="8.5000000000000006E-2"/>
    <n v="0.105"/>
    <n v="0.16"/>
    <n v="21033"/>
    <s v="2)"/>
    <s v="2)"/>
    <s v="2)"/>
    <s v="2)"/>
    <s v="2)"/>
    <s v="2)"/>
    <s v="2)"/>
    <s v="2)"/>
    <s v="2)"/>
    <s v="2)"/>
    <s v="2)"/>
    <s v="2)"/>
  </r>
  <r>
    <x v="124"/>
    <n v="4"/>
    <n v="84614"/>
    <n v="243813"/>
    <n v="243813"/>
    <n v="243813"/>
    <n v="1057681"/>
    <n v="0.23100000000000001"/>
    <n v="0.23100000000000001"/>
    <n v="0.23100000000000001"/>
    <n v="0"/>
    <n v="7.3999999999999996E-2"/>
    <n v="7.3999999999999996E-2"/>
    <n v="0.09"/>
    <n v="0.112"/>
    <n v="0.1"/>
    <n v="2432791"/>
    <n v="2.6"/>
    <n v="1003199"/>
    <n v="385475"/>
    <n v="2.04"/>
    <n v="1007829"/>
    <n v="495136"/>
    <n v="2.0299999999999998"/>
    <n v="866804"/>
    <n v="426914"/>
    <n v="1.82"/>
    <n v="704032"/>
    <n v="386128"/>
  </r>
  <r>
    <x v="125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26"/>
    <n v="4"/>
    <n v="41968"/>
    <n v="121722"/>
    <n v="121722"/>
    <n v="121722"/>
    <n v="524596"/>
    <n v="0.23200000000000001"/>
    <n v="0.23200000000000001"/>
    <n v="0.23200000000000001"/>
    <n v="1E-3"/>
    <n v="7.3999999999999996E-2"/>
    <n v="7.4999999999999997E-2"/>
    <n v="9.0999999999999998E-2"/>
    <n v="0.113"/>
    <n v="9.1399999999999995E-2"/>
    <n v="1331431"/>
    <n v="1.2909999999999999"/>
    <n v="487514"/>
    <n v="377537"/>
    <n v="1.3340000000000001"/>
    <n v="480380"/>
    <n v="360035"/>
    <n v="1.3169999999999999"/>
    <n v="475090"/>
    <n v="360660"/>
    <n v="1.403"/>
    <n v="479288"/>
    <n v="341694"/>
  </r>
  <r>
    <x v="127"/>
    <n v="5"/>
    <n v="13772"/>
    <n v="24376"/>
    <n v="20330"/>
    <n v="21080"/>
    <n v="172154"/>
    <n v="0.11799999999999999"/>
    <n v="0.122"/>
    <n v="0.14199999999999999"/>
    <n v="7.0000000000000001E-3"/>
    <n v="6.9999999999999993E-2"/>
    <n v="7.6999999999999999E-2"/>
    <n v="9.1999999999999998E-2"/>
    <n v="0.112"/>
    <n v="6.7000000000000004E-2"/>
    <n v="312668"/>
    <n v="1.26"/>
    <n v="30988"/>
    <n v="24672"/>
    <n v="1.25"/>
    <n v="27517"/>
    <n v="22077"/>
    <n v="1.67"/>
    <n v="30344"/>
    <n v="18123"/>
    <n v="1.89"/>
    <n v="33629"/>
    <n v="17775"/>
  </r>
  <r>
    <x v="128"/>
    <n v="5"/>
    <n v="106772"/>
    <n v="230141"/>
    <n v="230141"/>
    <n v="230141"/>
    <n v="1334646"/>
    <n v="0.17199999999999999"/>
    <n v="0.17199999999999999"/>
    <n v="0.17199999999999999"/>
    <n v="0"/>
    <n v="7.0000000000000007E-2"/>
    <n v="7.0000000000000007E-2"/>
    <n v="8.5000000000000006E-2"/>
    <n v="0.105"/>
    <n v="0.108"/>
    <n v="2125728"/>
    <n v="1.21"/>
    <n v="955383"/>
    <n v="787066"/>
    <n v="1.29"/>
    <n v="1246053"/>
    <n v="965175"/>
    <n v="1.56"/>
    <n v="680959"/>
    <n v="437666"/>
    <n v="2.1"/>
    <n v="492842"/>
    <n v="234641"/>
  </r>
  <r>
    <x v="129"/>
    <n v="4"/>
    <n v="59085"/>
    <n v="290853"/>
    <n v="290853"/>
    <n v="290853"/>
    <n v="738561"/>
    <n v="0.39400000000000002"/>
    <n v="0.39400000000000002"/>
    <n v="0.39400000000000002"/>
    <n v="1.2E-2"/>
    <n v="7.3999999999999996E-2"/>
    <n v="8.5999999999999993E-2"/>
    <n v="0.10199999999999999"/>
    <n v="0.124"/>
    <n v="0.17399999999999999"/>
    <n v="1669212"/>
    <n v="1.61"/>
    <n v="208717"/>
    <n v="129574"/>
    <n v="1.68"/>
    <n v="229639"/>
    <n v="136297"/>
    <n v="1.87"/>
    <n v="233452"/>
    <n v="124721"/>
    <n v="2.04"/>
    <n v="239712"/>
    <n v="117426"/>
  </r>
  <r>
    <x v="130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31"/>
    <n v="5"/>
    <n v="2695"/>
    <n v="20265"/>
    <n v="20265"/>
    <n v="20265"/>
    <n v="33692"/>
    <n v="0.60099999999999998"/>
    <n v="0.60099999999999998"/>
    <n v="0.60099999999999998"/>
    <n v="0"/>
    <n v="7.0000000000000007E-2"/>
    <n v="7.0000000000000007E-2"/>
    <n v="8.5000000000000006E-2"/>
    <n v="0.105"/>
    <n v="0.39500000000000002"/>
    <n v="51366"/>
    <n v="9.3000000000000007"/>
    <n v="17151"/>
    <n v="1845"/>
    <n v="12.41"/>
    <n v="13986"/>
    <n v="1127"/>
    <n v="12.28"/>
    <n v="21630"/>
    <n v="1761"/>
    <n v="3.45"/>
    <n v="18662"/>
    <n v="5406"/>
  </r>
  <r>
    <x v="132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33"/>
    <n v="5"/>
    <n v="10007"/>
    <n v="32158"/>
    <n v="24929"/>
    <n v="31929"/>
    <n v="125090"/>
    <n v="0.19900000000000001"/>
    <n v="0.255"/>
    <n v="0.25700000000000001"/>
    <n v="0"/>
    <n v="7.0000000000000007E-2"/>
    <n v="7.0000000000000007E-2"/>
    <n v="8.5000000000000006E-2"/>
    <n v="0.105"/>
    <n v="4.4999999999999998E-2"/>
    <n v="702160"/>
    <n v="3.36"/>
    <n v="475850"/>
    <n v="141822"/>
    <n v="2.85"/>
    <n v="509966"/>
    <n v="178903"/>
    <n v="2.84"/>
    <n v="510239"/>
    <n v="179893"/>
    <n v="2.72"/>
    <n v="458074"/>
    <n v="168543"/>
  </r>
  <r>
    <x v="134"/>
    <n v="5"/>
    <n v="12273"/>
    <n v="43322"/>
    <n v="39222"/>
    <n v="43222"/>
    <n v="153418"/>
    <n v="0.25600000000000001"/>
    <n v="0.28199999999999997"/>
    <n v="0.28199999999999997"/>
    <n v="0"/>
    <n v="7.0000000000000007E-2"/>
    <n v="7.0000000000000007E-2"/>
    <n v="8.5000000000000006E-2"/>
    <n v="0.105"/>
    <n v="5.7000000000000002E-2"/>
    <n v="759796"/>
    <n v="15.42"/>
    <n v="476221"/>
    <n v="30893"/>
    <n v="11.51"/>
    <n v="510211"/>
    <n v="44325"/>
    <n v="7.32"/>
    <n v="510348"/>
    <n v="69682"/>
    <n v="7.48"/>
    <n v="458093"/>
    <n v="61227"/>
  </r>
  <r>
    <x v="135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36"/>
    <n v="3"/>
    <n v="987649"/>
    <n v="2583160"/>
    <n v="2583160"/>
    <n v="2583160"/>
    <n v="12345611"/>
    <n v="0.20899999999999999"/>
    <n v="0.20899999999999999"/>
    <n v="0.20899999999999999"/>
    <n v="8.9999999999999993E-3"/>
    <n v="7.8E-2"/>
    <n v="8.6999999999999994E-2"/>
    <n v="0.105"/>
    <n v="0.129"/>
    <n v="8.8999999999999996E-2"/>
    <n v="28975175"/>
    <n v="1.17"/>
    <n v="4252881"/>
    <n v="3628306"/>
    <n v="1.36"/>
    <n v="4690607"/>
    <n v="3447488"/>
    <n v="1.49"/>
    <n v="4981009"/>
    <n v="3333264"/>
    <n v="1.49"/>
    <n v="5999299"/>
    <n v="4019461"/>
  </r>
  <r>
    <x v="137"/>
    <n v="5"/>
    <n v="23112"/>
    <n v="45508"/>
    <n v="44100"/>
    <n v="44100"/>
    <n v="288900"/>
    <n v="0.153"/>
    <n v="0.153"/>
    <n v="0.158"/>
    <n v="1.2E-2"/>
    <n v="7.0000000000000007E-2"/>
    <n v="8.2000000000000003E-2"/>
    <n v="9.7000000000000003E-2"/>
    <n v="0.11700000000000001"/>
    <n v="6.8000000000000005E-2"/>
    <n v="652817"/>
    <n v="1.49"/>
    <n v="43112"/>
    <n v="28973"/>
    <n v="1.76"/>
    <n v="51218"/>
    <n v="29046"/>
    <n v="1.68"/>
    <n v="48643"/>
    <n v="28946"/>
    <n v="1.94"/>
    <n v="62395"/>
    <n v="32130"/>
  </r>
  <r>
    <x v="138"/>
    <n v="4"/>
    <n v="77774"/>
    <n v="200543"/>
    <n v="200543"/>
    <n v="200543"/>
    <n v="972177"/>
    <n v="0.20599999999999999"/>
    <n v="0.20599999999999999"/>
    <n v="0.20599999999999999"/>
    <n v="0"/>
    <n v="7.3999999999999996E-2"/>
    <n v="7.3999999999999996E-2"/>
    <n v="0.09"/>
    <n v="0.112"/>
    <n v="4.4999999999999998E-2"/>
    <n v="4409363"/>
    <n v="2.15"/>
    <n v="2215995"/>
    <n v="1031683"/>
    <n v="2.23"/>
    <n v="2226453"/>
    <n v="999546"/>
    <n v="2.0499999999999998"/>
    <n v="2097189"/>
    <n v="1021500"/>
    <n v="2.11"/>
    <n v="2125344"/>
    <n v="1005539"/>
  </r>
  <r>
    <x v="139"/>
    <n v="4"/>
    <n v="486971"/>
    <n v="1204352"/>
    <n v="1143056"/>
    <n v="1143056"/>
    <n v="6087135"/>
    <n v="0.188"/>
    <n v="0.188"/>
    <n v="0.19800000000000001"/>
    <n v="0"/>
    <n v="7.3999999999999996E-2"/>
    <n v="7.3999999999999996E-2"/>
    <n v="0.09"/>
    <n v="0.112"/>
    <n v="9.4E-2"/>
    <n v="12163269"/>
    <n v="1.2"/>
    <n v="2414453"/>
    <n v="2019425"/>
    <n v="1.26"/>
    <n v="2879794"/>
    <n v="2290873"/>
    <n v="1.23"/>
    <n v="2469197"/>
    <n v="2007512"/>
    <n v="1.21"/>
    <n v="2874083"/>
    <n v="2383518"/>
  </r>
  <r>
    <x v="140"/>
    <n v="5"/>
    <n v="11290"/>
    <n v="42042"/>
    <n v="42042"/>
    <n v="42042"/>
    <n v="141130"/>
    <n v="0.29799999999999999"/>
    <n v="0.29799999999999999"/>
    <n v="0.29799999999999999"/>
    <n v="2E-3"/>
    <n v="6.9999999999999993E-2"/>
    <n v="7.1999999999999995E-2"/>
    <n v="8.6999999999999994E-2"/>
    <n v="0.107"/>
    <n v="6.4000000000000001E-2"/>
    <n v="652157"/>
    <n v="5.88"/>
    <n v="88439"/>
    <n v="15044"/>
    <n v="5.29"/>
    <n v="97290"/>
    <n v="18383"/>
    <n v="5.14"/>
    <n v="78637"/>
    <n v="15289"/>
    <n v="4.9000000000000004"/>
    <n v="87307"/>
    <n v="17831"/>
  </r>
  <r>
    <x v="141"/>
    <n v="5"/>
    <n v="19210"/>
    <n v="90506"/>
    <n v="90506"/>
    <n v="90506"/>
    <n v="240129"/>
    <n v="0.377"/>
    <n v="0.377"/>
    <n v="0.377"/>
    <n v="0"/>
    <n v="7.0000000000000007E-2"/>
    <n v="7.0000000000000007E-2"/>
    <n v="8.5000000000000006E-2"/>
    <n v="0.105"/>
    <n v="0.313"/>
    <n v="288748"/>
    <s v="2)"/>
    <s v="2)"/>
    <s v="2)"/>
    <s v="2)"/>
    <s v="2)"/>
    <s v="2)"/>
    <s v="2)"/>
    <s v="2)"/>
    <s v="2)"/>
    <s v="2)"/>
    <s v="2)"/>
    <s v="2)"/>
  </r>
  <r>
    <x v="142"/>
    <n v="5"/>
    <n v="14298"/>
    <n v="68087"/>
    <n v="39037"/>
    <n v="62537"/>
    <n v="178728"/>
    <n v="0.218"/>
    <n v="0.35"/>
    <n v="0.38100000000000001"/>
    <n v="0"/>
    <n v="7.0000000000000007E-2"/>
    <n v="7.0000000000000007E-2"/>
    <n v="8.5000000000000006E-2"/>
    <n v="0.105"/>
    <n v="0.19500000000000001"/>
    <n v="320714"/>
    <n v="2.67"/>
    <n v="52044"/>
    <n v="19508"/>
    <n v="2.7"/>
    <n v="54208"/>
    <n v="20070"/>
    <n v="2.85"/>
    <n v="54834"/>
    <n v="19221"/>
    <n v="2.61"/>
    <n v="41112"/>
    <n v="15760"/>
  </r>
  <r>
    <x v="143"/>
    <n v="5"/>
    <n v="1588"/>
    <n v="6374"/>
    <n v="6374"/>
    <n v="6374"/>
    <n v="19844"/>
    <n v="0.32100000000000001"/>
    <n v="0.32100000000000001"/>
    <n v="0.32100000000000001"/>
    <n v="0"/>
    <n v="7.0000000000000007E-2"/>
    <n v="7.0000000000000007E-2"/>
    <n v="8.5000000000000006E-2"/>
    <n v="0.105"/>
    <n v="0.215"/>
    <n v="29622"/>
    <s v="2)"/>
    <s v="2)"/>
    <s v="2)"/>
    <s v="2)"/>
    <s v="2)"/>
    <s v="2)"/>
    <s v="2)"/>
    <s v="2)"/>
    <s v="2)"/>
    <s v="2)"/>
    <s v="2)"/>
    <s v="2)"/>
  </r>
  <r>
    <x v="144"/>
    <n v="3"/>
    <n v="438904"/>
    <n v="1691734"/>
    <n v="1450084"/>
    <n v="1450084"/>
    <n v="5486294"/>
    <n v="0.26400000000000001"/>
    <n v="0.26400000000000001"/>
    <n v="0.308"/>
    <n v="0"/>
    <n v="7.8E-2"/>
    <n v="7.8E-2"/>
    <n v="9.6000000000000002E-2"/>
    <n v="0.12"/>
    <n v="8.2000000000000003E-2"/>
    <n v="17667728"/>
    <n v="2.95"/>
    <n v="9029191"/>
    <n v="3065849"/>
    <n v="2.74"/>
    <n v="8960734"/>
    <n v="3269964"/>
    <n v="2.09"/>
    <n v="7221970"/>
    <n v="3450557"/>
    <n v="2"/>
    <n v="6853966"/>
    <n v="3432324"/>
  </r>
  <r>
    <x v="145"/>
    <n v="5"/>
    <n v="14415"/>
    <n v="56186"/>
    <n v="56186"/>
    <n v="56186"/>
    <n v="180185"/>
    <n v="0.312"/>
    <n v="0.312"/>
    <n v="0.312"/>
    <n v="0"/>
    <n v="7.0000000000000007E-2"/>
    <n v="7.0000000000000007E-2"/>
    <n v="8.5000000000000006E-2"/>
    <n v="0.105"/>
    <n v="6.7000000000000004E-2"/>
    <n v="844305"/>
    <n v="1.87"/>
    <n v="95243"/>
    <n v="50851"/>
    <n v="1.6"/>
    <n v="95310"/>
    <n v="59620"/>
    <n v="1.92"/>
    <n v="108461"/>
    <n v="56434"/>
    <n v="2.39"/>
    <n v="167055"/>
    <n v="69807"/>
  </r>
  <r>
    <x v="146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47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48"/>
    <n v="5"/>
    <n v="1742"/>
    <n v="5433"/>
    <n v="5433"/>
    <n v="5433"/>
    <n v="21781"/>
    <n v="0.249"/>
    <n v="0.249"/>
    <n v="0.249"/>
    <n v="0"/>
    <n v="7.0000000000000007E-2"/>
    <n v="7.0000000000000007E-2"/>
    <n v="8.5000000000000006E-2"/>
    <n v="0.105"/>
    <n v="0.32100000000000001"/>
    <n v="16922"/>
    <s v="2)"/>
    <s v="2)"/>
    <s v="2)"/>
    <s v="2)"/>
    <s v="2)"/>
    <s v="2)"/>
    <s v="2)"/>
    <s v="2)"/>
    <s v="2)"/>
    <s v="2)"/>
    <s v="2)"/>
    <s v="2)"/>
  </r>
  <r>
    <x v="149"/>
    <n v="5"/>
    <n v="5167"/>
    <n v="19328"/>
    <n v="19328"/>
    <n v="19328"/>
    <n v="64587"/>
    <n v="0.29899999999999999"/>
    <n v="0.29899999999999999"/>
    <n v="0.29899999999999999"/>
    <n v="0"/>
    <n v="7.0000000000000007E-2"/>
    <n v="7.0000000000000007E-2"/>
    <n v="8.5000000000000006E-2"/>
    <n v="0.105"/>
    <n v="0.10100000000000001"/>
    <n v="192116"/>
    <n v="1.26"/>
    <n v="57736"/>
    <n v="45849"/>
    <n v="1.19"/>
    <n v="90711"/>
    <n v="76268"/>
    <n v="1.1499999999999999"/>
    <n v="102058"/>
    <n v="88873"/>
    <n v="1.1499999999999999"/>
    <n v="66327"/>
    <n v="57443"/>
  </r>
  <r>
    <x v="150"/>
    <n v="5"/>
    <n v="21104"/>
    <n v="185600"/>
    <n v="185600"/>
    <n v="185600"/>
    <n v="263806"/>
    <n v="0.70399999999999996"/>
    <n v="0.70399999999999996"/>
    <n v="0.70399999999999996"/>
    <n v="0"/>
    <n v="7.0000000000000007E-2"/>
    <n v="7.0000000000000007E-2"/>
    <n v="8.5000000000000006E-2"/>
    <n v="0.105"/>
    <n v="0.2"/>
    <n v="928231"/>
    <n v="3.5"/>
    <n v="196341"/>
    <n v="56165"/>
    <n v="3.09"/>
    <n v="212532"/>
    <n v="68712"/>
    <n v="2.97"/>
    <n v="236608"/>
    <n v="79680"/>
    <n v="2.8"/>
    <n v="221567"/>
    <n v="79219"/>
  </r>
  <r>
    <x v="151"/>
    <n v="5"/>
    <n v="2984"/>
    <n v="4756"/>
    <n v="4756"/>
    <n v="4756"/>
    <n v="37304"/>
    <n v="0.127"/>
    <n v="0.127"/>
    <n v="0.127"/>
    <n v="0"/>
    <n v="7.0000000000000007E-2"/>
    <n v="7.0000000000000007E-2"/>
    <n v="8.5000000000000006E-2"/>
    <n v="0.105"/>
    <n v="9.0999999999999998E-2"/>
    <n v="52381"/>
    <s v="2)"/>
    <s v="2)"/>
    <s v="2)"/>
    <s v="2)"/>
    <s v="2)"/>
    <s v="2)"/>
    <s v="2)"/>
    <s v="2)"/>
    <s v="2)"/>
    <s v="2)"/>
    <s v="2)"/>
    <s v="2)"/>
  </r>
  <r>
    <x v="152"/>
    <n v="5"/>
    <n v="1561"/>
    <n v="3467"/>
    <n v="3117"/>
    <n v="3117"/>
    <n v="19509"/>
    <n v="0.16"/>
    <n v="0.16"/>
    <n v="0.17799999999999999"/>
    <n v="0"/>
    <n v="7.0000000000000007E-2"/>
    <n v="7.0000000000000007E-2"/>
    <n v="8.5000000000000006E-2"/>
    <n v="0.105"/>
    <n v="7.1999999999999995E-2"/>
    <n v="48053"/>
    <s v="2)"/>
    <s v="2)"/>
    <s v="2)"/>
    <s v="2)"/>
    <s v="2)"/>
    <s v="2)"/>
    <s v="2)"/>
    <s v="2)"/>
    <s v="2)"/>
    <s v="2)"/>
    <s v="2)"/>
    <s v="2)"/>
  </r>
  <r>
    <x v="153"/>
    <n v="3"/>
    <n v="1268177"/>
    <n v="4968913"/>
    <n v="4968913"/>
    <n v="4968913"/>
    <n v="15852213"/>
    <n v="0.313"/>
    <n v="0.313"/>
    <n v="0.313"/>
    <n v="0"/>
    <n v="7.8E-2"/>
    <n v="7.8E-2"/>
    <n v="9.6000000000000002E-2"/>
    <n v="0.12"/>
    <n v="0.125"/>
    <n v="39640139"/>
    <n v="1.36"/>
    <n v="9466314"/>
    <n v="6961406"/>
    <n v="1.39"/>
    <n v="10001431"/>
    <n v="7179738"/>
    <n v="1.4"/>
    <n v="11650906"/>
    <n v="8347346"/>
    <n v="1.44"/>
    <n v="10473728"/>
    <n v="7265460"/>
  </r>
  <r>
    <x v="154"/>
    <n v="4"/>
    <n v="382078"/>
    <n v="1005942"/>
    <n v="1005942"/>
    <n v="1005942"/>
    <n v="4775974"/>
    <n v="0.21099999999999999"/>
    <n v="0.21099999999999999"/>
    <n v="0.21099999999999999"/>
    <n v="0"/>
    <n v="7.3999999999999996E-2"/>
    <n v="7.3999999999999996E-2"/>
    <n v="0.09"/>
    <n v="0.112"/>
    <n v="0.10199999999999999"/>
    <n v="9823180"/>
    <n v="1.62"/>
    <n v="824233"/>
    <n v="509169"/>
    <n v="1.65"/>
    <n v="869701"/>
    <n v="526776"/>
    <n v="1.83"/>
    <n v="982235"/>
    <n v="536751"/>
    <n v="1.87"/>
    <n v="1097907"/>
    <n v="585733"/>
  </r>
  <r>
    <x v="155"/>
    <n v="5"/>
    <n v="2378"/>
    <n v="10098"/>
    <n v="9748"/>
    <n v="9748"/>
    <n v="29730"/>
    <n v="0.32800000000000001"/>
    <n v="0.32800000000000001"/>
    <n v="0.34"/>
    <n v="0"/>
    <n v="7.0000000000000007E-2"/>
    <n v="7.0000000000000007E-2"/>
    <n v="8.5000000000000006E-2"/>
    <n v="0.105"/>
    <n v="9.7000000000000003E-2"/>
    <n v="100919"/>
    <s v="2)"/>
    <s v="2)"/>
    <s v="2)"/>
    <s v="2)"/>
    <s v="2)"/>
    <s v="2)"/>
    <s v="2)"/>
    <s v="2)"/>
    <s v="2)"/>
    <s v="2)"/>
    <s v="2)"/>
    <s v="2)"/>
  </r>
  <r>
    <x v="156"/>
    <n v="3"/>
    <n v="1639568"/>
    <n v="4521693"/>
    <n v="2876724"/>
    <n v="4420923"/>
    <n v="20494594"/>
    <n v="0.14000000000000001"/>
    <n v="0.216"/>
    <n v="0.221"/>
    <n v="2E-3"/>
    <n v="7.8E-2"/>
    <n v="0.08"/>
    <n v="9.8000000000000004E-2"/>
    <n v="0.122"/>
    <n v="4.3999999999999997E-2"/>
    <n v="101002488"/>
    <n v="1.66"/>
    <n v="15645989"/>
    <n v="9414928"/>
    <n v="1.85"/>
    <n v="15953286"/>
    <n v="8602128"/>
    <n v="1.7"/>
    <n v="14604403"/>
    <n v="8567158"/>
    <n v="1.74"/>
    <n v="14724307"/>
    <n v="8452672"/>
  </r>
  <r>
    <x v="157"/>
    <n v="5"/>
    <n v="6239"/>
    <n v="24161"/>
    <n v="24161"/>
    <n v="24161"/>
    <n v="77986"/>
    <n v="0.31"/>
    <n v="0.31"/>
    <n v="0.31"/>
    <n v="0"/>
    <n v="7.0000000000000007E-2"/>
    <n v="7.0000000000000007E-2"/>
    <n v="8.5000000000000006E-2"/>
    <n v="0.105"/>
    <n v="0.55100000000000005"/>
    <n v="43885"/>
    <s v="2)"/>
    <s v="2)"/>
    <s v="2)"/>
    <s v="2)"/>
    <s v="2)"/>
    <s v="2)"/>
    <s v="2)"/>
    <s v="2)"/>
    <s v="2)"/>
    <s v="2)"/>
    <s v="2)"/>
    <s v="2)"/>
  </r>
  <r>
    <x v="158"/>
    <n v="5"/>
    <n v="8950"/>
    <n v="41820"/>
    <n v="41820"/>
    <n v="41820"/>
    <n v="111871"/>
    <n v="0.374"/>
    <n v="0.374"/>
    <n v="0.374"/>
    <n v="1E-3"/>
    <n v="6.9999999999999993E-2"/>
    <n v="7.0999999999999994E-2"/>
    <n v="8.5999999999999993E-2"/>
    <n v="0.106"/>
    <n v="0.107"/>
    <n v="389376"/>
    <n v="3.06"/>
    <n v="149492"/>
    <n v="48813"/>
    <n v="3.24"/>
    <n v="158631"/>
    <n v="48931"/>
    <n v="3.31"/>
    <n v="156818"/>
    <n v="47325"/>
    <n v="3.1"/>
    <n v="132055"/>
    <n v="42618"/>
  </r>
  <r>
    <x v="159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60"/>
    <n v="5"/>
    <n v="245358"/>
    <n v="648108"/>
    <n v="647490"/>
    <n v="647490"/>
    <n v="3066972"/>
    <n v="0.21099999999999999"/>
    <n v="0.21099999999999999"/>
    <n v="0.21099999999999999"/>
    <n v="0"/>
    <n v="7.0000000000000007E-2"/>
    <n v="7.0000000000000007E-2"/>
    <n v="8.5000000000000006E-2"/>
    <n v="0.105"/>
    <n v="7.3999999999999996E-2"/>
    <n v="8794049"/>
    <s v="2)"/>
    <s v="2)"/>
    <s v="2)"/>
    <s v="2)"/>
    <s v="2)"/>
    <s v="2)"/>
    <s v="2)"/>
    <s v="2)"/>
    <s v="2)"/>
    <s v="2)"/>
    <s v="2)"/>
    <s v="2)"/>
  </r>
  <r>
    <x v="161"/>
    <n v="5"/>
    <n v="227010"/>
    <n v="634219"/>
    <n v="507604"/>
    <n v="607604"/>
    <n v="2837621"/>
    <n v="0.17899999999999999"/>
    <n v="0.214"/>
    <n v="0.224"/>
    <n v="0"/>
    <n v="7.0000000000000007E-2"/>
    <n v="7.0000000000000007E-2"/>
    <n v="8.5000000000000006E-2"/>
    <n v="0.105"/>
    <n v="7.0000000000000007E-2"/>
    <n v="8690619"/>
    <s v="2)"/>
    <s v="2)"/>
    <s v="2)"/>
    <s v="2)"/>
    <s v="2)"/>
    <s v="2)"/>
    <s v="2)"/>
    <s v="2)"/>
    <s v="2)"/>
    <s v="2)"/>
    <s v="2)"/>
    <s v="2)"/>
  </r>
  <r>
    <x v="162"/>
    <n v="5"/>
    <n v="3465"/>
    <n v="33306"/>
    <n v="33306"/>
    <n v="33306"/>
    <n v="43308"/>
    <n v="0.76900000000000002"/>
    <n v="0.76900000000000002"/>
    <n v="0.76900000000000002"/>
    <n v="0"/>
    <n v="7.0000000000000007E-2"/>
    <n v="7.0000000000000007E-2"/>
    <n v="8.5000000000000006E-2"/>
    <n v="0.105"/>
    <n v="0.19"/>
    <n v="175329"/>
    <s v="2)"/>
    <s v="2)"/>
    <s v="2)"/>
    <s v="2)"/>
    <s v="2)"/>
    <s v="2)"/>
    <s v="2)"/>
    <s v="2)"/>
    <s v="2)"/>
    <s v="2)"/>
    <s v="2)"/>
    <s v="2)"/>
  </r>
  <r>
    <x v="163"/>
    <n v="4"/>
    <n v="230221"/>
    <n v="631674"/>
    <n v="631617"/>
    <n v="631617"/>
    <n v="2877757"/>
    <n v="0.219"/>
    <n v="0.219"/>
    <n v="0.22"/>
    <n v="3.0000000000000001E-3"/>
    <n v="7.3999999999999996E-2"/>
    <n v="7.6999999999999999E-2"/>
    <n v="9.2999999999999999E-2"/>
    <n v="0.115"/>
    <n v="6.6000000000000003E-2"/>
    <n v="9570135"/>
    <n v="1.54"/>
    <n v="729013"/>
    <n v="473535"/>
    <n v="1.45"/>
    <n v="719318"/>
    <n v="496017"/>
    <n v="1.58"/>
    <n v="857210"/>
    <n v="543601"/>
    <n v="1.75"/>
    <n v="989486"/>
    <n v="565891"/>
  </r>
  <r>
    <x v="164"/>
    <n v="5"/>
    <n v="43616"/>
    <n v="121053"/>
    <n v="116093"/>
    <n v="116093"/>
    <n v="545203"/>
    <n v="0.21299999999999999"/>
    <n v="0.21299999999999999"/>
    <n v="0.222"/>
    <n v="7.0000000000000001E-3"/>
    <n v="6.9999999999999993E-2"/>
    <n v="7.6999999999999999E-2"/>
    <n v="9.1999999999999998E-2"/>
    <n v="0.112"/>
    <n v="0.113"/>
    <n v="1030774"/>
    <n v="1.65"/>
    <n v="136448"/>
    <n v="82933"/>
    <n v="1.8"/>
    <n v="127031"/>
    <n v="70754"/>
    <n v="1.73"/>
    <n v="125956"/>
    <n v="72744"/>
    <n v="2.4"/>
    <n v="159628"/>
    <n v="66523"/>
  </r>
  <r>
    <x v="165"/>
    <n v="3"/>
    <n v="1583653"/>
    <n v="3303877"/>
    <n v="2758380"/>
    <n v="3268380"/>
    <n v="19795661"/>
    <n v="0.13900000000000001"/>
    <n v="0.16500000000000001"/>
    <n v="0.16700000000000001"/>
    <n v="8.9999999999999993E-3"/>
    <n v="7.8E-2"/>
    <n v="8.6999999999999994E-2"/>
    <n v="0.105"/>
    <n v="0.129"/>
    <n v="7.4999999999999997E-2"/>
    <n v="43859209"/>
    <n v="1.3"/>
    <n v="4334361"/>
    <n v="3342525"/>
    <n v="1.43"/>
    <n v="4514429"/>
    <n v="3163598"/>
    <n v="1.36"/>
    <n v="4460606"/>
    <n v="3271399"/>
    <n v="1.51"/>
    <n v="5470765"/>
    <n v="3631969"/>
  </r>
  <r>
    <x v="166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67"/>
    <n v="5"/>
    <n v="323"/>
    <n v="22010"/>
    <n v="22010"/>
    <n v="22010"/>
    <n v="4032"/>
    <n v="5.4589999999999996"/>
    <n v="5.4589999999999996"/>
    <n v="5.4589999999999996"/>
    <n v="0"/>
    <n v="7.0000000000000007E-2"/>
    <n v="7.0000000000000007E-2"/>
    <n v="8.5000000000000006E-2"/>
    <n v="0.105"/>
    <n v="0.55500000000000005"/>
    <n v="39676"/>
    <n v="1051.3599999999999"/>
    <n v="15037"/>
    <n v="14"/>
    <n v="109.41"/>
    <n v="18320"/>
    <n v="167"/>
    <n v="17.72"/>
    <n v="21162"/>
    <n v="1194"/>
    <n v="6.25"/>
    <n v="17667"/>
    <n v="2827"/>
  </r>
  <r>
    <x v="168"/>
    <n v="5"/>
    <n v="5172"/>
    <n v="31946"/>
    <n v="31946"/>
    <n v="31946"/>
    <n v="64650"/>
    <n v="0.49399999999999999"/>
    <n v="0.49399999999999999"/>
    <n v="0.49399999999999999"/>
    <n v="0"/>
    <n v="7.0000000000000007E-2"/>
    <n v="7.0000000000000007E-2"/>
    <n v="8.5000000000000006E-2"/>
    <n v="0.105"/>
    <n v="0.222"/>
    <n v="143605"/>
    <n v="1.2"/>
    <n v="20363"/>
    <n v="16995"/>
    <n v="1.47"/>
    <n v="16874"/>
    <n v="11472"/>
    <n v="1.48"/>
    <n v="16554"/>
    <n v="11219"/>
    <n v="1.46"/>
    <n v="17044"/>
    <n v="11656"/>
  </r>
  <r>
    <x v="169"/>
    <n v="5"/>
    <n v="1643"/>
    <n v="5377"/>
    <n v="5377"/>
    <n v="5377"/>
    <n v="20543"/>
    <n v="0.26200000000000001"/>
    <n v="0.26200000000000001"/>
    <n v="0.26200000000000001"/>
    <n v="0"/>
    <n v="7.0000000000000007E-2"/>
    <n v="7.0000000000000007E-2"/>
    <n v="8.5000000000000006E-2"/>
    <n v="0.105"/>
    <n v="0.18099999999999999"/>
    <n v="29640"/>
    <s v="2)"/>
    <s v="2)"/>
    <s v="2)"/>
    <s v="2)"/>
    <s v="2)"/>
    <s v="2)"/>
    <s v="2)"/>
    <s v="2)"/>
    <s v="2)"/>
    <s v="2)"/>
    <s v="2)"/>
    <s v="2)"/>
  </r>
  <r>
    <x v="170"/>
    <n v="3"/>
    <n v="1510119"/>
    <n v="3998035"/>
    <n v="2688112"/>
    <n v="2688112"/>
    <n v="18876484"/>
    <n v="0.14199999999999999"/>
    <n v="0.14199999999999999"/>
    <n v="0.21199999999999999"/>
    <n v="1.4E-2"/>
    <n v="7.8E-2"/>
    <n v="9.1999999999999998E-2"/>
    <n v="0.11"/>
    <n v="0.13400000000000001"/>
    <n v="5.6000000000000001E-2"/>
    <n v="47763189"/>
    <n v="1.3"/>
    <n v="4077183"/>
    <n v="3146800"/>
    <n v="1.27"/>
    <n v="4199924"/>
    <n v="3298988"/>
    <n v="1.2"/>
    <n v="4348207"/>
    <n v="3629975"/>
    <n v="1.28"/>
    <n v="4806387"/>
    <n v="3756534"/>
  </r>
  <r>
    <x v="171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72"/>
    <n v="3"/>
    <n v="802544"/>
    <n v="1514369"/>
    <n v="1514369"/>
    <n v="1514369"/>
    <n v="10031801"/>
    <n v="0.151"/>
    <n v="0.151"/>
    <n v="0.151"/>
    <n v="0.01"/>
    <n v="7.8E-2"/>
    <n v="8.7999999999999995E-2"/>
    <n v="0.106"/>
    <n v="0.13"/>
    <n v="6.0999999999999999E-2"/>
    <n v="24641790"/>
    <n v="1.1599999999999999"/>
    <n v="2909838"/>
    <n v="2515547"/>
    <n v="1.1100000000000001"/>
    <n v="2914037"/>
    <n v="2632136"/>
    <n v="1.1399999999999999"/>
    <n v="2917665"/>
    <n v="2555756"/>
    <n v="1.21"/>
    <n v="3103381"/>
    <n v="2555499"/>
  </r>
  <r>
    <x v="173"/>
    <n v="5"/>
    <n v="21847"/>
    <n v="70010"/>
    <n v="70010"/>
    <n v="70010"/>
    <n v="273087"/>
    <n v="0.25600000000000001"/>
    <n v="0.25600000000000001"/>
    <n v="0.25600000000000001"/>
    <n v="0"/>
    <n v="7.0000000000000007E-2"/>
    <n v="7.0000000000000007E-2"/>
    <n v="8.5000000000000006E-2"/>
    <n v="0.105"/>
    <n v="0.13300000000000001"/>
    <n v="525078"/>
    <n v="1.33"/>
    <n v="46118"/>
    <n v="34691"/>
    <n v="1.41"/>
    <n v="51168"/>
    <n v="36416"/>
    <n v="1.46"/>
    <n v="56782"/>
    <n v="38775"/>
    <n v="1.54"/>
    <n v="57054"/>
    <n v="37038"/>
  </r>
  <r>
    <x v="174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75"/>
    <n v="5"/>
    <n v="8563"/>
    <n v="27542"/>
    <n v="27542"/>
    <n v="27542"/>
    <n v="107041"/>
    <n v="0.25700000000000001"/>
    <n v="0.25700000000000001"/>
    <n v="0.25700000000000001"/>
    <n v="0"/>
    <n v="7.0000000000000007E-2"/>
    <n v="7.0000000000000007E-2"/>
    <n v="8.5000000000000006E-2"/>
    <n v="0.105"/>
    <n v="0.28000000000000003"/>
    <n v="98467"/>
    <n v="3.58"/>
    <n v="21454"/>
    <n v="5995"/>
    <n v="4.34"/>
    <n v="34157"/>
    <n v="7874"/>
    <n v="4.9800000000000004"/>
    <n v="31958"/>
    <n v="6411"/>
    <n v="5.6"/>
    <n v="27817"/>
    <n v="4971"/>
  </r>
  <r>
    <x v="176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77"/>
    <n v="5"/>
    <n v="7938"/>
    <n v="22958"/>
    <n v="22958"/>
    <n v="22958"/>
    <n v="99220"/>
    <n v="0.23100000000000001"/>
    <n v="0.23100000000000001"/>
    <n v="0.23100000000000001"/>
    <n v="0"/>
    <n v="7.0000000000000007E-2"/>
    <n v="7.0000000000000007E-2"/>
    <n v="8.5000000000000006E-2"/>
    <n v="0.105"/>
    <n v="7.4999999999999997E-2"/>
    <n v="305866"/>
    <n v="1.82"/>
    <n v="26401"/>
    <n v="14491"/>
    <n v="1.33"/>
    <n v="32959"/>
    <n v="24724"/>
    <n v="1.84"/>
    <n v="39190"/>
    <n v="21243"/>
    <n v="2.16"/>
    <n v="37842"/>
    <n v="17487"/>
  </r>
  <r>
    <x v="178"/>
    <n v="5"/>
    <n v="8334"/>
    <n v="21757"/>
    <n v="21757"/>
    <n v="21757"/>
    <n v="104178"/>
    <n v="0.20899999999999999"/>
    <n v="0.20899999999999999"/>
    <n v="0.20899999999999999"/>
    <n v="0"/>
    <n v="7.0000000000000007E-2"/>
    <n v="7.0000000000000007E-2"/>
    <n v="8.5000000000000006E-2"/>
    <n v="0.105"/>
    <n v="6.2E-2"/>
    <n v="353460"/>
    <n v="4.12"/>
    <n v="79479"/>
    <n v="19287"/>
    <n v="4.4800000000000004"/>
    <n v="97613"/>
    <n v="21777"/>
    <n v="5.78"/>
    <n v="123798"/>
    <n v="21405"/>
    <n v="6.41"/>
    <n v="137489"/>
    <n v="21440"/>
  </r>
  <r>
    <x v="179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80"/>
    <n v="5"/>
    <n v="4078"/>
    <n v="14565"/>
    <n v="14565"/>
    <n v="14565"/>
    <n v="50971"/>
    <n v="0.28599999999999998"/>
    <n v="0.28599999999999998"/>
    <n v="0.28599999999999998"/>
    <n v="0"/>
    <n v="7.0000000000000007E-2"/>
    <n v="7.0000000000000007E-2"/>
    <n v="8.5000000000000006E-2"/>
    <n v="0.105"/>
    <n v="0.35899999999999999"/>
    <n v="40537"/>
    <s v="2)"/>
    <s v="2)"/>
    <s v="2)"/>
    <s v="2)"/>
    <s v="2)"/>
    <s v="2)"/>
    <s v="2)"/>
    <s v="2)"/>
    <s v="2)"/>
    <s v="2)"/>
    <s v="2)"/>
    <s v="2)"/>
  </r>
  <r>
    <x v="181"/>
    <n v="4"/>
    <n v="30643"/>
    <n v="60914"/>
    <n v="60914"/>
    <n v="60914"/>
    <n v="383033"/>
    <n v="0.159"/>
    <n v="0.159"/>
    <n v="0.159"/>
    <n v="8.9999999999999993E-3"/>
    <n v="7.400000000000001E-2"/>
    <n v="8.3000000000000004E-2"/>
    <n v="9.9000000000000005E-2"/>
    <n v="0.121"/>
    <n v="5.8000000000000003E-2"/>
    <n v="1043126"/>
    <n v="1.55"/>
    <n v="178221"/>
    <n v="115108"/>
    <n v="1.63"/>
    <n v="179176"/>
    <n v="110083"/>
    <n v="2.0499999999999998"/>
    <n v="185213"/>
    <n v="90128"/>
    <n v="1.77"/>
    <n v="232238"/>
    <n v="131492"/>
  </r>
  <r>
    <x v="182"/>
    <n v="4"/>
    <n v="128788"/>
    <n v="397894"/>
    <n v="397894"/>
    <n v="397894"/>
    <n v="1609852"/>
    <n v="0.247"/>
    <n v="0.247"/>
    <n v="0.247"/>
    <n v="2E-3"/>
    <n v="7.3999999999999996E-2"/>
    <n v="7.5999999999999998E-2"/>
    <n v="9.1999999999999998E-2"/>
    <n v="0.114"/>
    <n v="0.11"/>
    <n v="3613373"/>
    <n v="1.69"/>
    <n v="759572"/>
    <n v="449786"/>
    <n v="1.53"/>
    <n v="725572"/>
    <n v="475053"/>
    <n v="1.44"/>
    <n v="635456"/>
    <n v="441584"/>
    <n v="1.78"/>
    <n v="833322"/>
    <n v="467920"/>
  </r>
  <r>
    <x v="183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84"/>
    <n v="4"/>
    <n v="46337"/>
    <n v="148505"/>
    <n v="148505"/>
    <n v="148505"/>
    <n v="579215"/>
    <n v="0.25600000000000001"/>
    <n v="0.25600000000000001"/>
    <n v="0.25600000000000001"/>
    <n v="4.0000000000000001E-3"/>
    <n v="7.3999999999999996E-2"/>
    <n v="7.8E-2"/>
    <n v="9.4E-2"/>
    <n v="0.11600000000000001"/>
    <n v="8.8999999999999996E-2"/>
    <n v="1669026"/>
    <n v="1.3"/>
    <n v="598256"/>
    <n v="461624"/>
    <n v="1.36"/>
    <n v="526449"/>
    <n v="387071"/>
    <n v="1.43"/>
    <n v="543389"/>
    <n v="378937"/>
    <n v="1.4"/>
    <n v="532715"/>
    <n v="380989"/>
  </r>
  <r>
    <x v="185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86"/>
    <n v="5"/>
    <n v="12283"/>
    <n v="52918"/>
    <n v="52918"/>
    <n v="52918"/>
    <n v="153532"/>
    <n v="0.34499999999999997"/>
    <n v="0.34499999999999997"/>
    <n v="0.34499999999999997"/>
    <n v="0"/>
    <n v="7.0000000000000007E-2"/>
    <n v="7.0000000000000007E-2"/>
    <n v="8.5000000000000006E-2"/>
    <n v="0.105"/>
    <n v="0.76600000000000001"/>
    <n v="69127"/>
    <s v="NV"/>
    <n v="7504"/>
    <n v="0"/>
    <n v="153.12"/>
    <n v="7503"/>
    <n v="49"/>
    <s v="NV"/>
    <n v="7503"/>
    <n v="0"/>
    <s v="NV"/>
    <n v="9501"/>
    <n v="0"/>
  </r>
  <r>
    <x v="187"/>
    <n v="5"/>
    <n v="4131"/>
    <n v="14409"/>
    <n v="14409"/>
    <n v="14409"/>
    <n v="51632"/>
    <n v="0.27900000000000003"/>
    <n v="0.27900000000000003"/>
    <n v="0.27900000000000003"/>
    <n v="0"/>
    <n v="7.0000000000000007E-2"/>
    <n v="7.0000000000000007E-2"/>
    <n v="8.5000000000000006E-2"/>
    <n v="0.105"/>
    <n v="0.91"/>
    <n v="15829"/>
    <s v="NV"/>
    <n v="100"/>
    <n v="0"/>
    <s v="NV"/>
    <n v="100"/>
    <n v="0"/>
    <s v="NV"/>
    <n v="100"/>
    <n v="0"/>
    <s v="NV"/>
    <n v="100"/>
    <n v="0"/>
  </r>
  <r>
    <x v="188"/>
    <n v="5"/>
    <n v="43282"/>
    <n v="171497"/>
    <n v="146497"/>
    <n v="146497"/>
    <n v="541027"/>
    <n v="0.27100000000000002"/>
    <n v="0.27100000000000002"/>
    <n v="0.317"/>
    <n v="0"/>
    <n v="7.0000000000000007E-2"/>
    <n v="7.0000000000000007E-2"/>
    <n v="8.5000000000000006E-2"/>
    <n v="0.105"/>
    <n v="0.13400000000000001"/>
    <n v="1095724"/>
    <n v="1.78"/>
    <n v="29794"/>
    <n v="16756"/>
    <n v="2.08"/>
    <n v="35650"/>
    <n v="17162"/>
    <n v="5.31"/>
    <n v="50183"/>
    <n v="9446"/>
    <n v="5.18"/>
    <n v="56041"/>
    <n v="10821"/>
  </r>
  <r>
    <x v="189"/>
    <n v="5"/>
    <n v="775"/>
    <n v="2811"/>
    <n v="2811"/>
    <n v="2811"/>
    <n v="9683"/>
    <n v="0.28999999999999998"/>
    <n v="0.28999999999999998"/>
    <n v="0.28999999999999998"/>
    <n v="1E-3"/>
    <n v="6.9999999999999993E-2"/>
    <n v="7.0999999999999994E-2"/>
    <n v="8.5999999999999993E-2"/>
    <n v="0.106"/>
    <n v="0.245"/>
    <n v="11486"/>
    <s v="2)"/>
    <s v="2)"/>
    <s v="2)"/>
    <s v="2)"/>
    <s v="2)"/>
    <s v="2)"/>
    <s v="2)"/>
    <s v="2)"/>
    <s v="2)"/>
    <s v="2)"/>
    <s v="2)"/>
    <s v="2)"/>
  </r>
  <r>
    <x v="190"/>
    <n v="5"/>
    <n v="10713"/>
    <n v="49219"/>
    <n v="49219"/>
    <n v="49219"/>
    <n v="133915"/>
    <n v="0.36799999999999999"/>
    <n v="0.36799999999999999"/>
    <n v="0.36799999999999999"/>
    <n v="0"/>
    <n v="7.0000000000000007E-2"/>
    <n v="7.0000000000000007E-2"/>
    <n v="8.5000000000000006E-2"/>
    <n v="0.105"/>
    <n v="0.114"/>
    <n v="430609"/>
    <n v="2.52"/>
    <n v="67965"/>
    <n v="27000"/>
    <n v="3.45"/>
    <n v="98964"/>
    <n v="28710"/>
    <n v="2.94"/>
    <n v="86288"/>
    <n v="29351"/>
    <n v="2.91"/>
    <n v="104571"/>
    <n v="35968"/>
  </r>
  <r>
    <x v="191"/>
    <n v="5"/>
    <n v="13692"/>
    <n v="42509"/>
    <n v="32860"/>
    <n v="32860"/>
    <n v="171147"/>
    <n v="0.192"/>
    <n v="0.192"/>
    <n v="0.248"/>
    <n v="1.2999999999999999E-2"/>
    <n v="7.0000000000000007E-2"/>
    <n v="8.3000000000000004E-2"/>
    <n v="9.8000000000000004E-2"/>
    <n v="0.11799999999999999"/>
    <n v="8.4000000000000005E-2"/>
    <n v="389146"/>
    <n v="1.25"/>
    <n v="24517"/>
    <n v="19561"/>
    <n v="1.75"/>
    <n v="26426"/>
    <n v="15142"/>
    <n v="2.2200000000000002"/>
    <n v="30173"/>
    <n v="13610"/>
    <n v="2.1"/>
    <n v="35670"/>
    <n v="16982"/>
  </r>
  <r>
    <x v="192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93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194"/>
    <n v="5"/>
    <n v="1197"/>
    <n v="3790"/>
    <n v="3790"/>
    <n v="3790"/>
    <n v="14962"/>
    <n v="0.253"/>
    <n v="0.253"/>
    <n v="0.253"/>
    <n v="0"/>
    <n v="7.0000000000000007E-2"/>
    <n v="7.0000000000000007E-2"/>
    <n v="8.5000000000000006E-2"/>
    <n v="0.105"/>
    <n v="9.6000000000000002E-2"/>
    <n v="39543"/>
    <s v="2)"/>
    <s v="2)"/>
    <s v="2)"/>
    <s v="2)"/>
    <s v="2)"/>
    <s v="2)"/>
    <s v="2)"/>
    <s v="2)"/>
    <s v="2)"/>
    <s v="2)"/>
    <s v="2)"/>
    <s v="2)"/>
  </r>
  <r>
    <x v="195"/>
    <n v="5"/>
    <n v="1784"/>
    <n v="3280"/>
    <n v="3260"/>
    <n v="3260"/>
    <n v="22294"/>
    <n v="0.14599999999999999"/>
    <n v="0.14599999999999999"/>
    <n v="0.14699999999999999"/>
    <n v="0"/>
    <n v="7.0000000000000007E-2"/>
    <n v="7.0000000000000007E-2"/>
    <n v="8.5000000000000006E-2"/>
    <n v="0.105"/>
    <n v="0.49099999999999999"/>
    <n v="6638"/>
    <s v="2)"/>
    <s v="2)"/>
    <s v="2)"/>
    <s v="2)"/>
    <s v="2)"/>
    <s v="2)"/>
    <s v="2)"/>
    <s v="2)"/>
    <s v="2)"/>
    <s v="2)"/>
    <s v="2)"/>
    <s v="2)"/>
  </r>
  <r>
    <x v="196"/>
    <n v="5"/>
    <n v="5028"/>
    <n v="11029"/>
    <n v="6207"/>
    <n v="6207"/>
    <n v="62848"/>
    <n v="9.9000000000000005E-2"/>
    <n v="9.9000000000000005E-2"/>
    <n v="0.17499999999999999"/>
    <n v="0"/>
    <n v="7.0000000000000007E-2"/>
    <n v="7.0000000000000007E-2"/>
    <n v="8.5000000000000006E-2"/>
    <n v="0.105"/>
    <n v="0.17599999999999999"/>
    <n v="35294"/>
    <s v="2)"/>
    <s v="2)"/>
    <s v="2)"/>
    <s v="2)"/>
    <s v="2)"/>
    <s v="2)"/>
    <s v="2)"/>
    <s v="2)"/>
    <s v="2)"/>
    <s v="2)"/>
    <s v="2)"/>
    <s v="2)"/>
  </r>
  <r>
    <x v="197"/>
    <n v="5"/>
    <n v="34637"/>
    <n v="93674"/>
    <n v="69224"/>
    <n v="93334"/>
    <n v="432961"/>
    <n v="0.16"/>
    <n v="0.216"/>
    <n v="0.216"/>
    <n v="1E-3"/>
    <n v="6.9999999999999993E-2"/>
    <n v="7.0999999999999994E-2"/>
    <n v="8.5999999999999993E-2"/>
    <n v="0.106"/>
    <n v="5.5E-2"/>
    <n v="1686749"/>
    <n v="1.67"/>
    <n v="209527"/>
    <n v="125732"/>
    <n v="1.54"/>
    <n v="209366"/>
    <n v="135717"/>
    <n v="1.49"/>
    <n v="209619"/>
    <n v="140916"/>
    <n v="1.43"/>
    <n v="207343"/>
    <n v="145173"/>
  </r>
  <r>
    <x v="198"/>
    <n v="4"/>
    <n v="76456"/>
    <n v="233370"/>
    <n v="233370"/>
    <n v="233370"/>
    <n v="955700"/>
    <n v="0.24399999999999999"/>
    <n v="0.24399999999999999"/>
    <n v="0.24399999999999999"/>
    <n v="0"/>
    <n v="7.3999999999999996E-2"/>
    <n v="7.3999999999999996E-2"/>
    <n v="0.09"/>
    <n v="0.112"/>
    <n v="5.1999999999999998E-2"/>
    <n v="4508752"/>
    <n v="1.38"/>
    <n v="3315612"/>
    <n v="2406335"/>
    <n v="1.4"/>
    <n v="3331765"/>
    <n v="2378568"/>
    <n v="1.45"/>
    <n v="2851024"/>
    <n v="1965861"/>
    <n v="1.4"/>
    <n v="2582909"/>
    <n v="1849064"/>
  </r>
  <r>
    <x v="199"/>
    <n v="5"/>
    <n v="17963"/>
    <n v="60016"/>
    <n v="60016"/>
    <n v="60016"/>
    <n v="224535"/>
    <n v="0.26700000000000002"/>
    <n v="0.26700000000000002"/>
    <n v="0.26700000000000002"/>
    <n v="0"/>
    <n v="7.0000000000000007E-2"/>
    <n v="7.0000000000000007E-2"/>
    <n v="8.5000000000000006E-2"/>
    <n v="0.105"/>
    <n v="8.3000000000000004E-2"/>
    <n v="725457"/>
    <n v="1.64"/>
    <n v="341356"/>
    <n v="208124"/>
    <n v="1.64"/>
    <n v="354239"/>
    <n v="216215"/>
    <n v="1.85"/>
    <n v="360635"/>
    <n v="194746"/>
    <n v="1.47"/>
    <n v="466002"/>
    <n v="316549"/>
  </r>
  <r>
    <x v="200"/>
    <n v="5"/>
    <n v="47829"/>
    <n v="113141"/>
    <n v="113141"/>
    <n v="113141"/>
    <n v="597858"/>
    <n v="0.189"/>
    <n v="0.189"/>
    <n v="0.189"/>
    <n v="1.0999999999999999E-2"/>
    <n v="7.0000000000000007E-2"/>
    <n v="8.1000000000000003E-2"/>
    <n v="9.6000000000000002E-2"/>
    <n v="0.11600000000000001"/>
    <n v="0.08"/>
    <n v="1414399"/>
    <n v="1.23"/>
    <n v="191023"/>
    <n v="155170"/>
    <n v="1.23"/>
    <n v="202787"/>
    <n v="164736"/>
    <n v="1.23"/>
    <n v="186974"/>
    <n v="151490"/>
    <n v="1.1599999999999999"/>
    <n v="179960"/>
    <n v="155796"/>
  </r>
  <r>
    <x v="201"/>
    <n v="5"/>
    <n v="144139"/>
    <n v="555432"/>
    <n v="555432"/>
    <n v="555432"/>
    <n v="1801733"/>
    <n v="0.308"/>
    <n v="0.308"/>
    <n v="0.308"/>
    <n v="0"/>
    <n v="7.0000000000000007E-2"/>
    <n v="7.0000000000000007E-2"/>
    <n v="8.5000000000000006E-2"/>
    <n v="0.105"/>
    <n v="0.246"/>
    <n v="2261367"/>
    <n v="2.95"/>
    <n v="866289"/>
    <n v="293778"/>
    <n v="1.88"/>
    <n v="1009153"/>
    <n v="538026"/>
    <n v="1.51"/>
    <n v="1068219"/>
    <n v="709329"/>
    <n v="1.41"/>
    <n v="802886"/>
    <n v="570156"/>
  </r>
  <r>
    <x v="202"/>
    <n v="4"/>
    <n v="317802"/>
    <n v="1011020"/>
    <n v="993951"/>
    <n v="993951"/>
    <n v="3972521"/>
    <n v="0.25"/>
    <n v="0.25"/>
    <n v="0.255"/>
    <n v="0.01"/>
    <n v="7.400000000000001E-2"/>
    <n v="8.4000000000000005E-2"/>
    <n v="0.1"/>
    <n v="0.122"/>
    <n v="0.11600000000000001"/>
    <n v="8579208"/>
    <n v="1.0900000000000001"/>
    <n v="957002"/>
    <n v="878458"/>
    <n v="1.1000000000000001"/>
    <n v="909483"/>
    <n v="827251"/>
    <n v="1.1299999999999999"/>
    <n v="874436"/>
    <n v="773090"/>
    <n v="1.39"/>
    <n v="1154445"/>
    <n v="829013"/>
  </r>
  <r>
    <x v="203"/>
    <n v="5"/>
    <n v="32033"/>
    <n v="148826"/>
    <n v="148826"/>
    <n v="148826"/>
    <n v="400414"/>
    <n v="0.372"/>
    <n v="0.372"/>
    <n v="0.372"/>
    <n v="0"/>
    <n v="7.0000000000000007E-2"/>
    <n v="7.0000000000000007E-2"/>
    <n v="8.5000000000000006E-2"/>
    <n v="0.105"/>
    <n v="0.17399999999999999"/>
    <n v="855999"/>
    <n v="3.09"/>
    <n v="385772"/>
    <n v="124837"/>
    <n v="4.33"/>
    <n v="536195"/>
    <n v="123717"/>
    <n v="5.59"/>
    <n v="518815"/>
    <n v="92754"/>
    <n v="3.9"/>
    <n v="475487"/>
    <n v="121952"/>
  </r>
  <r>
    <x v="204"/>
    <n v="3"/>
    <n v="712705"/>
    <n v="1987321"/>
    <n v="1884443"/>
    <n v="1884443"/>
    <n v="8908816"/>
    <n v="0.21199999999999999"/>
    <n v="0.21199999999999999"/>
    <n v="0.223"/>
    <n v="0.01"/>
    <n v="7.8E-2"/>
    <n v="8.7999999999999995E-2"/>
    <n v="0.106"/>
    <n v="0.13"/>
    <n v="9.0999999999999998E-2"/>
    <n v="20755403"/>
    <n v="1.28"/>
    <n v="2500584"/>
    <n v="1955929"/>
    <n v="1.26"/>
    <n v="2589167"/>
    <n v="2059236"/>
    <n v="1.31"/>
    <n v="2586795"/>
    <n v="1967165"/>
    <n v="1.45"/>
    <n v="2712708"/>
    <n v="1874668"/>
  </r>
  <r>
    <x v="205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06"/>
    <n v="5"/>
    <n v="10000"/>
    <n v="68977"/>
    <n v="68977"/>
    <n v="68977"/>
    <n v="43543"/>
    <n v="1.5840000000000001"/>
    <n v="1.5840000000000001"/>
    <n v="1.5840000000000001"/>
    <n v="0"/>
    <n v="7.0000000000000007E-2"/>
    <n v="7.0000000000000007E-2"/>
    <n v="8.5000000000000006E-2"/>
    <n v="0.105"/>
    <n v="0.86699999999999999"/>
    <n v="79529"/>
    <s v="NV"/>
    <n v="0"/>
    <n v="0"/>
    <s v="NV"/>
    <n v="0"/>
    <n v="0"/>
    <s v="NV"/>
    <n v="38074"/>
    <n v="0"/>
    <n v="107.88"/>
    <n v="47795"/>
    <n v="443"/>
  </r>
  <r>
    <x v="207"/>
    <n v="5"/>
    <n v="40650"/>
    <n v="90657"/>
    <n v="89636"/>
    <n v="89636"/>
    <n v="508125"/>
    <n v="0.17599999999999999"/>
    <n v="0.17599999999999999"/>
    <n v="0.17799999999999999"/>
    <n v="1.4E-2"/>
    <n v="7.0000000000000007E-2"/>
    <n v="8.4000000000000005E-2"/>
    <n v="9.9000000000000005E-2"/>
    <n v="0.11899999999999999"/>
    <n v="7.2999999999999995E-2"/>
    <n v="1234507"/>
    <s v="2)"/>
    <s v="2)"/>
    <s v="2)"/>
    <s v="2)"/>
    <s v="2)"/>
    <s v="2)"/>
    <s v="2)"/>
    <s v="2)"/>
    <s v="2)"/>
    <s v="2)"/>
    <s v="2)"/>
    <s v="2)"/>
  </r>
  <r>
    <x v="208"/>
    <n v="5"/>
    <n v="989"/>
    <n v="2385"/>
    <n v="2385"/>
    <n v="2385"/>
    <n v="12365"/>
    <n v="0.193"/>
    <n v="0.193"/>
    <n v="0.193"/>
    <n v="0"/>
    <n v="7.0000000000000007E-2"/>
    <n v="7.0000000000000007E-2"/>
    <n v="8.5000000000000006E-2"/>
    <n v="0.105"/>
    <n v="5.5E-2"/>
    <n v="43651"/>
    <s v="2)"/>
    <s v="2)"/>
    <s v="2)"/>
    <s v="2)"/>
    <s v="2)"/>
    <s v="2)"/>
    <s v="2)"/>
    <s v="2)"/>
    <s v="2)"/>
    <s v="2)"/>
    <s v="2)"/>
    <s v="2)"/>
  </r>
  <r>
    <x v="209"/>
    <n v="5"/>
    <n v="6148"/>
    <n v="12878"/>
    <n v="12878"/>
    <n v="12878"/>
    <n v="76848"/>
    <n v="0.16800000000000001"/>
    <n v="0.16800000000000001"/>
    <n v="0.16800000000000001"/>
    <n v="0"/>
    <n v="7.0000000000000007E-2"/>
    <n v="7.0000000000000007E-2"/>
    <n v="8.5000000000000006E-2"/>
    <n v="0.105"/>
    <n v="6.6000000000000003E-2"/>
    <n v="195083"/>
    <s v="2)"/>
    <s v="2)"/>
    <s v="2)"/>
    <s v="2)"/>
    <s v="2)"/>
    <s v="2)"/>
    <s v="2)"/>
    <s v="2)"/>
    <s v="2)"/>
    <s v="2)"/>
    <s v="2)"/>
    <s v="2)"/>
  </r>
  <r>
    <x v="210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11"/>
    <n v="4"/>
    <n v="181269"/>
    <n v="476693"/>
    <n v="476693"/>
    <n v="476693"/>
    <n v="2265858"/>
    <n v="0.21"/>
    <n v="0.21"/>
    <n v="0.21"/>
    <n v="1E-3"/>
    <n v="7.3999999999999996E-2"/>
    <n v="7.4999999999999997E-2"/>
    <n v="9.0999999999999998E-2"/>
    <n v="0.113"/>
    <n v="6.7000000000000004E-2"/>
    <n v="7126002"/>
    <n v="1.1299999999999999"/>
    <n v="746866"/>
    <n v="661967"/>
    <n v="1.38"/>
    <n v="842355"/>
    <n v="610950"/>
    <n v="1.41"/>
    <n v="858476"/>
    <n v="610828"/>
    <n v="1.42"/>
    <n v="787344"/>
    <n v="554760"/>
  </r>
  <r>
    <x v="212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13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14"/>
    <n v="4"/>
    <n v="58969"/>
    <n v="143318"/>
    <n v="140505"/>
    <n v="140505"/>
    <n v="737116"/>
    <n v="0.191"/>
    <n v="0.191"/>
    <n v="0.19400000000000001"/>
    <n v="1.0999999999999999E-2"/>
    <n v="7.400000000000001E-2"/>
    <n v="8.5000000000000006E-2"/>
    <n v="0.10100000000000001"/>
    <n v="0.123"/>
    <n v="8.6999999999999994E-2"/>
    <n v="1615343"/>
    <n v="1.1399999999999999"/>
    <n v="121645"/>
    <n v="106698"/>
    <n v="1.17"/>
    <n v="117122"/>
    <n v="100398"/>
    <n v="1.28"/>
    <n v="119366"/>
    <n v="93151"/>
    <n v="1.34"/>
    <n v="154536"/>
    <n v="115538"/>
  </r>
  <r>
    <x v="215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16"/>
    <n v="5"/>
    <n v="21651"/>
    <n v="56320"/>
    <n v="56320"/>
    <n v="56320"/>
    <n v="270634"/>
    <n v="0.20799999999999999"/>
    <n v="0.20799999999999999"/>
    <n v="0.20799999999999999"/>
    <n v="0.01"/>
    <n v="7.0000000000000007E-2"/>
    <n v="0.08"/>
    <n v="9.5000000000000001E-2"/>
    <n v="0.115"/>
    <n v="0.1"/>
    <n v="562242"/>
    <n v="1.48"/>
    <n v="47333"/>
    <n v="31875"/>
    <n v="1.66"/>
    <n v="54748"/>
    <n v="32975"/>
    <n v="1.81"/>
    <n v="55955"/>
    <n v="30895"/>
    <n v="1.79"/>
    <n v="56625"/>
    <n v="31602"/>
  </r>
  <r>
    <x v="217"/>
    <n v="4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18"/>
    <n v="3"/>
    <n v="1211541"/>
    <n v="2691483"/>
    <n v="2451483"/>
    <n v="2551483"/>
    <n v="15144263"/>
    <n v="0.16200000000000001"/>
    <n v="0.16800000000000001"/>
    <n v="0.17799999999999999"/>
    <n v="0.01"/>
    <n v="7.8E-2"/>
    <n v="8.7999999999999995E-2"/>
    <n v="0.106"/>
    <n v="0.13"/>
    <n v="7.0000000000000007E-2"/>
    <n v="36574259"/>
    <n v="1.2"/>
    <n v="4793256"/>
    <n v="4001662"/>
    <n v="1.27"/>
    <n v="5164919"/>
    <n v="4080382"/>
    <n v="1.36"/>
    <n v="5707538"/>
    <n v="4206533"/>
    <n v="1.49"/>
    <n v="6453622"/>
    <n v="4321747"/>
  </r>
  <r>
    <x v="219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20"/>
    <n v="4"/>
    <n v="99354"/>
    <n v="280180"/>
    <n v="280123"/>
    <n v="280123"/>
    <n v="1241921"/>
    <n v="0.22600000000000001"/>
    <n v="0.22600000000000001"/>
    <n v="0.22600000000000001"/>
    <n v="0"/>
    <n v="7.3999999999999996E-2"/>
    <n v="7.3999999999999996E-2"/>
    <n v="0.09"/>
    <n v="0.112"/>
    <n v="4.7E-2"/>
    <n v="6018649"/>
    <n v="3.24"/>
    <n v="3683788"/>
    <n v="1137653"/>
    <n v="3.37"/>
    <n v="3815686"/>
    <n v="1132510"/>
    <n v="3.57"/>
    <n v="3634706"/>
    <n v="1017401"/>
    <n v="3.29"/>
    <n v="3378129"/>
    <n v="1025449"/>
  </r>
  <r>
    <x v="221"/>
    <n v="4"/>
    <n v="119824"/>
    <n v="325302"/>
    <n v="325245"/>
    <n v="325245"/>
    <n v="1497798"/>
    <n v="0.217"/>
    <n v="0.217"/>
    <n v="0.217"/>
    <n v="0"/>
    <n v="7.3999999999999996E-2"/>
    <n v="7.3999999999999996E-2"/>
    <n v="0.09"/>
    <n v="0.112"/>
    <n v="0.05"/>
    <n v="6539523"/>
    <s v="2)"/>
    <s v="2)"/>
    <s v="2)"/>
    <s v="2)"/>
    <s v="2)"/>
    <s v="2)"/>
    <s v="2)"/>
    <s v="2)"/>
    <s v="2)"/>
    <s v="2)"/>
    <s v="2)"/>
    <s v="2)"/>
  </r>
  <r>
    <x v="222"/>
    <n v="5"/>
    <n v="1432"/>
    <n v="35007"/>
    <n v="35007"/>
    <n v="35007"/>
    <n v="17906"/>
    <n v="1.9550000000000001"/>
    <n v="1.9550000000000001"/>
    <n v="1.9550000000000001"/>
    <n v="0"/>
    <n v="7.0000000000000007E-2"/>
    <n v="7.0000000000000007E-2"/>
    <n v="8.5000000000000006E-2"/>
    <n v="0.105"/>
    <n v="0.92300000000000004"/>
    <n v="37924"/>
    <s v="NV"/>
    <n v="0"/>
    <n v="0"/>
    <s v="NV"/>
    <n v="0"/>
    <n v="0"/>
    <n v="1.53"/>
    <n v="699"/>
    <n v="458"/>
    <n v="16.54"/>
    <n v="16625"/>
    <n v="1005"/>
  </r>
  <r>
    <x v="223"/>
    <n v="5"/>
    <n v="15938"/>
    <n v="32092"/>
    <n v="32092"/>
    <n v="32092"/>
    <n v="199227"/>
    <n v="0.161"/>
    <n v="0.161"/>
    <n v="0.161"/>
    <n v="2E-3"/>
    <n v="6.9999999999999993E-2"/>
    <n v="7.1999999999999995E-2"/>
    <n v="8.6999999999999994E-2"/>
    <n v="0.107"/>
    <n v="0.16700000000000001"/>
    <n v="191829"/>
    <n v="2.76"/>
    <n v="19458"/>
    <n v="7057"/>
    <n v="2.79"/>
    <n v="19380"/>
    <n v="6940"/>
    <n v="3.1"/>
    <n v="21182"/>
    <n v="6840"/>
    <n v="2.5499999999999998"/>
    <n v="23229"/>
    <n v="9105"/>
  </r>
  <r>
    <x v="224"/>
    <n v="5"/>
    <n v="316"/>
    <n v="1953"/>
    <n v="1953"/>
    <n v="1953"/>
    <n v="3955"/>
    <n v="0.49399999999999999"/>
    <n v="0.49399999999999999"/>
    <n v="0.49399999999999999"/>
    <n v="0"/>
    <n v="7.0000000000000007E-2"/>
    <n v="7.0000000000000007E-2"/>
    <n v="8.5000000000000006E-2"/>
    <n v="0.105"/>
    <n v="0.54300000000000004"/>
    <n v="3597"/>
    <s v="2)"/>
    <s v="2)"/>
    <s v="2)"/>
    <s v="2)"/>
    <s v="2)"/>
    <s v="2)"/>
    <s v="2)"/>
    <s v="2)"/>
    <s v="2)"/>
    <s v="2)"/>
    <s v="2)"/>
    <s v="2)"/>
  </r>
  <r>
    <x v="225"/>
    <n v="3"/>
    <n v="948699"/>
    <n v="2211246"/>
    <n v="2208543"/>
    <n v="2208543"/>
    <n v="11858732"/>
    <n v="0.186"/>
    <n v="0.186"/>
    <n v="0.186"/>
    <n v="0.01"/>
    <n v="7.8E-2"/>
    <n v="8.7999999999999995E-2"/>
    <n v="0.106"/>
    <n v="0.13"/>
    <n v="8.4000000000000005E-2"/>
    <n v="26423156"/>
    <n v="1.19"/>
    <n v="2693189"/>
    <n v="2257893"/>
    <n v="1.1200000000000001"/>
    <n v="2851067"/>
    <n v="2554897"/>
    <n v="1.21"/>
    <n v="3020521"/>
    <n v="2503608"/>
    <n v="1.36"/>
    <n v="3565464"/>
    <n v="2619376"/>
  </r>
  <r>
    <x v="226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27"/>
    <n v="5"/>
    <n v="9018"/>
    <n v="35474"/>
    <n v="35474"/>
    <n v="35474"/>
    <n v="112730"/>
    <n v="0.315"/>
    <n v="0.315"/>
    <n v="0.315"/>
    <n v="0"/>
    <n v="7.0000000000000007E-2"/>
    <n v="7.0000000000000007E-2"/>
    <n v="8.5000000000000006E-2"/>
    <n v="0.105"/>
    <n v="0.154"/>
    <n v="230797"/>
    <n v="1.37"/>
    <n v="40806"/>
    <n v="29828"/>
    <n v="1.54"/>
    <n v="46683"/>
    <n v="30261"/>
    <n v="1.43"/>
    <n v="38201"/>
    <n v="26671"/>
    <n v="1.61"/>
    <n v="36703"/>
    <n v="22819"/>
  </r>
  <r>
    <x v="228"/>
    <n v="3"/>
    <n v="606191"/>
    <n v="1941965"/>
    <n v="1937965"/>
    <n v="1937965"/>
    <n v="7577384"/>
    <n v="0.25600000000000001"/>
    <n v="0.25600000000000001"/>
    <n v="0.25600000000000001"/>
    <n v="0"/>
    <n v="7.8E-2"/>
    <n v="7.8E-2"/>
    <n v="9.6000000000000002E-2"/>
    <n v="0.12"/>
    <n v="5.8000000000000003E-2"/>
    <n v="33612960"/>
    <n v="3.17"/>
    <n v="11985977"/>
    <n v="3780754"/>
    <n v="2.97"/>
    <n v="12488389"/>
    <n v="4202083"/>
    <n v="3.09"/>
    <n v="11983596"/>
    <n v="3874840"/>
    <n v="2.64"/>
    <n v="10711452"/>
    <n v="4062817"/>
  </r>
  <r>
    <x v="229"/>
    <n v="5"/>
    <n v="1571"/>
    <n v="2935"/>
    <n v="2935"/>
    <n v="2935"/>
    <n v="19636"/>
    <n v="0.14899999999999999"/>
    <n v="0.14899999999999999"/>
    <n v="0.14899999999999999"/>
    <n v="0"/>
    <n v="7.0000000000000007E-2"/>
    <n v="7.0000000000000007E-2"/>
    <n v="8.5000000000000006E-2"/>
    <n v="0.105"/>
    <n v="1"/>
    <n v="2908"/>
    <s v="2)"/>
    <s v="2)"/>
    <s v="2)"/>
    <s v="2)"/>
    <s v="2)"/>
    <s v="2)"/>
    <s v="2)"/>
    <s v="2)"/>
    <s v="2)"/>
    <s v="2)"/>
    <s v="2)"/>
    <s v="2)"/>
  </r>
  <r>
    <x v="230"/>
    <n v="5"/>
    <n v="2835"/>
    <n v="35270"/>
    <n v="35270"/>
    <n v="35270"/>
    <n v="35436"/>
    <n v="0.98199999999999998"/>
    <n v="0.98199999999999998"/>
    <n v="0.98199999999999998"/>
    <n v="0"/>
    <n v="7.0000000000000007E-2"/>
    <n v="7.0000000000000007E-2"/>
    <n v="8.5000000000000006E-2"/>
    <n v="0.105"/>
    <n v="0.26900000000000002"/>
    <n v="131147"/>
    <n v="1.8696386901834472"/>
    <n v="11546.69695"/>
    <n v="6175.8975199999995"/>
    <n v="2.2224245874265276"/>
    <n v="12136.212320000001"/>
    <n v="5460.7982599999996"/>
    <n v="2.4190077978610081"/>
    <n v="18004.718629999999"/>
    <n v="7443.0180199999995"/>
    <n v="4.9101825345257071"/>
    <n v="32065.771649999999"/>
    <n v="6530.4642800000001"/>
  </r>
  <r>
    <x v="231"/>
    <n v="4"/>
    <n v="128853"/>
    <n v="309738"/>
    <n v="300475"/>
    <n v="300475"/>
    <n v="1610664"/>
    <n v="0.187"/>
    <n v="0.187"/>
    <n v="0.192"/>
    <n v="0.01"/>
    <n v="7.400000000000001E-2"/>
    <n v="8.4000000000000005E-2"/>
    <n v="0.1"/>
    <n v="0.122"/>
    <n v="8.6999999999999994E-2"/>
    <n v="3453331"/>
    <n v="1.59"/>
    <n v="377656"/>
    <n v="238100"/>
    <n v="1.43"/>
    <n v="371598"/>
    <n v="260244"/>
    <n v="1.52"/>
    <n v="370360"/>
    <n v="243814"/>
    <n v="1.46"/>
    <n v="426245"/>
    <n v="290986"/>
  </r>
  <r>
    <x v="232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33"/>
    <n v="3"/>
    <n v="1054272"/>
    <n v="2123260"/>
    <n v="2123260"/>
    <n v="2123260"/>
    <n v="13178400"/>
    <n v="0.161"/>
    <n v="0.161"/>
    <n v="0.161"/>
    <n v="1.2E-2"/>
    <n v="7.8E-2"/>
    <n v="0.09"/>
    <n v="0.108"/>
    <n v="0.13200000000000001"/>
    <n v="7.0000000000000007E-2"/>
    <n v="30406707"/>
    <n v="1.17"/>
    <n v="3032720"/>
    <n v="2594380"/>
    <n v="1.1499999999999999"/>
    <n v="3044605"/>
    <n v="2655889"/>
    <n v="1.29"/>
    <n v="3238044"/>
    <n v="2508749"/>
    <n v="1.43"/>
    <n v="4051749"/>
    <n v="2835211"/>
  </r>
  <r>
    <x v="234"/>
    <n v="3"/>
    <n v="1078014"/>
    <n v="2217836"/>
    <n v="2217836"/>
    <n v="2217836"/>
    <n v="13475177"/>
    <n v="0.16500000000000001"/>
    <n v="0.16500000000000001"/>
    <n v="0.16500000000000001"/>
    <n v="1.0999999999999999E-2"/>
    <n v="7.8E-2"/>
    <n v="8.8999999999999996E-2"/>
    <n v="0.107"/>
    <n v="0.13100000000000001"/>
    <n v="7.0000000000000007E-2"/>
    <n v="31876364"/>
    <s v="2)"/>
    <s v="2)"/>
    <s v="2)"/>
    <s v="2)"/>
    <s v="2)"/>
    <s v="2)"/>
    <s v="2)"/>
    <s v="2)"/>
    <s v="2)"/>
    <s v="2)"/>
    <s v="2)"/>
    <s v="2)"/>
  </r>
  <r>
    <x v="235"/>
    <n v="3"/>
    <n v="563145"/>
    <n v="1397676"/>
    <n v="949439"/>
    <n v="1397542"/>
    <n v="7039308"/>
    <n v="0.13500000000000001"/>
    <n v="0.19900000000000001"/>
    <n v="0.19900000000000001"/>
    <n v="1E-3"/>
    <n v="7.8E-2"/>
    <n v="7.9000000000000001E-2"/>
    <n v="9.7000000000000003E-2"/>
    <n v="0.121"/>
    <n v="5.1999999999999998E-2"/>
    <n v="26669163"/>
    <n v="1.94"/>
    <n v="8197862"/>
    <n v="4226686"/>
    <n v="1.92"/>
    <n v="7776522"/>
    <n v="4043381"/>
    <n v="2"/>
    <n v="7909958"/>
    <n v="3954984"/>
    <n v="1.86"/>
    <n v="8316548"/>
    <n v="4466730"/>
  </r>
  <r>
    <x v="236"/>
    <n v="4"/>
    <n v="38182"/>
    <n v="84125"/>
    <n v="82825"/>
    <n v="82825"/>
    <n v="477276"/>
    <n v="0.17399999999999999"/>
    <n v="0.17399999999999999"/>
    <n v="0.17599999999999999"/>
    <n v="3.0000000000000001E-3"/>
    <n v="7.3999999999999996E-2"/>
    <n v="7.6999999999999999E-2"/>
    <n v="9.2999999999999999E-2"/>
    <n v="0.115"/>
    <n v="4.5999999999999999E-2"/>
    <n v="1781813"/>
    <n v="1.36"/>
    <n v="186583"/>
    <n v="137496"/>
    <n v="1.4"/>
    <n v="188885"/>
    <n v="134787"/>
    <n v="1.31"/>
    <n v="182444"/>
    <n v="138975"/>
    <n v="1.47"/>
    <n v="207866"/>
    <n v="141470"/>
  </r>
  <r>
    <x v="237"/>
    <n v="4"/>
    <n v="109023"/>
    <n v="353210"/>
    <n v="353210"/>
    <n v="353210"/>
    <n v="1362787"/>
    <n v="0.25900000000000001"/>
    <n v="0.25900000000000001"/>
    <n v="0.25900000000000001"/>
    <n v="0.01"/>
    <n v="7.400000000000001E-2"/>
    <n v="8.4000000000000005E-2"/>
    <n v="0.1"/>
    <n v="0.122"/>
    <n v="9.0999999999999998E-2"/>
    <n v="3890076"/>
    <n v="2.64"/>
    <n v="702434"/>
    <n v="266443"/>
    <n v="2.93"/>
    <n v="700669"/>
    <n v="238981"/>
    <n v="3.29"/>
    <n v="888061"/>
    <n v="269821"/>
    <n v="2.66"/>
    <n v="1185294"/>
    <n v="446238"/>
  </r>
  <r>
    <x v="238"/>
    <n v="4"/>
    <n v="139964"/>
    <n v="427755"/>
    <n v="427755"/>
    <n v="427755"/>
    <n v="1749555"/>
    <n v="0.24399999999999999"/>
    <n v="0.24399999999999999"/>
    <n v="0.24399999999999999"/>
    <n v="8.0000000000000002E-3"/>
    <n v="7.400000000000001E-2"/>
    <n v="8.2000000000000003E-2"/>
    <n v="9.8000000000000004E-2"/>
    <n v="0.12"/>
    <n v="0.104"/>
    <n v="4111755"/>
    <s v="2)"/>
    <s v="2)"/>
    <s v="2)"/>
    <s v="2)"/>
    <s v="2)"/>
    <s v="2)"/>
    <s v="2)"/>
    <s v="2)"/>
    <s v="2)"/>
    <s v="2)"/>
    <s v="2)"/>
    <s v="2)"/>
  </r>
  <r>
    <x v="239"/>
    <n v="4"/>
    <n v="269389"/>
    <n v="542185"/>
    <n v="451942"/>
    <n v="451942"/>
    <n v="3367366"/>
    <n v="0.13400000000000001"/>
    <n v="0.13400000000000001"/>
    <n v="0.161"/>
    <n v="8.0000000000000002E-3"/>
    <n v="7.400000000000001E-2"/>
    <n v="8.2000000000000003E-2"/>
    <n v="9.8000000000000004E-2"/>
    <n v="0.12"/>
    <n v="8.1000000000000003E-2"/>
    <n v="5563878"/>
    <n v="1.28"/>
    <n v="232699"/>
    <n v="181435"/>
    <n v="1.99"/>
    <n v="239361"/>
    <n v="120321"/>
    <n v="1.7"/>
    <n v="252417"/>
    <n v="148236"/>
    <n v="1.73"/>
    <n v="320499"/>
    <n v="185230"/>
  </r>
  <r>
    <x v="240"/>
    <n v="5"/>
    <s v="3)"/>
    <s v="3)"/>
    <s v="3)"/>
    <s v="3)"/>
    <s v="3)"/>
    <s v="3)"/>
    <s v="3)"/>
    <s v="3)"/>
    <s v="3)"/>
    <e v="#VALUE!"/>
    <s v="3)"/>
    <s v="3)"/>
    <s v="3)"/>
    <s v="3)"/>
    <s v="3)"/>
    <s v="3)"/>
    <s v="3)"/>
    <s v="3)"/>
    <s v="3)"/>
    <s v="3)"/>
    <s v="3)"/>
    <s v="3)"/>
    <s v="3)"/>
    <s v="3)"/>
    <s v="3)"/>
    <s v="3)"/>
    <s v="3)"/>
  </r>
  <r>
    <x v="241"/>
    <n v="4"/>
    <n v="563802"/>
    <n v="1284244"/>
    <n v="1284244"/>
    <n v="1284244"/>
    <n v="7047526"/>
    <n v="0.182"/>
    <n v="0.182"/>
    <n v="0.182"/>
    <n v="1.0999999999999999E-2"/>
    <n v="7.400000000000001E-2"/>
    <n v="8.5000000000000006E-2"/>
    <n v="0.10100000000000001"/>
    <n v="0.123"/>
    <n v="0.08"/>
    <n v="15992337"/>
    <n v="1.52"/>
    <n v="2262639"/>
    <n v="1489404"/>
    <n v="1.44"/>
    <n v="2015040"/>
    <n v="1397506"/>
    <n v="1.49"/>
    <n v="1919290"/>
    <n v="1288695"/>
    <n v="1.55"/>
    <n v="2161691"/>
    <n v="1393330"/>
  </r>
  <r>
    <x v="242"/>
    <n v="5"/>
    <n v="31957"/>
    <n v="66898"/>
    <n v="50099"/>
    <n v="50099"/>
    <n v="399461"/>
    <n v="0.125"/>
    <n v="0.125"/>
    <n v="0.16700000000000001"/>
    <n v="1.2E-2"/>
    <n v="7.0000000000000007E-2"/>
    <n v="8.2000000000000003E-2"/>
    <n v="9.7000000000000003E-2"/>
    <n v="0.11700000000000001"/>
    <n v="5.7000000000000002E-2"/>
    <n v="881946"/>
    <n v="1.3"/>
    <n v="55468"/>
    <n v="42824"/>
    <n v="1.4"/>
    <n v="66580"/>
    <n v="47692"/>
    <n v="1.47"/>
    <n v="53460"/>
    <n v="36266"/>
    <n v="1.49"/>
    <n v="75754"/>
    <n v="509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4705F-FE92-664C-85AA-414900D8C0CC}" name="PivotTable6" cacheId="2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27" firstHeaderRow="1" firstDataRow="1" firstDataCol="1"/>
  <pivotFields count="29">
    <pivotField axis="axisRow" showAll="0">
      <items count="244"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x="26"/>
        <item h="1" x="27"/>
        <item h="1" x="28"/>
        <item h="1" x="29"/>
        <item h="1" x="30"/>
        <item h="1" x="31"/>
        <item h="1" x="32"/>
        <item h="1" x="33"/>
        <item h="1" x="35"/>
        <item h="1" x="36"/>
        <item h="1" x="37"/>
        <item h="1" x="38"/>
        <item h="1" x="39"/>
        <item h="1" x="40"/>
        <item h="1" x="41"/>
        <item h="1" x="44"/>
        <item h="1" x="42"/>
        <item h="1" x="43"/>
        <item h="1" x="45"/>
        <item h="1" x="46"/>
        <item h="1" x="47"/>
        <item x="48"/>
        <item x="49"/>
        <item h="1" x="50"/>
        <item x="51"/>
        <item x="52"/>
        <item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34"/>
        <item x="165"/>
        <item h="1" x="166"/>
        <item h="1" x="167"/>
        <item h="1" x="168"/>
        <item h="1" x="169"/>
        <item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x="202"/>
        <item h="1" x="203"/>
        <item x="204"/>
        <item h="1" x="205"/>
        <item h="1" x="206"/>
        <item h="1" x="207"/>
        <item h="1" x="208"/>
        <item h="1" x="209"/>
        <item h="1" x="210"/>
        <item h="1" x="211"/>
        <item h="1" x="1"/>
        <item h="1" x="212"/>
        <item h="1" x="213"/>
        <item h="1" x="214"/>
        <item h="1" x="215"/>
        <item h="1" x="216"/>
        <item h="1" x="217"/>
        <item x="218"/>
        <item h="1" x="219"/>
        <item h="1" x="220"/>
        <item h="1" x="221"/>
        <item h="1" x="222"/>
        <item h="1" x="223"/>
        <item h="1" x="224"/>
        <item x="225"/>
        <item h="1" x="226"/>
        <item h="1" x="227"/>
        <item h="1" x="228"/>
        <item h="1" x="229"/>
        <item h="1" x="230"/>
        <item h="1" x="231"/>
        <item h="1" x="232"/>
        <item x="233"/>
        <item h="1" x="234"/>
        <item h="1" x="235"/>
        <item h="1" x="236"/>
        <item h="1" x="237"/>
        <item h="1" x="238"/>
        <item h="1" x="239"/>
        <item h="1" x="240"/>
        <item x="241"/>
        <item h="1" x="242"/>
        <item h="1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4">
    <i>
      <x/>
    </i>
    <i>
      <x v="15"/>
    </i>
    <i>
      <x v="24"/>
    </i>
    <i>
      <x v="45"/>
    </i>
    <i>
      <x v="46"/>
    </i>
    <i>
      <x v="48"/>
    </i>
    <i>
      <x v="49"/>
    </i>
    <i>
      <x v="50"/>
    </i>
    <i>
      <x v="69"/>
    </i>
    <i>
      <x v="70"/>
    </i>
    <i>
      <x v="76"/>
    </i>
    <i>
      <x v="96"/>
    </i>
    <i>
      <x v="100"/>
    </i>
    <i>
      <x v="127"/>
    </i>
    <i>
      <x v="133"/>
    </i>
    <i>
      <x v="163"/>
    </i>
    <i>
      <x v="168"/>
    </i>
    <i>
      <x v="200"/>
    </i>
    <i>
      <x v="202"/>
    </i>
    <i>
      <x v="217"/>
    </i>
    <i>
      <x v="224"/>
    </i>
    <i>
      <x v="232"/>
    </i>
    <i>
      <x v="240"/>
    </i>
    <i t="grand">
      <x/>
    </i>
  </rowItems>
  <colItems count="1">
    <i/>
  </colItems>
  <dataFields count="1">
    <dataField name="Summe von Risiko-gewichtete Positionen (RWA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8:AC249" totalsRowShown="0" headerRowDxfId="30" dataDxfId="29">
  <autoFilter ref="A8:AC249" xr:uid="{00000000-0009-0000-0100-000001000000}"/>
  <sortState xmlns:xlrd2="http://schemas.microsoft.com/office/spreadsheetml/2017/richdata2" ref="A9:AC249">
    <sortCondition ref="A8:A249"/>
  </sortState>
  <tableColumns count="29">
    <tableColumn id="1" xr3:uid="{00000000-0010-0000-0000-000001000000}" name="Spalte1" dataDxfId="28"/>
    <tableColumn id="2" xr3:uid="{00000000-0010-0000-0000-000002000000}" name="Spalte2" dataDxfId="27"/>
    <tableColumn id="3" xr3:uid="{00000000-0010-0000-0000-000003000000}" name="Spalte3" dataDxfId="26"/>
    <tableColumn id="4" xr3:uid="{00000000-0010-0000-0000-000004000000}" name="Spalte4" dataDxfId="25"/>
    <tableColumn id="5" xr3:uid="{00000000-0010-0000-0000-000005000000}" name="Spalte5" dataDxfId="24"/>
    <tableColumn id="6" xr3:uid="{00000000-0010-0000-0000-000006000000}" name="Spalte6" dataDxfId="23"/>
    <tableColumn id="7" xr3:uid="{00000000-0010-0000-0000-000007000000}" name="Spalte7" dataDxfId="22"/>
    <tableColumn id="8" xr3:uid="{00000000-0010-0000-0000-000008000000}" name="Spalte8" dataDxfId="21"/>
    <tableColumn id="9" xr3:uid="{00000000-0010-0000-0000-000009000000}" name="Spalte9" dataDxfId="20"/>
    <tableColumn id="10" xr3:uid="{00000000-0010-0000-0000-00000A000000}" name="Spalte10" dataDxfId="19"/>
    <tableColumn id="11" xr3:uid="{00000000-0010-0000-0000-00000B000000}" name="Spalte11" dataDxfId="18"/>
    <tableColumn id="29" xr3:uid="{2D5B682E-D8CE-DB45-AF3D-05013D545799}" name="Spalte112" dataDxfId="17">
      <calculatedColumnFormula>Tabelle1[[#This Row],[Spalte12]]-Tabelle1[[#This Row],[Spalte11]]</calculatedColumnFormula>
    </tableColumn>
    <tableColumn id="12" xr3:uid="{00000000-0010-0000-0000-00000C000000}" name="Spalte12" dataDxfId="16"/>
    <tableColumn id="13" xr3:uid="{00000000-0010-0000-0000-00000D000000}" name="Spalte13" dataDxfId="15"/>
    <tableColumn id="14" xr3:uid="{00000000-0010-0000-0000-00000E000000}" name="Spalte14" dataDxfId="14"/>
    <tableColumn id="15" xr3:uid="{00000000-0010-0000-0000-00000F000000}" name="Spalte15" dataDxfId="13"/>
    <tableColumn id="16" xr3:uid="{00000000-0010-0000-0000-000010000000}" name="Spalte16" dataDxfId="12"/>
    <tableColumn id="17" xr3:uid="{00000000-0010-0000-0000-000011000000}" name="Spalte17" dataDxfId="11"/>
    <tableColumn id="18" xr3:uid="{00000000-0010-0000-0000-000012000000}" name="Spalte18" dataDxfId="10"/>
    <tableColumn id="19" xr3:uid="{00000000-0010-0000-0000-000013000000}" name="Spalte19" dataDxfId="9"/>
    <tableColumn id="20" xr3:uid="{00000000-0010-0000-0000-000014000000}" name="Spalte20" dataDxfId="8"/>
    <tableColumn id="21" xr3:uid="{00000000-0010-0000-0000-000015000000}" name="Spalte21" dataDxfId="7"/>
    <tableColumn id="22" xr3:uid="{00000000-0010-0000-0000-000016000000}" name="Spalte22" dataDxfId="6"/>
    <tableColumn id="23" xr3:uid="{00000000-0010-0000-0000-000017000000}" name="Spalte23" dataDxfId="5"/>
    <tableColumn id="24" xr3:uid="{00000000-0010-0000-0000-000018000000}" name="Spalte24" dataDxfId="4"/>
    <tableColumn id="25" xr3:uid="{00000000-0010-0000-0000-000019000000}" name="Spalte25" dataDxfId="3"/>
    <tableColumn id="26" xr3:uid="{00000000-0010-0000-0000-00001A000000}" name="Spalte26" dataDxfId="2"/>
    <tableColumn id="27" xr3:uid="{00000000-0010-0000-0000-00001B000000}" name="Spalte27" dataDxfId="1"/>
    <tableColumn id="28" xr3:uid="{00000000-0010-0000-0000-00001C000000}" name="Spalte28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nma.ch/de/ueberwachung/banken-und-wertpapierhaeuser/kleinbankenregime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3B43-B656-7746-8A03-B1F1E9F98833}">
  <dimension ref="A3:B27"/>
  <sheetViews>
    <sheetView workbookViewId="0">
      <selection activeCell="B26" sqref="B26"/>
    </sheetView>
  </sheetViews>
  <sheetFormatPr baseColWidth="10" defaultRowHeight="13" x14ac:dyDescent="0.15"/>
  <cols>
    <col min="1" max="1" width="30.5" bestFit="1" customWidth="1"/>
    <col min="2" max="2" width="41.1640625" bestFit="1" customWidth="1"/>
  </cols>
  <sheetData>
    <row r="3" spans="1:2" x14ac:dyDescent="0.15">
      <c r="A3" s="66" t="s">
        <v>305</v>
      </c>
      <c r="B3" t="s">
        <v>307</v>
      </c>
    </row>
    <row r="4" spans="1:2" x14ac:dyDescent="0.15">
      <c r="A4" s="67" t="s">
        <v>132</v>
      </c>
      <c r="B4" s="68">
        <v>13393901</v>
      </c>
    </row>
    <row r="5" spans="1:2" x14ac:dyDescent="0.15">
      <c r="A5" s="67" t="s">
        <v>33</v>
      </c>
      <c r="B5" s="68">
        <v>7252904</v>
      </c>
    </row>
    <row r="6" spans="1:2" x14ac:dyDescent="0.15">
      <c r="A6" s="67" t="s">
        <v>87</v>
      </c>
      <c r="B6" s="68">
        <v>7519785</v>
      </c>
    </row>
    <row r="7" spans="1:2" x14ac:dyDescent="0.15">
      <c r="A7" s="67" t="s">
        <v>13</v>
      </c>
      <c r="B7" s="68">
        <v>11406666</v>
      </c>
    </row>
    <row r="8" spans="1:2" x14ac:dyDescent="0.15">
      <c r="A8" s="67" t="s">
        <v>14</v>
      </c>
      <c r="B8" s="68">
        <v>12282103</v>
      </c>
    </row>
    <row r="9" spans="1:2" x14ac:dyDescent="0.15">
      <c r="A9" s="67" t="s">
        <v>20</v>
      </c>
      <c r="B9" s="68">
        <v>7440808</v>
      </c>
    </row>
    <row r="10" spans="1:2" x14ac:dyDescent="0.15">
      <c r="A10" s="67" t="s">
        <v>18</v>
      </c>
      <c r="B10" s="68">
        <v>4975588</v>
      </c>
    </row>
    <row r="11" spans="1:2" x14ac:dyDescent="0.15">
      <c r="A11" s="67" t="s">
        <v>36</v>
      </c>
      <c r="B11" s="68">
        <v>18785932</v>
      </c>
    </row>
    <row r="12" spans="1:2" x14ac:dyDescent="0.15">
      <c r="A12" s="67" t="s">
        <v>16</v>
      </c>
      <c r="B12" s="68">
        <v>11923101</v>
      </c>
    </row>
    <row r="13" spans="1:2" x14ac:dyDescent="0.15">
      <c r="A13" s="67" t="s">
        <v>12</v>
      </c>
      <c r="B13" s="68">
        <v>22553673</v>
      </c>
    </row>
    <row r="14" spans="1:2" x14ac:dyDescent="0.15">
      <c r="A14" s="67" t="s">
        <v>52</v>
      </c>
      <c r="B14" s="68">
        <v>722411</v>
      </c>
    </row>
    <row r="15" spans="1:2" x14ac:dyDescent="0.15">
      <c r="A15" s="67" t="s">
        <v>189</v>
      </c>
      <c r="B15" s="68">
        <v>0</v>
      </c>
    </row>
    <row r="16" spans="1:2" x14ac:dyDescent="0.15">
      <c r="A16" s="67" t="s">
        <v>171</v>
      </c>
      <c r="B16" s="68">
        <v>2434386</v>
      </c>
    </row>
    <row r="17" spans="1:2" x14ac:dyDescent="0.15">
      <c r="A17" s="67" t="s">
        <v>15</v>
      </c>
      <c r="B17" s="68">
        <v>0</v>
      </c>
    </row>
    <row r="18" spans="1:2" x14ac:dyDescent="0.15">
      <c r="A18" s="67" t="s">
        <v>35</v>
      </c>
      <c r="B18" s="68">
        <v>12345611</v>
      </c>
    </row>
    <row r="19" spans="1:2" x14ac:dyDescent="0.15">
      <c r="A19" s="67" t="s">
        <v>17</v>
      </c>
      <c r="B19" s="68">
        <v>19795661</v>
      </c>
    </row>
    <row r="20" spans="1:2" x14ac:dyDescent="0.15">
      <c r="A20" s="67" t="s">
        <v>107</v>
      </c>
      <c r="B20" s="68">
        <v>18876484</v>
      </c>
    </row>
    <row r="21" spans="1:2" x14ac:dyDescent="0.15">
      <c r="A21" s="67" t="s">
        <v>39</v>
      </c>
      <c r="B21" s="68">
        <v>3972521</v>
      </c>
    </row>
    <row r="22" spans="1:2" x14ac:dyDescent="0.15">
      <c r="A22" s="67" t="s">
        <v>40</v>
      </c>
      <c r="B22" s="68">
        <v>8908816</v>
      </c>
    </row>
    <row r="23" spans="1:2" x14ac:dyDescent="0.15">
      <c r="A23" s="67" t="s">
        <v>37</v>
      </c>
      <c r="B23" s="68">
        <v>15144263</v>
      </c>
    </row>
    <row r="24" spans="1:2" x14ac:dyDescent="0.15">
      <c r="A24" s="67" t="s">
        <v>22</v>
      </c>
      <c r="B24" s="68">
        <v>11858732</v>
      </c>
    </row>
    <row r="25" spans="1:2" x14ac:dyDescent="0.15">
      <c r="A25" s="67" t="s">
        <v>4</v>
      </c>
      <c r="B25" s="68">
        <v>13178400</v>
      </c>
    </row>
    <row r="26" spans="1:2" x14ac:dyDescent="0.15">
      <c r="A26" s="67" t="s">
        <v>41</v>
      </c>
      <c r="B26" s="68">
        <v>7047526</v>
      </c>
    </row>
    <row r="27" spans="1:2" x14ac:dyDescent="0.15">
      <c r="A27" s="67" t="s">
        <v>306</v>
      </c>
      <c r="B27" s="68">
        <v>231819272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54"/>
  <sheetViews>
    <sheetView showGridLines="0" tabSelected="1" topLeftCell="A12" zoomScale="119" zoomScaleNormal="85" workbookViewId="0">
      <selection activeCell="G41" sqref="G41"/>
    </sheetView>
  </sheetViews>
  <sheetFormatPr baseColWidth="10" defaultColWidth="11.5" defaultRowHeight="11" x14ac:dyDescent="0.15"/>
  <cols>
    <col min="1" max="1" width="52.83203125" style="2" customWidth="1"/>
    <col min="2" max="2" width="10.33203125" style="2" customWidth="1"/>
    <col min="3" max="3" width="10" style="3" bestFit="1" customWidth="1"/>
    <col min="4" max="4" width="12.33203125" style="3" bestFit="1" customWidth="1"/>
    <col min="5" max="5" width="15.33203125" style="3" bestFit="1" customWidth="1"/>
    <col min="6" max="6" width="9.83203125" style="3" bestFit="1" customWidth="1"/>
    <col min="7" max="7" width="9.5" style="3" bestFit="1" customWidth="1"/>
    <col min="8" max="8" width="10.1640625" style="4" bestFit="1" customWidth="1"/>
    <col min="9" max="9" width="10.5" style="4" bestFit="1" customWidth="1"/>
    <col min="10" max="10" width="12.83203125" style="4" bestFit="1" customWidth="1"/>
    <col min="11" max="11" width="12.33203125" style="4" bestFit="1" customWidth="1"/>
    <col min="12" max="12" width="12.33203125" style="51" customWidth="1"/>
    <col min="13" max="13" width="9.83203125" style="4" bestFit="1" customWidth="1"/>
    <col min="14" max="14" width="8.6640625" style="4" customWidth="1"/>
    <col min="15" max="15" width="12.83203125" style="4" bestFit="1" customWidth="1"/>
    <col min="16" max="16" width="9.83203125" style="4" bestFit="1" customWidth="1"/>
    <col min="17" max="17" width="11" style="3" bestFit="1" customWidth="1"/>
    <col min="18" max="18" width="9.83203125" style="5" bestFit="1" customWidth="1"/>
    <col min="19" max="19" width="10" style="3" bestFit="1" customWidth="1"/>
    <col min="20" max="20" width="13.5" style="3" bestFit="1" customWidth="1"/>
    <col min="21" max="21" width="9.83203125" style="5" bestFit="1" customWidth="1"/>
    <col min="22" max="22" width="10" style="3" bestFit="1" customWidth="1"/>
    <col min="23" max="23" width="13.5" style="3" bestFit="1" customWidth="1"/>
    <col min="24" max="24" width="9.83203125" style="5" bestFit="1" customWidth="1"/>
    <col min="25" max="25" width="10" style="3" bestFit="1" customWidth="1"/>
    <col min="26" max="26" width="13.5" style="3" bestFit="1" customWidth="1"/>
    <col min="27" max="27" width="9.83203125" style="5" bestFit="1" customWidth="1"/>
    <col min="28" max="28" width="10" style="3" bestFit="1" customWidth="1"/>
    <col min="29" max="29" width="13.5" style="3" bestFit="1" customWidth="1"/>
    <col min="30" max="30" width="13.5" style="3" customWidth="1"/>
    <col min="31" max="16384" width="11.5" style="2"/>
  </cols>
  <sheetData>
    <row r="1" spans="1:30" ht="25.5" customHeight="1" x14ac:dyDescent="0.15">
      <c r="A1" s="1" t="s">
        <v>296</v>
      </c>
    </row>
    <row r="2" spans="1:30" ht="19.5" customHeight="1" x14ac:dyDescent="0.15">
      <c r="A2" s="6" t="s">
        <v>298</v>
      </c>
    </row>
    <row r="3" spans="1:30" ht="19.5" customHeight="1" x14ac:dyDescent="0.15"/>
    <row r="4" spans="1:30" ht="30" customHeight="1" x14ac:dyDescent="0.15"/>
    <row r="5" spans="1:30" ht="13" x14ac:dyDescent="0.15">
      <c r="C5" s="7"/>
      <c r="D5" s="7"/>
      <c r="E5" s="7"/>
      <c r="F5" s="7"/>
      <c r="G5" s="7"/>
      <c r="H5" s="8"/>
      <c r="I5" s="8"/>
      <c r="J5" s="8"/>
      <c r="K5" s="8"/>
      <c r="L5" s="52"/>
      <c r="M5" s="8"/>
      <c r="N5" s="9"/>
      <c r="O5" s="9"/>
      <c r="P5" s="9"/>
      <c r="Q5" s="7"/>
      <c r="R5" s="60" t="s">
        <v>242</v>
      </c>
      <c r="S5" s="61"/>
      <c r="T5" s="62"/>
      <c r="U5" s="60" t="s">
        <v>243</v>
      </c>
      <c r="V5" s="61"/>
      <c r="W5" s="62"/>
      <c r="X5" s="60" t="s">
        <v>244</v>
      </c>
      <c r="Y5" s="61"/>
      <c r="Z5" s="62"/>
      <c r="AA5" s="60" t="s">
        <v>245</v>
      </c>
      <c r="AB5" s="61"/>
      <c r="AC5" s="62"/>
      <c r="AD5" s="10"/>
    </row>
    <row r="6" spans="1:30" ht="46.5" customHeight="1" x14ac:dyDescent="0.15">
      <c r="A6" s="11" t="s">
        <v>0</v>
      </c>
      <c r="B6" s="12" t="s">
        <v>246</v>
      </c>
      <c r="C6" s="13" t="s">
        <v>247</v>
      </c>
      <c r="D6" s="14" t="s">
        <v>248</v>
      </c>
      <c r="E6" s="15" t="s">
        <v>249</v>
      </c>
      <c r="F6" s="15" t="s">
        <v>250</v>
      </c>
      <c r="G6" s="15" t="s">
        <v>251</v>
      </c>
      <c r="H6" s="15" t="s">
        <v>252</v>
      </c>
      <c r="I6" s="15" t="s">
        <v>253</v>
      </c>
      <c r="J6" s="15" t="s">
        <v>254</v>
      </c>
      <c r="K6" s="15" t="s">
        <v>255</v>
      </c>
      <c r="L6" s="53" t="s">
        <v>304</v>
      </c>
      <c r="M6" s="15" t="s">
        <v>256</v>
      </c>
      <c r="N6" s="15" t="s">
        <v>257</v>
      </c>
      <c r="O6" s="15" t="s">
        <v>258</v>
      </c>
      <c r="P6" s="15" t="s">
        <v>259</v>
      </c>
      <c r="Q6" s="16" t="s">
        <v>260</v>
      </c>
      <c r="R6" s="17" t="s">
        <v>261</v>
      </c>
      <c r="S6" s="16" t="s">
        <v>262</v>
      </c>
      <c r="T6" s="18" t="s">
        <v>263</v>
      </c>
      <c r="U6" s="17" t="s">
        <v>261</v>
      </c>
      <c r="V6" s="16" t="s">
        <v>262</v>
      </c>
      <c r="W6" s="18" t="s">
        <v>263</v>
      </c>
      <c r="X6" s="16" t="s">
        <v>261</v>
      </c>
      <c r="Y6" s="16" t="s">
        <v>262</v>
      </c>
      <c r="Z6" s="16" t="s">
        <v>263</v>
      </c>
      <c r="AA6" s="17" t="s">
        <v>261</v>
      </c>
      <c r="AB6" s="16" t="s">
        <v>262</v>
      </c>
      <c r="AC6" s="18" t="s">
        <v>263</v>
      </c>
      <c r="AD6" s="16"/>
    </row>
    <row r="7" spans="1:30" ht="10.5" customHeight="1" x14ac:dyDescent="0.15">
      <c r="C7" s="7" t="s">
        <v>264</v>
      </c>
      <c r="D7" s="7" t="s">
        <v>264</v>
      </c>
      <c r="E7" s="7" t="s">
        <v>264</v>
      </c>
      <c r="F7" s="7" t="s">
        <v>264</v>
      </c>
      <c r="G7" s="7" t="s">
        <v>264</v>
      </c>
      <c r="H7" s="19"/>
      <c r="I7" s="19"/>
      <c r="J7" s="19"/>
      <c r="K7" s="19"/>
      <c r="L7" s="54"/>
      <c r="M7" s="19"/>
      <c r="N7" s="20"/>
      <c r="O7" s="20"/>
      <c r="P7" s="20"/>
      <c r="Q7" s="7" t="s">
        <v>264</v>
      </c>
      <c r="R7" s="21"/>
      <c r="S7" s="7" t="s">
        <v>264</v>
      </c>
      <c r="T7" s="22" t="s">
        <v>264</v>
      </c>
      <c r="U7" s="21"/>
      <c r="V7" s="7" t="s">
        <v>264</v>
      </c>
      <c r="W7" s="22" t="s">
        <v>264</v>
      </c>
      <c r="Y7" s="7" t="s">
        <v>264</v>
      </c>
      <c r="Z7" s="7" t="s">
        <v>264</v>
      </c>
      <c r="AA7" s="21"/>
      <c r="AB7" s="7" t="s">
        <v>264</v>
      </c>
      <c r="AC7" s="22" t="s">
        <v>264</v>
      </c>
      <c r="AD7" s="7"/>
    </row>
    <row r="8" spans="1:30" ht="0.5" customHeight="1" x14ac:dyDescent="0.15">
      <c r="A8" s="2" t="s">
        <v>265</v>
      </c>
      <c r="B8" s="2" t="s">
        <v>266</v>
      </c>
      <c r="C8" s="3" t="s">
        <v>267</v>
      </c>
      <c r="D8" s="3" t="s">
        <v>268</v>
      </c>
      <c r="E8" s="3" t="s">
        <v>269</v>
      </c>
      <c r="F8" s="3" t="s">
        <v>270</v>
      </c>
      <c r="G8" s="3" t="s">
        <v>271</v>
      </c>
      <c r="H8" s="4" t="s">
        <v>272</v>
      </c>
      <c r="I8" s="4" t="s">
        <v>273</v>
      </c>
      <c r="J8" s="4" t="s">
        <v>274</v>
      </c>
      <c r="K8" s="4" t="s">
        <v>275</v>
      </c>
      <c r="L8" s="51" t="s">
        <v>303</v>
      </c>
      <c r="M8" s="4" t="s">
        <v>276</v>
      </c>
      <c r="N8" s="4" t="s">
        <v>277</v>
      </c>
      <c r="O8" s="4" t="s">
        <v>278</v>
      </c>
      <c r="P8" s="4" t="s">
        <v>279</v>
      </c>
      <c r="Q8" s="3" t="s">
        <v>280</v>
      </c>
      <c r="R8" s="5" t="s">
        <v>281</v>
      </c>
      <c r="S8" s="3" t="s">
        <v>282</v>
      </c>
      <c r="T8" s="3" t="s">
        <v>283</v>
      </c>
      <c r="U8" s="5" t="s">
        <v>284</v>
      </c>
      <c r="V8" s="3" t="s">
        <v>285</v>
      </c>
      <c r="W8" s="3" t="s">
        <v>286</v>
      </c>
      <c r="X8" s="5" t="s">
        <v>287</v>
      </c>
      <c r="Y8" s="3" t="s">
        <v>288</v>
      </c>
      <c r="Z8" s="3" t="s">
        <v>289</v>
      </c>
      <c r="AA8" s="5" t="s">
        <v>290</v>
      </c>
      <c r="AB8" s="3" t="s">
        <v>291</v>
      </c>
      <c r="AC8" s="3" t="s">
        <v>292</v>
      </c>
    </row>
    <row r="9" spans="1:30" ht="10.5" customHeight="1" x14ac:dyDescent="0.15">
      <c r="A9" s="26" t="s">
        <v>132</v>
      </c>
      <c r="B9" s="26">
        <v>3</v>
      </c>
      <c r="C9" s="27">
        <v>1071512</v>
      </c>
      <c r="D9" s="27">
        <v>2401058</v>
      </c>
      <c r="E9" s="27">
        <v>2401058</v>
      </c>
      <c r="F9" s="27">
        <v>2401058</v>
      </c>
      <c r="G9" s="27">
        <v>13393901</v>
      </c>
      <c r="H9" s="28">
        <v>0.17899999999999999</v>
      </c>
      <c r="I9" s="28">
        <v>0.17899999999999999</v>
      </c>
      <c r="J9" s="28">
        <v>0.17899999999999999</v>
      </c>
      <c r="K9" s="28">
        <v>0.01</v>
      </c>
      <c r="L9" s="55">
        <f>Tabelle1[[#This Row],[Spalte12]]-Tabelle1[[#This Row],[Spalte11]]</f>
        <v>7.8E-2</v>
      </c>
      <c r="M9" s="28">
        <v>8.7999999999999995E-2</v>
      </c>
      <c r="N9" s="28">
        <v>0.106</v>
      </c>
      <c r="O9" s="28">
        <v>0.13</v>
      </c>
      <c r="P9" s="28">
        <v>7.6999999999999999E-2</v>
      </c>
      <c r="Q9" s="27">
        <v>31054874</v>
      </c>
      <c r="R9" s="29">
        <v>1.35</v>
      </c>
      <c r="S9" s="27">
        <v>4396167</v>
      </c>
      <c r="T9" s="27">
        <v>3259248</v>
      </c>
      <c r="U9" s="29">
        <v>1.38</v>
      </c>
      <c r="V9" s="27">
        <v>4606179</v>
      </c>
      <c r="W9" s="27">
        <v>3335773</v>
      </c>
      <c r="X9" s="29">
        <v>1.54</v>
      </c>
      <c r="Y9" s="27">
        <v>4904460</v>
      </c>
      <c r="Z9" s="27">
        <v>3191809</v>
      </c>
      <c r="AA9" s="29">
        <v>1.53</v>
      </c>
      <c r="AB9" s="27">
        <v>5696790</v>
      </c>
      <c r="AC9" s="27">
        <v>3719379</v>
      </c>
    </row>
    <row r="10" spans="1:30" ht="10.5" customHeight="1" x14ac:dyDescent="0.15">
      <c r="A10" s="30" t="s">
        <v>184</v>
      </c>
      <c r="B10" s="30">
        <v>4</v>
      </c>
      <c r="C10" s="31">
        <v>172885</v>
      </c>
      <c r="D10" s="31">
        <v>389443</v>
      </c>
      <c r="E10" s="31">
        <v>389443</v>
      </c>
      <c r="F10" s="31">
        <v>389443</v>
      </c>
      <c r="G10" s="31">
        <v>2161060</v>
      </c>
      <c r="H10" s="32">
        <v>0.18</v>
      </c>
      <c r="I10" s="32">
        <v>0.18</v>
      </c>
      <c r="J10" s="32">
        <v>0.18</v>
      </c>
      <c r="K10" s="32">
        <v>0.01</v>
      </c>
      <c r="L10" s="56">
        <f>Tabelle1[[#This Row],[Spalte12]]-Tabelle1[[#This Row],[Spalte11]]</f>
        <v>7.400000000000001E-2</v>
      </c>
      <c r="M10" s="32">
        <v>8.4000000000000005E-2</v>
      </c>
      <c r="N10" s="32">
        <v>0.1</v>
      </c>
      <c r="O10" s="32">
        <v>0.122</v>
      </c>
      <c r="P10" s="32">
        <v>8.5000000000000006E-2</v>
      </c>
      <c r="Q10" s="31">
        <v>4583444</v>
      </c>
      <c r="R10" s="33">
        <v>1.19</v>
      </c>
      <c r="S10" s="34">
        <v>596787</v>
      </c>
      <c r="T10" s="34">
        <v>501766</v>
      </c>
      <c r="U10" s="33">
        <v>1.22</v>
      </c>
      <c r="V10" s="34">
        <v>598016</v>
      </c>
      <c r="W10" s="34">
        <v>489321</v>
      </c>
      <c r="X10" s="33">
        <v>1.25</v>
      </c>
      <c r="Y10" s="34">
        <v>575194</v>
      </c>
      <c r="Z10" s="34">
        <v>460578</v>
      </c>
      <c r="AA10" s="33">
        <v>1.22</v>
      </c>
      <c r="AB10" s="34">
        <v>635806</v>
      </c>
      <c r="AC10" s="34">
        <v>520993</v>
      </c>
    </row>
    <row r="11" spans="1:30" ht="10.5" customHeight="1" x14ac:dyDescent="0.15">
      <c r="A11" s="26" t="s">
        <v>105</v>
      </c>
      <c r="B11" s="26">
        <v>4</v>
      </c>
      <c r="C11" s="36" t="s">
        <v>293</v>
      </c>
      <c r="D11" s="36" t="s">
        <v>293</v>
      </c>
      <c r="E11" s="36" t="s">
        <v>293</v>
      </c>
      <c r="F11" s="36" t="s">
        <v>293</v>
      </c>
      <c r="G11" s="36" t="s">
        <v>293</v>
      </c>
      <c r="H11" s="41" t="s">
        <v>293</v>
      </c>
      <c r="I11" s="41" t="s">
        <v>293</v>
      </c>
      <c r="J11" s="41" t="s">
        <v>293</v>
      </c>
      <c r="K11" s="41" t="s">
        <v>293</v>
      </c>
      <c r="L11" s="57" t="e">
        <f>Tabelle1[[#This Row],[Spalte12]]-Tabelle1[[#This Row],[Spalte11]]</f>
        <v>#VALUE!</v>
      </c>
      <c r="M11" s="41" t="s">
        <v>293</v>
      </c>
      <c r="N11" s="41" t="s">
        <v>293</v>
      </c>
      <c r="O11" s="41" t="s">
        <v>293</v>
      </c>
      <c r="P11" s="41" t="s">
        <v>293</v>
      </c>
      <c r="Q11" s="36" t="s">
        <v>293</v>
      </c>
      <c r="R11" s="39" t="s">
        <v>293</v>
      </c>
      <c r="S11" s="40" t="s">
        <v>293</v>
      </c>
      <c r="T11" s="40" t="s">
        <v>293</v>
      </c>
      <c r="U11" s="39" t="s">
        <v>293</v>
      </c>
      <c r="V11" s="40" t="s">
        <v>293</v>
      </c>
      <c r="W11" s="40" t="s">
        <v>293</v>
      </c>
      <c r="X11" s="39" t="s">
        <v>293</v>
      </c>
      <c r="Y11" s="40" t="s">
        <v>293</v>
      </c>
      <c r="Z11" s="40" t="s">
        <v>293</v>
      </c>
      <c r="AA11" s="39" t="s">
        <v>293</v>
      </c>
      <c r="AB11" s="40" t="s">
        <v>293</v>
      </c>
      <c r="AC11" s="40" t="s">
        <v>293</v>
      </c>
    </row>
    <row r="12" spans="1:30" ht="10.5" customHeight="1" x14ac:dyDescent="0.15">
      <c r="A12" s="30" t="s">
        <v>5</v>
      </c>
      <c r="B12" s="30">
        <v>4</v>
      </c>
      <c r="C12" s="31">
        <v>101321</v>
      </c>
      <c r="D12" s="31">
        <v>208415</v>
      </c>
      <c r="E12" s="31">
        <v>208415</v>
      </c>
      <c r="F12" s="31">
        <v>208415</v>
      </c>
      <c r="G12" s="31">
        <v>1266507</v>
      </c>
      <c r="H12" s="32">
        <v>0.16500000000000001</v>
      </c>
      <c r="I12" s="32">
        <v>0.16500000000000001</v>
      </c>
      <c r="J12" s="32">
        <v>0.16500000000000001</v>
      </c>
      <c r="K12" s="32">
        <v>8.9999999999999993E-3</v>
      </c>
      <c r="L12" s="56">
        <f>Tabelle1[[#This Row],[Spalte12]]-Tabelle1[[#This Row],[Spalte11]]</f>
        <v>7.400000000000001E-2</v>
      </c>
      <c r="M12" s="32">
        <v>8.3000000000000004E-2</v>
      </c>
      <c r="N12" s="32">
        <v>9.9000000000000005E-2</v>
      </c>
      <c r="O12" s="32">
        <v>0.121</v>
      </c>
      <c r="P12" s="32">
        <v>0.08</v>
      </c>
      <c r="Q12" s="31">
        <v>2589902</v>
      </c>
      <c r="R12" s="33">
        <v>1.25</v>
      </c>
      <c r="S12" s="34">
        <v>214452</v>
      </c>
      <c r="T12" s="34">
        <v>171852</v>
      </c>
      <c r="U12" s="33">
        <v>1.37</v>
      </c>
      <c r="V12" s="34">
        <v>247453</v>
      </c>
      <c r="W12" s="34">
        <v>180819</v>
      </c>
      <c r="X12" s="33">
        <v>1.35</v>
      </c>
      <c r="Y12" s="34">
        <v>233215</v>
      </c>
      <c r="Z12" s="34">
        <v>172318</v>
      </c>
      <c r="AA12" s="33">
        <v>1.37</v>
      </c>
      <c r="AB12" s="34">
        <v>291538</v>
      </c>
      <c r="AC12" s="34">
        <v>212350</v>
      </c>
    </row>
    <row r="13" spans="1:30" ht="10.5" customHeight="1" x14ac:dyDescent="0.15">
      <c r="A13" s="26" t="s">
        <v>57</v>
      </c>
      <c r="B13" s="26">
        <v>4</v>
      </c>
      <c r="C13" s="36" t="s">
        <v>293</v>
      </c>
      <c r="D13" s="36" t="s">
        <v>293</v>
      </c>
      <c r="E13" s="36" t="s">
        <v>293</v>
      </c>
      <c r="F13" s="36" t="s">
        <v>293</v>
      </c>
      <c r="G13" s="36" t="s">
        <v>293</v>
      </c>
      <c r="H13" s="41" t="s">
        <v>293</v>
      </c>
      <c r="I13" s="41" t="s">
        <v>293</v>
      </c>
      <c r="J13" s="41" t="s">
        <v>293</v>
      </c>
      <c r="K13" s="41" t="s">
        <v>293</v>
      </c>
      <c r="L13" s="57" t="e">
        <f>Tabelle1[[#This Row],[Spalte12]]-Tabelle1[[#This Row],[Spalte11]]</f>
        <v>#VALUE!</v>
      </c>
      <c r="M13" s="41" t="s">
        <v>293</v>
      </c>
      <c r="N13" s="41" t="s">
        <v>293</v>
      </c>
      <c r="O13" s="41" t="s">
        <v>293</v>
      </c>
      <c r="P13" s="41" t="s">
        <v>293</v>
      </c>
      <c r="Q13" s="36" t="s">
        <v>293</v>
      </c>
      <c r="R13" s="39" t="s">
        <v>293</v>
      </c>
      <c r="S13" s="40" t="s">
        <v>293</v>
      </c>
      <c r="T13" s="40" t="s">
        <v>293</v>
      </c>
      <c r="U13" s="39" t="s">
        <v>293</v>
      </c>
      <c r="V13" s="40" t="s">
        <v>293</v>
      </c>
      <c r="W13" s="40" t="s">
        <v>293</v>
      </c>
      <c r="X13" s="39" t="s">
        <v>293</v>
      </c>
      <c r="Y13" s="40" t="s">
        <v>293</v>
      </c>
      <c r="Z13" s="40" t="s">
        <v>293</v>
      </c>
      <c r="AA13" s="39" t="s">
        <v>293</v>
      </c>
      <c r="AB13" s="40" t="s">
        <v>293</v>
      </c>
      <c r="AC13" s="40" t="s">
        <v>293</v>
      </c>
    </row>
    <row r="14" spans="1:30" ht="10.5" customHeight="1" x14ac:dyDescent="0.15">
      <c r="A14" s="30" t="s">
        <v>145</v>
      </c>
      <c r="B14" s="30">
        <v>5</v>
      </c>
      <c r="C14" s="31">
        <v>11283</v>
      </c>
      <c r="D14" s="31">
        <v>27963</v>
      </c>
      <c r="E14" s="31">
        <v>27963</v>
      </c>
      <c r="F14" s="31">
        <v>27963</v>
      </c>
      <c r="G14" s="31">
        <v>141042</v>
      </c>
      <c r="H14" s="32">
        <v>0.19800000000000001</v>
      </c>
      <c r="I14" s="32">
        <v>0.19800000000000001</v>
      </c>
      <c r="J14" s="32">
        <v>0.19800000000000001</v>
      </c>
      <c r="K14" s="32">
        <v>0</v>
      </c>
      <c r="L14" s="56">
        <f>Tabelle1[[#This Row],[Spalte12]]-Tabelle1[[#This Row],[Spalte11]]</f>
        <v>7.0000000000000007E-2</v>
      </c>
      <c r="M14" s="32">
        <v>7.0000000000000007E-2</v>
      </c>
      <c r="N14" s="32">
        <v>8.5000000000000006E-2</v>
      </c>
      <c r="O14" s="32">
        <v>0.105</v>
      </c>
      <c r="P14" s="32">
        <v>9.6000000000000002E-2</v>
      </c>
      <c r="Q14" s="31">
        <v>291509</v>
      </c>
      <c r="R14" s="33">
        <v>1.5</v>
      </c>
      <c r="S14" s="34">
        <v>84237</v>
      </c>
      <c r="T14" s="34">
        <v>56130</v>
      </c>
      <c r="U14" s="33">
        <v>1.73</v>
      </c>
      <c r="V14" s="34">
        <v>112229</v>
      </c>
      <c r="W14" s="34">
        <v>65059</v>
      </c>
      <c r="X14" s="33">
        <v>1.68</v>
      </c>
      <c r="Y14" s="34">
        <v>117014</v>
      </c>
      <c r="Z14" s="34">
        <v>69537</v>
      </c>
      <c r="AA14" s="33">
        <v>1.61</v>
      </c>
      <c r="AB14" s="34">
        <v>119174</v>
      </c>
      <c r="AC14" s="34">
        <v>73833</v>
      </c>
    </row>
    <row r="15" spans="1:30" ht="10.5" customHeight="1" x14ac:dyDescent="0.15">
      <c r="A15" s="26" t="s">
        <v>11</v>
      </c>
      <c r="B15" s="26">
        <v>4</v>
      </c>
      <c r="C15" s="27">
        <v>127519</v>
      </c>
      <c r="D15" s="27">
        <v>312024</v>
      </c>
      <c r="E15" s="27">
        <v>312024</v>
      </c>
      <c r="F15" s="27">
        <v>312024</v>
      </c>
      <c r="G15" s="27">
        <v>1593993</v>
      </c>
      <c r="H15" s="28">
        <v>0.19600000000000001</v>
      </c>
      <c r="I15" s="28">
        <v>0.19600000000000001</v>
      </c>
      <c r="J15" s="28">
        <v>0.19600000000000001</v>
      </c>
      <c r="K15" s="28">
        <v>0.01</v>
      </c>
      <c r="L15" s="55">
        <f>Tabelle1[[#This Row],[Spalte12]]-Tabelle1[[#This Row],[Spalte11]]</f>
        <v>7.400000000000001E-2</v>
      </c>
      <c r="M15" s="28">
        <v>8.4000000000000005E-2</v>
      </c>
      <c r="N15" s="28">
        <v>0.1</v>
      </c>
      <c r="O15" s="28">
        <v>0.122</v>
      </c>
      <c r="P15" s="28">
        <v>8.6999999999999994E-2</v>
      </c>
      <c r="Q15" s="27">
        <v>3596708</v>
      </c>
      <c r="R15" s="29">
        <v>1.1499999999999999</v>
      </c>
      <c r="S15" s="27">
        <v>383112</v>
      </c>
      <c r="T15" s="27">
        <v>332014</v>
      </c>
      <c r="U15" s="29">
        <v>1.23</v>
      </c>
      <c r="V15" s="27">
        <v>394101</v>
      </c>
      <c r="W15" s="27">
        <v>319639</v>
      </c>
      <c r="X15" s="29">
        <v>1.22</v>
      </c>
      <c r="Y15" s="27">
        <v>391372</v>
      </c>
      <c r="Z15" s="27">
        <v>320309</v>
      </c>
      <c r="AA15" s="29">
        <v>1.34</v>
      </c>
      <c r="AB15" s="27">
        <v>408695</v>
      </c>
      <c r="AC15" s="27">
        <v>304524</v>
      </c>
    </row>
    <row r="16" spans="1:30" ht="10.5" customHeight="1" x14ac:dyDescent="0.15">
      <c r="A16" s="30" t="s">
        <v>193</v>
      </c>
      <c r="B16" s="30">
        <v>5</v>
      </c>
      <c r="C16" s="35" t="s">
        <v>293</v>
      </c>
      <c r="D16" s="35" t="s">
        <v>293</v>
      </c>
      <c r="E16" s="35" t="s">
        <v>293</v>
      </c>
      <c r="F16" s="35" t="s">
        <v>293</v>
      </c>
      <c r="G16" s="35" t="s">
        <v>293</v>
      </c>
      <c r="H16" s="42" t="s">
        <v>293</v>
      </c>
      <c r="I16" s="42" t="s">
        <v>293</v>
      </c>
      <c r="J16" s="42" t="s">
        <v>293</v>
      </c>
      <c r="K16" s="42" t="s">
        <v>293</v>
      </c>
      <c r="L16" s="58" t="e">
        <f>Tabelle1[[#This Row],[Spalte12]]-Tabelle1[[#This Row],[Spalte11]]</f>
        <v>#VALUE!</v>
      </c>
      <c r="M16" s="42" t="s">
        <v>293</v>
      </c>
      <c r="N16" s="42" t="s">
        <v>293</v>
      </c>
      <c r="O16" s="42" t="s">
        <v>293</v>
      </c>
      <c r="P16" s="42" t="s">
        <v>293</v>
      </c>
      <c r="Q16" s="35" t="s">
        <v>293</v>
      </c>
      <c r="R16" s="37" t="s">
        <v>293</v>
      </c>
      <c r="S16" s="38" t="s">
        <v>293</v>
      </c>
      <c r="T16" s="38" t="s">
        <v>293</v>
      </c>
      <c r="U16" s="37" t="s">
        <v>293</v>
      </c>
      <c r="V16" s="38" t="s">
        <v>293</v>
      </c>
      <c r="W16" s="38" t="s">
        <v>293</v>
      </c>
      <c r="X16" s="37" t="s">
        <v>293</v>
      </c>
      <c r="Y16" s="38" t="s">
        <v>293</v>
      </c>
      <c r="Z16" s="38" t="s">
        <v>293</v>
      </c>
      <c r="AA16" s="37" t="s">
        <v>293</v>
      </c>
      <c r="AB16" s="38" t="s">
        <v>293</v>
      </c>
      <c r="AC16" s="38" t="s">
        <v>293</v>
      </c>
    </row>
    <row r="17" spans="1:30" ht="10.5" customHeight="1" x14ac:dyDescent="0.15">
      <c r="A17" s="26" t="s">
        <v>72</v>
      </c>
      <c r="B17" s="26">
        <v>4</v>
      </c>
      <c r="C17" s="36" t="s">
        <v>293</v>
      </c>
      <c r="D17" s="36" t="s">
        <v>293</v>
      </c>
      <c r="E17" s="36" t="s">
        <v>293</v>
      </c>
      <c r="F17" s="36" t="s">
        <v>293</v>
      </c>
      <c r="G17" s="36" t="s">
        <v>293</v>
      </c>
      <c r="H17" s="41" t="s">
        <v>293</v>
      </c>
      <c r="I17" s="41" t="s">
        <v>293</v>
      </c>
      <c r="J17" s="41" t="s">
        <v>293</v>
      </c>
      <c r="K17" s="41" t="s">
        <v>293</v>
      </c>
      <c r="L17" s="57" t="e">
        <f>Tabelle1[[#This Row],[Spalte12]]-Tabelle1[[#This Row],[Spalte11]]</f>
        <v>#VALUE!</v>
      </c>
      <c r="M17" s="41" t="s">
        <v>293</v>
      </c>
      <c r="N17" s="41" t="s">
        <v>293</v>
      </c>
      <c r="O17" s="41" t="s">
        <v>293</v>
      </c>
      <c r="P17" s="41" t="s">
        <v>293</v>
      </c>
      <c r="Q17" s="36" t="s">
        <v>293</v>
      </c>
      <c r="R17" s="39" t="s">
        <v>293</v>
      </c>
      <c r="S17" s="40" t="s">
        <v>293</v>
      </c>
      <c r="T17" s="40" t="s">
        <v>293</v>
      </c>
      <c r="U17" s="39" t="s">
        <v>293</v>
      </c>
      <c r="V17" s="40" t="s">
        <v>293</v>
      </c>
      <c r="W17" s="40" t="s">
        <v>293</v>
      </c>
      <c r="X17" s="39" t="s">
        <v>293</v>
      </c>
      <c r="Y17" s="40" t="s">
        <v>293</v>
      </c>
      <c r="Z17" s="40" t="s">
        <v>293</v>
      </c>
      <c r="AA17" s="39" t="s">
        <v>293</v>
      </c>
      <c r="AB17" s="40" t="s">
        <v>293</v>
      </c>
      <c r="AC17" s="40" t="s">
        <v>293</v>
      </c>
    </row>
    <row r="18" spans="1:30" ht="10.5" customHeight="1" x14ac:dyDescent="0.15">
      <c r="A18" s="30" t="s">
        <v>147</v>
      </c>
      <c r="B18" s="30">
        <v>4</v>
      </c>
      <c r="C18" s="31">
        <v>17715</v>
      </c>
      <c r="D18" s="31">
        <v>69811</v>
      </c>
      <c r="E18" s="31">
        <v>49811</v>
      </c>
      <c r="F18" s="31">
        <v>69811</v>
      </c>
      <c r="G18" s="31">
        <v>221436</v>
      </c>
      <c r="H18" s="32">
        <v>0.22500000000000001</v>
      </c>
      <c r="I18" s="32">
        <v>0.315</v>
      </c>
      <c r="J18" s="32">
        <v>0.315</v>
      </c>
      <c r="K18" s="32">
        <v>0</v>
      </c>
      <c r="L18" s="56">
        <f>Tabelle1[[#This Row],[Spalte12]]-Tabelle1[[#This Row],[Spalte11]]</f>
        <v>7.3999999999999996E-2</v>
      </c>
      <c r="M18" s="32">
        <v>7.3999999999999996E-2</v>
      </c>
      <c r="N18" s="32">
        <v>0.09</v>
      </c>
      <c r="O18" s="32">
        <v>0.112</v>
      </c>
      <c r="P18" s="32">
        <v>6.0999999999999999E-2</v>
      </c>
      <c r="Q18" s="31">
        <v>1149696</v>
      </c>
      <c r="R18" s="33">
        <v>3.7</v>
      </c>
      <c r="S18" s="34">
        <v>777909</v>
      </c>
      <c r="T18" s="34">
        <v>210474</v>
      </c>
      <c r="U18" s="33">
        <v>2.73</v>
      </c>
      <c r="V18" s="34">
        <v>880434</v>
      </c>
      <c r="W18" s="34">
        <v>322765</v>
      </c>
      <c r="X18" s="33">
        <v>2.4500000000000002</v>
      </c>
      <c r="Y18" s="34">
        <v>869772</v>
      </c>
      <c r="Z18" s="34">
        <v>355225</v>
      </c>
      <c r="AA18" s="33">
        <v>2.74</v>
      </c>
      <c r="AB18" s="34">
        <v>469474</v>
      </c>
      <c r="AC18" s="34">
        <v>171357</v>
      </c>
    </row>
    <row r="19" spans="1:30" ht="10.5" customHeight="1" x14ac:dyDescent="0.15">
      <c r="A19" s="26" t="s">
        <v>190</v>
      </c>
      <c r="B19" s="26">
        <v>5</v>
      </c>
      <c r="C19" s="27">
        <v>2239</v>
      </c>
      <c r="D19" s="27">
        <v>9001</v>
      </c>
      <c r="E19" s="27">
        <v>8006</v>
      </c>
      <c r="F19" s="27">
        <v>8006</v>
      </c>
      <c r="G19" s="27">
        <v>27982</v>
      </c>
      <c r="H19" s="28">
        <v>0.28599999999999998</v>
      </c>
      <c r="I19" s="28">
        <v>0.28599999999999998</v>
      </c>
      <c r="J19" s="28">
        <v>0.32200000000000001</v>
      </c>
      <c r="K19" s="28">
        <v>0</v>
      </c>
      <c r="L19" s="55">
        <f>Tabelle1[[#This Row],[Spalte12]]-Tabelle1[[#This Row],[Spalte11]]</f>
        <v>7.0000000000000007E-2</v>
      </c>
      <c r="M19" s="28">
        <v>7.0000000000000007E-2</v>
      </c>
      <c r="N19" s="28">
        <v>8.5000000000000006E-2</v>
      </c>
      <c r="O19" s="28">
        <v>0.105</v>
      </c>
      <c r="P19" s="28">
        <v>0.56599999999999995</v>
      </c>
      <c r="Q19" s="27">
        <v>14132</v>
      </c>
      <c r="R19" s="39" t="s">
        <v>294</v>
      </c>
      <c r="S19" s="40" t="s">
        <v>294</v>
      </c>
      <c r="T19" s="40" t="s">
        <v>294</v>
      </c>
      <c r="U19" s="39" t="s">
        <v>294</v>
      </c>
      <c r="V19" s="40" t="s">
        <v>294</v>
      </c>
      <c r="W19" s="40" t="s">
        <v>294</v>
      </c>
      <c r="X19" s="39" t="s">
        <v>294</v>
      </c>
      <c r="Y19" s="40" t="s">
        <v>294</v>
      </c>
      <c r="Z19" s="40" t="s">
        <v>294</v>
      </c>
      <c r="AA19" s="39" t="s">
        <v>294</v>
      </c>
      <c r="AB19" s="40" t="s">
        <v>294</v>
      </c>
      <c r="AC19" s="40" t="s">
        <v>294</v>
      </c>
      <c r="AD19" s="23"/>
    </row>
    <row r="20" spans="1:30" ht="10.5" customHeight="1" x14ac:dyDescent="0.15">
      <c r="A20" s="30" t="s">
        <v>61</v>
      </c>
      <c r="B20" s="30">
        <v>4</v>
      </c>
      <c r="C20" s="31">
        <v>248677</v>
      </c>
      <c r="D20" s="31">
        <v>415622</v>
      </c>
      <c r="E20" s="31">
        <v>366622</v>
      </c>
      <c r="F20" s="31">
        <v>366622</v>
      </c>
      <c r="G20" s="31">
        <v>3108465</v>
      </c>
      <c r="H20" s="32">
        <v>0.11799999999999999</v>
      </c>
      <c r="I20" s="32">
        <v>0.11799999999999999</v>
      </c>
      <c r="J20" s="32">
        <v>0.13400000000000001</v>
      </c>
      <c r="K20" s="32">
        <v>1.4E-2</v>
      </c>
      <c r="L20" s="56">
        <f>Tabelle1[[#This Row],[Spalte12]]-Tabelle1[[#This Row],[Spalte11]]</f>
        <v>7.3999999999999996E-2</v>
      </c>
      <c r="M20" s="32">
        <v>8.7999999999999995E-2</v>
      </c>
      <c r="N20" s="32">
        <v>0.104</v>
      </c>
      <c r="O20" s="32">
        <v>0.126</v>
      </c>
      <c r="P20" s="32">
        <v>4.4999999999999998E-2</v>
      </c>
      <c r="Q20" s="31">
        <v>8145327</v>
      </c>
      <c r="R20" s="33">
        <v>1.28</v>
      </c>
      <c r="S20" s="34">
        <v>921490</v>
      </c>
      <c r="T20" s="34">
        <v>720186</v>
      </c>
      <c r="U20" s="33">
        <v>1.3</v>
      </c>
      <c r="V20" s="34">
        <v>931272</v>
      </c>
      <c r="W20" s="34">
        <v>716498</v>
      </c>
      <c r="X20" s="33">
        <v>1.35</v>
      </c>
      <c r="Y20" s="34">
        <v>993286</v>
      </c>
      <c r="Z20" s="34">
        <v>738179</v>
      </c>
      <c r="AA20" s="33">
        <v>1.6</v>
      </c>
      <c r="AB20" s="34">
        <v>1100900</v>
      </c>
      <c r="AC20" s="34">
        <v>689969</v>
      </c>
      <c r="AD20" s="23"/>
    </row>
    <row r="21" spans="1:30" ht="10.5" customHeight="1" x14ac:dyDescent="0.15">
      <c r="A21" s="26" t="s">
        <v>149</v>
      </c>
      <c r="B21" s="26">
        <v>5</v>
      </c>
      <c r="C21" s="27">
        <v>3256</v>
      </c>
      <c r="D21" s="27">
        <v>30981</v>
      </c>
      <c r="E21" s="27">
        <v>30981</v>
      </c>
      <c r="F21" s="27">
        <v>30981</v>
      </c>
      <c r="G21" s="27">
        <v>40703</v>
      </c>
      <c r="H21" s="28">
        <v>0.76100000000000001</v>
      </c>
      <c r="I21" s="28">
        <v>0.76100000000000001</v>
      </c>
      <c r="J21" s="28">
        <v>0.76100000000000001</v>
      </c>
      <c r="K21" s="28">
        <v>0</v>
      </c>
      <c r="L21" s="55">
        <f>Tabelle1[[#This Row],[Spalte12]]-Tabelle1[[#This Row],[Spalte11]]</f>
        <v>7.0000000000000007E-2</v>
      </c>
      <c r="M21" s="28">
        <v>7.0000000000000007E-2</v>
      </c>
      <c r="N21" s="28">
        <v>8.5000000000000006E-2</v>
      </c>
      <c r="O21" s="28">
        <v>0.105</v>
      </c>
      <c r="P21" s="28">
        <v>0.215</v>
      </c>
      <c r="Q21" s="27">
        <v>144423</v>
      </c>
      <c r="R21" s="29">
        <v>1.1499999999999999</v>
      </c>
      <c r="S21" s="27">
        <v>16680</v>
      </c>
      <c r="T21" s="27">
        <v>14521</v>
      </c>
      <c r="U21" s="29">
        <v>1.32</v>
      </c>
      <c r="V21" s="27">
        <v>21129</v>
      </c>
      <c r="W21" s="27">
        <v>15996</v>
      </c>
      <c r="X21" s="29">
        <v>1.62</v>
      </c>
      <c r="Y21" s="27">
        <v>33457</v>
      </c>
      <c r="Z21" s="27">
        <v>20711</v>
      </c>
      <c r="AA21" s="29">
        <v>1.18</v>
      </c>
      <c r="AB21" s="27">
        <v>18738</v>
      </c>
      <c r="AC21" s="27">
        <v>15859</v>
      </c>
    </row>
    <row r="22" spans="1:30" s="25" customFormat="1" ht="10.5" customHeight="1" x14ac:dyDescent="0.15">
      <c r="A22" s="30" t="s">
        <v>192</v>
      </c>
      <c r="B22" s="30">
        <v>5</v>
      </c>
      <c r="C22" s="31">
        <v>8875</v>
      </c>
      <c r="D22" s="31">
        <v>32003</v>
      </c>
      <c r="E22" s="31">
        <v>32003</v>
      </c>
      <c r="F22" s="31">
        <v>32003</v>
      </c>
      <c r="G22" s="31">
        <v>110940</v>
      </c>
      <c r="H22" s="32">
        <v>0.28799999999999998</v>
      </c>
      <c r="I22" s="32">
        <v>0.28799999999999998</v>
      </c>
      <c r="J22" s="32">
        <v>0.28799999999999998</v>
      </c>
      <c r="K22" s="32">
        <v>1E-3</v>
      </c>
      <c r="L22" s="56">
        <f>Tabelle1[[#This Row],[Spalte12]]-Tabelle1[[#This Row],[Spalte11]]</f>
        <v>6.9999999999999993E-2</v>
      </c>
      <c r="M22" s="32">
        <v>7.0999999999999994E-2</v>
      </c>
      <c r="N22" s="32">
        <v>8.5999999999999993E-2</v>
      </c>
      <c r="O22" s="32">
        <v>0.106</v>
      </c>
      <c r="P22" s="32">
        <v>6.0999999999999999E-2</v>
      </c>
      <c r="Q22" s="31">
        <v>521453</v>
      </c>
      <c r="R22" s="33">
        <v>1.2</v>
      </c>
      <c r="S22" s="34">
        <v>62957</v>
      </c>
      <c r="T22" s="34">
        <v>52427</v>
      </c>
      <c r="U22" s="33">
        <v>1.21</v>
      </c>
      <c r="V22" s="34">
        <v>64155</v>
      </c>
      <c r="W22" s="34">
        <v>52860</v>
      </c>
      <c r="X22" s="33">
        <v>1.27</v>
      </c>
      <c r="Y22" s="34">
        <v>64145</v>
      </c>
      <c r="Z22" s="34">
        <v>50405</v>
      </c>
      <c r="AA22" s="33">
        <v>1.48</v>
      </c>
      <c r="AB22" s="34">
        <v>66977</v>
      </c>
      <c r="AC22" s="34">
        <v>45227</v>
      </c>
      <c r="AD22" s="3"/>
    </row>
    <row r="23" spans="1:30" s="25" customFormat="1" ht="10.5" customHeight="1" x14ac:dyDescent="0.15">
      <c r="A23" s="26" t="s">
        <v>71</v>
      </c>
      <c r="B23" s="26">
        <v>5</v>
      </c>
      <c r="C23" s="36" t="s">
        <v>293</v>
      </c>
      <c r="D23" s="36" t="s">
        <v>293</v>
      </c>
      <c r="E23" s="36" t="s">
        <v>293</v>
      </c>
      <c r="F23" s="36" t="s">
        <v>293</v>
      </c>
      <c r="G23" s="36" t="s">
        <v>293</v>
      </c>
      <c r="H23" s="41" t="s">
        <v>293</v>
      </c>
      <c r="I23" s="41" t="s">
        <v>293</v>
      </c>
      <c r="J23" s="41" t="s">
        <v>293</v>
      </c>
      <c r="K23" s="41" t="s">
        <v>293</v>
      </c>
      <c r="L23" s="57" t="e">
        <f>Tabelle1[[#This Row],[Spalte12]]-Tabelle1[[#This Row],[Spalte11]]</f>
        <v>#VALUE!</v>
      </c>
      <c r="M23" s="41" t="s">
        <v>293</v>
      </c>
      <c r="N23" s="41" t="s">
        <v>293</v>
      </c>
      <c r="O23" s="41" t="s">
        <v>293</v>
      </c>
      <c r="P23" s="41" t="s">
        <v>293</v>
      </c>
      <c r="Q23" s="36" t="s">
        <v>293</v>
      </c>
      <c r="R23" s="39" t="s">
        <v>293</v>
      </c>
      <c r="S23" s="40" t="s">
        <v>293</v>
      </c>
      <c r="T23" s="40" t="s">
        <v>293</v>
      </c>
      <c r="U23" s="39" t="s">
        <v>293</v>
      </c>
      <c r="V23" s="40" t="s">
        <v>293</v>
      </c>
      <c r="W23" s="40" t="s">
        <v>293</v>
      </c>
      <c r="X23" s="39" t="s">
        <v>293</v>
      </c>
      <c r="Y23" s="40" t="s">
        <v>293</v>
      </c>
      <c r="Z23" s="40" t="s">
        <v>293</v>
      </c>
      <c r="AA23" s="39" t="s">
        <v>293</v>
      </c>
      <c r="AB23" s="40" t="s">
        <v>293</v>
      </c>
      <c r="AC23" s="40" t="s">
        <v>293</v>
      </c>
      <c r="AD23" s="3"/>
    </row>
    <row r="24" spans="1:30" s="25" customFormat="1" ht="10.5" customHeight="1" x14ac:dyDescent="0.15">
      <c r="A24" s="30" t="s">
        <v>33</v>
      </c>
      <c r="B24" s="30">
        <v>4</v>
      </c>
      <c r="C24" s="31">
        <v>580232</v>
      </c>
      <c r="D24" s="31">
        <v>1271168</v>
      </c>
      <c r="E24" s="31">
        <v>1236168</v>
      </c>
      <c r="F24" s="31">
        <v>1236168</v>
      </c>
      <c r="G24" s="31">
        <v>7252904</v>
      </c>
      <c r="H24" s="32">
        <v>0.17</v>
      </c>
      <c r="I24" s="32">
        <v>0.17</v>
      </c>
      <c r="J24" s="32">
        <v>0.17499999999999999</v>
      </c>
      <c r="K24" s="32">
        <v>8.0000000000000002E-3</v>
      </c>
      <c r="L24" s="56">
        <f>Tabelle1[[#This Row],[Spalte12]]-Tabelle1[[#This Row],[Spalte11]]</f>
        <v>7.400000000000001E-2</v>
      </c>
      <c r="M24" s="32">
        <v>8.2000000000000003E-2</v>
      </c>
      <c r="N24" s="32">
        <v>9.8000000000000004E-2</v>
      </c>
      <c r="O24" s="32">
        <v>0.12</v>
      </c>
      <c r="P24" s="32">
        <v>8.1000000000000003E-2</v>
      </c>
      <c r="Q24" s="31">
        <v>15326305</v>
      </c>
      <c r="R24" s="33">
        <v>1.72</v>
      </c>
      <c r="S24" s="34">
        <v>2117037</v>
      </c>
      <c r="T24" s="34">
        <v>1230154</v>
      </c>
      <c r="U24" s="33">
        <v>1.58</v>
      </c>
      <c r="V24" s="34">
        <v>2172873</v>
      </c>
      <c r="W24" s="34">
        <v>1372752</v>
      </c>
      <c r="X24" s="33">
        <v>1.69</v>
      </c>
      <c r="Y24" s="34">
        <v>2271933</v>
      </c>
      <c r="Z24" s="34">
        <v>1345970</v>
      </c>
      <c r="AA24" s="33">
        <v>1.77</v>
      </c>
      <c r="AB24" s="34">
        <v>2330403</v>
      </c>
      <c r="AC24" s="34">
        <v>1317802</v>
      </c>
      <c r="AD24" s="3"/>
    </row>
    <row r="25" spans="1:30" s="25" customFormat="1" ht="10.5" customHeight="1" x14ac:dyDescent="0.15">
      <c r="A25" s="26" t="s">
        <v>144</v>
      </c>
      <c r="B25" s="26">
        <v>4</v>
      </c>
      <c r="C25" s="27">
        <v>169065</v>
      </c>
      <c r="D25" s="27">
        <v>388555</v>
      </c>
      <c r="E25" s="27">
        <v>388555</v>
      </c>
      <c r="F25" s="27">
        <v>388555</v>
      </c>
      <c r="G25" s="27">
        <v>2113313</v>
      </c>
      <c r="H25" s="28">
        <v>0.184</v>
      </c>
      <c r="I25" s="28">
        <v>0.184</v>
      </c>
      <c r="J25" s="28">
        <v>0.184</v>
      </c>
      <c r="K25" s="28">
        <v>1.2E-2</v>
      </c>
      <c r="L25" s="55">
        <f>Tabelle1[[#This Row],[Spalte12]]-Tabelle1[[#This Row],[Spalte11]]</f>
        <v>7.3999999999999996E-2</v>
      </c>
      <c r="M25" s="28">
        <v>8.5999999999999993E-2</v>
      </c>
      <c r="N25" s="28">
        <v>0.10199999999999999</v>
      </c>
      <c r="O25" s="28">
        <v>0.124</v>
      </c>
      <c r="P25" s="28">
        <v>6.8000000000000005E-2</v>
      </c>
      <c r="Q25" s="27">
        <v>5696370</v>
      </c>
      <c r="R25" s="29">
        <v>1.51</v>
      </c>
      <c r="S25" s="27">
        <v>687450</v>
      </c>
      <c r="T25" s="27">
        <v>456212</v>
      </c>
      <c r="U25" s="29">
        <v>1.57</v>
      </c>
      <c r="V25" s="27">
        <v>692163</v>
      </c>
      <c r="W25" s="27">
        <v>440320</v>
      </c>
      <c r="X25" s="29">
        <v>1.6</v>
      </c>
      <c r="Y25" s="27">
        <v>692632</v>
      </c>
      <c r="Z25" s="27">
        <v>434027</v>
      </c>
      <c r="AA25" s="29">
        <v>1.77</v>
      </c>
      <c r="AB25" s="27">
        <v>749174</v>
      </c>
      <c r="AC25" s="27">
        <v>423591</v>
      </c>
      <c r="AD25" s="3"/>
    </row>
    <row r="26" spans="1:30" ht="10.5" customHeight="1" x14ac:dyDescent="0.15">
      <c r="A26" s="30" t="s">
        <v>174</v>
      </c>
      <c r="B26" s="30">
        <v>5</v>
      </c>
      <c r="C26" s="31">
        <v>21433</v>
      </c>
      <c r="D26" s="31">
        <v>69149</v>
      </c>
      <c r="E26" s="31">
        <v>69149</v>
      </c>
      <c r="F26" s="31">
        <v>69149</v>
      </c>
      <c r="G26" s="31">
        <v>267918</v>
      </c>
      <c r="H26" s="32">
        <v>0.25800000000000001</v>
      </c>
      <c r="I26" s="32">
        <v>0.25800000000000001</v>
      </c>
      <c r="J26" s="32">
        <v>0.25800000000000001</v>
      </c>
      <c r="K26" s="32">
        <v>0</v>
      </c>
      <c r="L26" s="56">
        <f>Tabelle1[[#This Row],[Spalte12]]-Tabelle1[[#This Row],[Spalte11]]</f>
        <v>7.0000000000000007E-2</v>
      </c>
      <c r="M26" s="32">
        <v>7.0000000000000007E-2</v>
      </c>
      <c r="N26" s="32">
        <v>8.5000000000000006E-2</v>
      </c>
      <c r="O26" s="32">
        <v>0.105</v>
      </c>
      <c r="P26" s="32">
        <v>0.13300000000000001</v>
      </c>
      <c r="Q26" s="31">
        <v>520382</v>
      </c>
      <c r="R26" s="33">
        <v>1.31</v>
      </c>
      <c r="S26" s="34">
        <v>46118</v>
      </c>
      <c r="T26" s="34">
        <v>35302</v>
      </c>
      <c r="U26" s="33">
        <v>1.38</v>
      </c>
      <c r="V26" s="34">
        <v>51168</v>
      </c>
      <c r="W26" s="34">
        <v>37154</v>
      </c>
      <c r="X26" s="33">
        <v>1.44</v>
      </c>
      <c r="Y26" s="34">
        <v>56782</v>
      </c>
      <c r="Z26" s="34">
        <v>39378</v>
      </c>
      <c r="AA26" s="33">
        <v>1.52</v>
      </c>
      <c r="AB26" s="34">
        <v>57054</v>
      </c>
      <c r="AC26" s="34">
        <v>37657</v>
      </c>
    </row>
    <row r="27" spans="1:30" ht="10.5" customHeight="1" x14ac:dyDescent="0.15">
      <c r="A27" s="26" t="s">
        <v>207</v>
      </c>
      <c r="B27" s="26">
        <v>4</v>
      </c>
      <c r="C27" s="27">
        <v>47374</v>
      </c>
      <c r="D27" s="27">
        <v>196118</v>
      </c>
      <c r="E27" s="27">
        <v>196118</v>
      </c>
      <c r="F27" s="27">
        <v>196118</v>
      </c>
      <c r="G27" s="27">
        <v>592178</v>
      </c>
      <c r="H27" s="28">
        <v>0.33100000000000002</v>
      </c>
      <c r="I27" s="28">
        <v>0.33100000000000002</v>
      </c>
      <c r="J27" s="28">
        <v>0.33100000000000002</v>
      </c>
      <c r="K27" s="28">
        <v>0</v>
      </c>
      <c r="L27" s="55">
        <f>Tabelle1[[#This Row],[Spalte12]]-Tabelle1[[#This Row],[Spalte11]]</f>
        <v>7.3999999999999996E-2</v>
      </c>
      <c r="M27" s="28">
        <v>7.3999999999999996E-2</v>
      </c>
      <c r="N27" s="28">
        <v>0.09</v>
      </c>
      <c r="O27" s="28">
        <v>0.112</v>
      </c>
      <c r="P27" s="28">
        <v>0.18099999999999999</v>
      </c>
      <c r="Q27" s="27">
        <v>1085555</v>
      </c>
      <c r="R27" s="29">
        <v>1.65</v>
      </c>
      <c r="S27" s="27">
        <v>351205</v>
      </c>
      <c r="T27" s="27">
        <v>212288</v>
      </c>
      <c r="U27" s="29">
        <v>1.6</v>
      </c>
      <c r="V27" s="27">
        <v>315110</v>
      </c>
      <c r="W27" s="27">
        <v>196727</v>
      </c>
      <c r="X27" s="29">
        <v>1.62</v>
      </c>
      <c r="Y27" s="27">
        <v>279963</v>
      </c>
      <c r="Z27" s="27">
        <v>172836</v>
      </c>
      <c r="AA27" s="29">
        <v>1.86</v>
      </c>
      <c r="AB27" s="27">
        <v>211941</v>
      </c>
      <c r="AC27" s="27">
        <v>114068</v>
      </c>
    </row>
    <row r="28" spans="1:30" ht="10.5" customHeight="1" x14ac:dyDescent="0.15">
      <c r="A28" s="30" t="s">
        <v>230</v>
      </c>
      <c r="B28" s="30">
        <v>4</v>
      </c>
      <c r="C28" s="31">
        <v>95383</v>
      </c>
      <c r="D28" s="31">
        <v>1095941</v>
      </c>
      <c r="E28" s="31">
        <v>1095171</v>
      </c>
      <c r="F28" s="31">
        <v>1095171</v>
      </c>
      <c r="G28" s="31">
        <v>1192289</v>
      </c>
      <c r="H28" s="32">
        <v>0.91900000000000004</v>
      </c>
      <c r="I28" s="32">
        <v>0.91900000000000004</v>
      </c>
      <c r="J28" s="32">
        <v>0.91900000000000004</v>
      </c>
      <c r="K28" s="32">
        <v>0</v>
      </c>
      <c r="L28" s="56">
        <f>Tabelle1[[#This Row],[Spalte12]]-Tabelle1[[#This Row],[Spalte11]]</f>
        <v>7.3999999999999996E-2</v>
      </c>
      <c r="M28" s="32">
        <v>7.3999999999999996E-2</v>
      </c>
      <c r="N28" s="32">
        <v>0.09</v>
      </c>
      <c r="O28" s="32">
        <v>0.112</v>
      </c>
      <c r="P28" s="32">
        <v>0.32600000000000001</v>
      </c>
      <c r="Q28" s="31">
        <v>3356310</v>
      </c>
      <c r="R28" s="33">
        <v>1.68</v>
      </c>
      <c r="S28" s="34">
        <v>1076199</v>
      </c>
      <c r="T28" s="34">
        <v>639257</v>
      </c>
      <c r="U28" s="33">
        <v>2.0299999999999998</v>
      </c>
      <c r="V28" s="34">
        <v>1120582</v>
      </c>
      <c r="W28" s="34">
        <v>551980</v>
      </c>
      <c r="X28" s="33">
        <v>2.38</v>
      </c>
      <c r="Y28" s="34">
        <v>1256774</v>
      </c>
      <c r="Z28" s="34">
        <v>528179</v>
      </c>
      <c r="AA28" s="33">
        <v>2.35</v>
      </c>
      <c r="AB28" s="34">
        <v>1015180</v>
      </c>
      <c r="AC28" s="34">
        <v>432243</v>
      </c>
    </row>
    <row r="29" spans="1:30" ht="10.5" customHeight="1" x14ac:dyDescent="0.15">
      <c r="A29" s="26" t="s">
        <v>140</v>
      </c>
      <c r="B29" s="26">
        <v>5</v>
      </c>
      <c r="C29" s="27">
        <v>8521</v>
      </c>
      <c r="D29" s="27">
        <v>37500</v>
      </c>
      <c r="E29" s="27">
        <v>37500</v>
      </c>
      <c r="F29" s="27">
        <v>37500</v>
      </c>
      <c r="G29" s="27">
        <v>106518</v>
      </c>
      <c r="H29" s="28">
        <v>0.35199999999999998</v>
      </c>
      <c r="I29" s="28">
        <v>0.35199999999999998</v>
      </c>
      <c r="J29" s="28">
        <v>0.35199999999999998</v>
      </c>
      <c r="K29" s="28">
        <v>0</v>
      </c>
      <c r="L29" s="55">
        <f>Tabelle1[[#This Row],[Spalte12]]-Tabelle1[[#This Row],[Spalte11]]</f>
        <v>7.0000000000000007E-2</v>
      </c>
      <c r="M29" s="28">
        <v>7.0000000000000007E-2</v>
      </c>
      <c r="N29" s="28">
        <v>8.5000000000000006E-2</v>
      </c>
      <c r="O29" s="28">
        <v>0.105</v>
      </c>
      <c r="P29" s="28">
        <v>0.17799999999999999</v>
      </c>
      <c r="Q29" s="27">
        <v>211209</v>
      </c>
      <c r="R29" s="29">
        <v>1.76</v>
      </c>
      <c r="S29" s="27">
        <v>125661</v>
      </c>
      <c r="T29" s="27">
        <v>71213</v>
      </c>
      <c r="U29" s="29">
        <v>2.1800000000000002</v>
      </c>
      <c r="V29" s="27">
        <v>88546</v>
      </c>
      <c r="W29" s="27">
        <v>40606</v>
      </c>
      <c r="X29" s="29">
        <v>5.56</v>
      </c>
      <c r="Y29" s="27">
        <v>125113</v>
      </c>
      <c r="Z29" s="27">
        <v>22511</v>
      </c>
      <c r="AA29" s="29">
        <v>5.09</v>
      </c>
      <c r="AB29" s="27">
        <v>100994</v>
      </c>
      <c r="AC29" s="27">
        <v>19837</v>
      </c>
    </row>
    <row r="30" spans="1:30" ht="10.5" customHeight="1" x14ac:dyDescent="0.15">
      <c r="A30" s="30" t="s">
        <v>231</v>
      </c>
      <c r="B30" s="30">
        <v>4</v>
      </c>
      <c r="C30" s="31">
        <v>149489</v>
      </c>
      <c r="D30" s="31">
        <v>305693</v>
      </c>
      <c r="E30" s="31">
        <v>204132</v>
      </c>
      <c r="F30" s="31">
        <v>204132</v>
      </c>
      <c r="G30" s="31">
        <v>1868619</v>
      </c>
      <c r="H30" s="32">
        <v>0.109</v>
      </c>
      <c r="I30" s="32">
        <v>0.109</v>
      </c>
      <c r="J30" s="32">
        <v>0.16400000000000001</v>
      </c>
      <c r="K30" s="32">
        <v>1.2999999999999999E-2</v>
      </c>
      <c r="L30" s="56">
        <f>Tabelle1[[#This Row],[Spalte12]]-Tabelle1[[#This Row],[Spalte11]]</f>
        <v>7.3999999999999996E-2</v>
      </c>
      <c r="M30" s="32">
        <v>8.6999999999999994E-2</v>
      </c>
      <c r="N30" s="32">
        <v>0.10299999999999999</v>
      </c>
      <c r="O30" s="32">
        <v>0.125</v>
      </c>
      <c r="P30" s="32">
        <v>4.5999999999999999E-2</v>
      </c>
      <c r="Q30" s="31">
        <v>4415265</v>
      </c>
      <c r="R30" s="37" t="s">
        <v>295</v>
      </c>
      <c r="S30" s="38" t="s">
        <v>295</v>
      </c>
      <c r="T30" s="38" t="s">
        <v>295</v>
      </c>
      <c r="U30" s="37" t="s">
        <v>295</v>
      </c>
      <c r="V30" s="38" t="s">
        <v>295</v>
      </c>
      <c r="W30" s="38" t="s">
        <v>295</v>
      </c>
      <c r="X30" s="37" t="s">
        <v>295</v>
      </c>
      <c r="Y30" s="38" t="s">
        <v>295</v>
      </c>
      <c r="Z30" s="38" t="s">
        <v>295</v>
      </c>
      <c r="AA30" s="37" t="s">
        <v>295</v>
      </c>
      <c r="AB30" s="38" t="s">
        <v>295</v>
      </c>
      <c r="AC30" s="38" t="s">
        <v>295</v>
      </c>
    </row>
    <row r="31" spans="1:30" ht="10.5" customHeight="1" x14ac:dyDescent="0.15">
      <c r="A31" s="26" t="s">
        <v>106</v>
      </c>
      <c r="B31" s="26">
        <v>5</v>
      </c>
      <c r="C31" s="36" t="s">
        <v>293</v>
      </c>
      <c r="D31" s="36" t="s">
        <v>293</v>
      </c>
      <c r="E31" s="36" t="s">
        <v>293</v>
      </c>
      <c r="F31" s="36" t="s">
        <v>293</v>
      </c>
      <c r="G31" s="36" t="s">
        <v>293</v>
      </c>
      <c r="H31" s="41" t="s">
        <v>293</v>
      </c>
      <c r="I31" s="41" t="s">
        <v>293</v>
      </c>
      <c r="J31" s="41" t="s">
        <v>293</v>
      </c>
      <c r="K31" s="41" t="s">
        <v>293</v>
      </c>
      <c r="L31" s="57" t="e">
        <f>Tabelle1[[#This Row],[Spalte12]]-Tabelle1[[#This Row],[Spalte11]]</f>
        <v>#VALUE!</v>
      </c>
      <c r="M31" s="41" t="s">
        <v>293</v>
      </c>
      <c r="N31" s="41" t="s">
        <v>293</v>
      </c>
      <c r="O31" s="41" t="s">
        <v>293</v>
      </c>
      <c r="P31" s="41" t="s">
        <v>293</v>
      </c>
      <c r="Q31" s="36" t="s">
        <v>293</v>
      </c>
      <c r="R31" s="39" t="s">
        <v>293</v>
      </c>
      <c r="S31" s="40" t="s">
        <v>293</v>
      </c>
      <c r="T31" s="40" t="s">
        <v>293</v>
      </c>
      <c r="U31" s="39" t="s">
        <v>293</v>
      </c>
      <c r="V31" s="40" t="s">
        <v>293</v>
      </c>
      <c r="W31" s="40" t="s">
        <v>293</v>
      </c>
      <c r="X31" s="39" t="s">
        <v>293</v>
      </c>
      <c r="Y31" s="40" t="s">
        <v>293</v>
      </c>
      <c r="Z31" s="40" t="s">
        <v>293</v>
      </c>
      <c r="AA31" s="39" t="s">
        <v>293</v>
      </c>
      <c r="AB31" s="40" t="s">
        <v>293</v>
      </c>
      <c r="AC31" s="40" t="s">
        <v>293</v>
      </c>
    </row>
    <row r="32" spans="1:30" ht="10.5" customHeight="1" x14ac:dyDescent="0.15">
      <c r="A32" s="30" t="s">
        <v>114</v>
      </c>
      <c r="B32" s="30">
        <v>4</v>
      </c>
      <c r="C32" s="31">
        <v>388629</v>
      </c>
      <c r="D32" s="31">
        <v>616275</v>
      </c>
      <c r="E32" s="31">
        <v>451828</v>
      </c>
      <c r="F32" s="31">
        <v>511828</v>
      </c>
      <c r="G32" s="31">
        <v>4857858</v>
      </c>
      <c r="H32" s="32">
        <v>9.2999999999999999E-2</v>
      </c>
      <c r="I32" s="32">
        <v>0.105</v>
      </c>
      <c r="J32" s="32">
        <v>0.127</v>
      </c>
      <c r="K32" s="32">
        <v>8.0000000000000002E-3</v>
      </c>
      <c r="L32" s="56">
        <f>Tabelle1[[#This Row],[Spalte12]]-Tabelle1[[#This Row],[Spalte11]]</f>
        <v>7.400000000000001E-2</v>
      </c>
      <c r="M32" s="32">
        <v>8.2000000000000003E-2</v>
      </c>
      <c r="N32" s="32">
        <v>9.8000000000000004E-2</v>
      </c>
      <c r="O32" s="32">
        <v>0.12</v>
      </c>
      <c r="P32" s="32">
        <v>4.9000000000000002E-2</v>
      </c>
      <c r="Q32" s="31">
        <v>10456356</v>
      </c>
      <c r="R32" s="33">
        <v>2.65</v>
      </c>
      <c r="S32" s="34">
        <v>871643</v>
      </c>
      <c r="T32" s="34">
        <v>328821</v>
      </c>
      <c r="U32" s="33">
        <v>2.41</v>
      </c>
      <c r="V32" s="34">
        <v>879567</v>
      </c>
      <c r="W32" s="34">
        <v>365438</v>
      </c>
      <c r="X32" s="33">
        <v>2.29</v>
      </c>
      <c r="Y32" s="34">
        <v>885654</v>
      </c>
      <c r="Z32" s="34">
        <v>386653</v>
      </c>
      <c r="AA32" s="33">
        <v>2.09</v>
      </c>
      <c r="AB32" s="34">
        <v>899995</v>
      </c>
      <c r="AC32" s="34">
        <v>429919</v>
      </c>
    </row>
    <row r="33" spans="1:29" ht="10.5" customHeight="1" x14ac:dyDescent="0.15">
      <c r="A33" s="26" t="s">
        <v>87</v>
      </c>
      <c r="B33" s="26">
        <v>3</v>
      </c>
      <c r="C33" s="27">
        <v>601583</v>
      </c>
      <c r="D33" s="27">
        <v>1214241</v>
      </c>
      <c r="E33" s="27">
        <v>1213172</v>
      </c>
      <c r="F33" s="27">
        <v>1213172</v>
      </c>
      <c r="G33" s="27">
        <v>7519785</v>
      </c>
      <c r="H33" s="28">
        <v>0.161</v>
      </c>
      <c r="I33" s="28">
        <v>0.161</v>
      </c>
      <c r="J33" s="28">
        <v>0.161</v>
      </c>
      <c r="K33" s="28">
        <v>1.4E-2</v>
      </c>
      <c r="L33" s="55">
        <f>Tabelle1[[#This Row],[Spalte12]]-Tabelle1[[#This Row],[Spalte11]]</f>
        <v>7.8E-2</v>
      </c>
      <c r="M33" s="28">
        <v>9.1999999999999998E-2</v>
      </c>
      <c r="N33" s="28">
        <v>0.11</v>
      </c>
      <c r="O33" s="28">
        <v>0.13400000000000001</v>
      </c>
      <c r="P33" s="28">
        <v>6.3E-2</v>
      </c>
      <c r="Q33" s="27">
        <v>19209093</v>
      </c>
      <c r="R33" s="29">
        <v>1.79</v>
      </c>
      <c r="S33" s="27">
        <v>1866761</v>
      </c>
      <c r="T33" s="27">
        <v>1041603</v>
      </c>
      <c r="U33" s="29">
        <v>1.73</v>
      </c>
      <c r="V33" s="27">
        <v>1935692</v>
      </c>
      <c r="W33" s="27">
        <v>1116987</v>
      </c>
      <c r="X33" s="29">
        <v>1.71</v>
      </c>
      <c r="Y33" s="27">
        <v>1905335</v>
      </c>
      <c r="Z33" s="27">
        <v>1113303</v>
      </c>
      <c r="AA33" s="29">
        <v>1.4</v>
      </c>
      <c r="AB33" s="27">
        <v>2175070</v>
      </c>
      <c r="AC33" s="27">
        <v>1556874</v>
      </c>
    </row>
    <row r="34" spans="1:29" ht="10.5" customHeight="1" x14ac:dyDescent="0.15">
      <c r="A34" s="30" t="s">
        <v>30</v>
      </c>
      <c r="B34" s="30">
        <v>4</v>
      </c>
      <c r="C34" s="31">
        <v>55539</v>
      </c>
      <c r="D34" s="31">
        <v>142385</v>
      </c>
      <c r="E34" s="31">
        <v>142385</v>
      </c>
      <c r="F34" s="31">
        <v>142385</v>
      </c>
      <c r="G34" s="31">
        <v>694234</v>
      </c>
      <c r="H34" s="32">
        <v>0.20499999999999999</v>
      </c>
      <c r="I34" s="32">
        <v>0.20499999999999999</v>
      </c>
      <c r="J34" s="32">
        <v>0.20499999999999999</v>
      </c>
      <c r="K34" s="32">
        <v>1.2999999999999999E-2</v>
      </c>
      <c r="L34" s="56">
        <f>Tabelle1[[#This Row],[Spalte12]]-Tabelle1[[#This Row],[Spalte11]]</f>
        <v>7.3999999999999996E-2</v>
      </c>
      <c r="M34" s="32">
        <v>8.6999999999999994E-2</v>
      </c>
      <c r="N34" s="32">
        <v>0.10299999999999999</v>
      </c>
      <c r="O34" s="32">
        <v>0.125</v>
      </c>
      <c r="P34" s="32">
        <v>8.6999999999999994E-2</v>
      </c>
      <c r="Q34" s="31">
        <v>1639770</v>
      </c>
      <c r="R34" s="33">
        <v>1.58</v>
      </c>
      <c r="S34" s="34">
        <v>208717</v>
      </c>
      <c r="T34" s="34">
        <v>132063</v>
      </c>
      <c r="U34" s="33">
        <v>1.64</v>
      </c>
      <c r="V34" s="34">
        <v>229639</v>
      </c>
      <c r="W34" s="34">
        <v>139893</v>
      </c>
      <c r="X34" s="33">
        <v>1.74</v>
      </c>
      <c r="Y34" s="34">
        <v>224119</v>
      </c>
      <c r="Z34" s="34">
        <v>128438</v>
      </c>
      <c r="AA34" s="33">
        <v>1.83</v>
      </c>
      <c r="AB34" s="34">
        <v>221046</v>
      </c>
      <c r="AC34" s="34">
        <v>120855</v>
      </c>
    </row>
    <row r="35" spans="1:29" ht="10.5" customHeight="1" x14ac:dyDescent="0.15">
      <c r="A35" s="26" t="s">
        <v>25</v>
      </c>
      <c r="B35" s="26">
        <v>5</v>
      </c>
      <c r="C35" s="27">
        <v>48711</v>
      </c>
      <c r="D35" s="27">
        <v>108639</v>
      </c>
      <c r="E35" s="27">
        <v>91482</v>
      </c>
      <c r="F35" s="27">
        <v>91482</v>
      </c>
      <c r="G35" s="27">
        <v>608887</v>
      </c>
      <c r="H35" s="28">
        <v>0.15</v>
      </c>
      <c r="I35" s="28">
        <v>0.15</v>
      </c>
      <c r="J35" s="28">
        <v>0.17799999999999999</v>
      </c>
      <c r="K35" s="28">
        <v>0.01</v>
      </c>
      <c r="L35" s="55">
        <f>Tabelle1[[#This Row],[Spalte12]]-Tabelle1[[#This Row],[Spalte11]]</f>
        <v>7.0000000000000007E-2</v>
      </c>
      <c r="M35" s="28">
        <v>0.08</v>
      </c>
      <c r="N35" s="28">
        <v>9.5000000000000001E-2</v>
      </c>
      <c r="O35" s="28">
        <v>0.115</v>
      </c>
      <c r="P35" s="28">
        <v>7.0999999999999994E-2</v>
      </c>
      <c r="Q35" s="27">
        <v>1288323</v>
      </c>
      <c r="R35" s="29">
        <v>1.6</v>
      </c>
      <c r="S35" s="27">
        <v>135599</v>
      </c>
      <c r="T35" s="27">
        <v>84984</v>
      </c>
      <c r="U35" s="29">
        <v>1.68</v>
      </c>
      <c r="V35" s="27">
        <v>141199</v>
      </c>
      <c r="W35" s="27">
        <v>84156</v>
      </c>
      <c r="X35" s="29">
        <v>1.48</v>
      </c>
      <c r="Y35" s="27">
        <v>120154</v>
      </c>
      <c r="Z35" s="27">
        <v>81073</v>
      </c>
      <c r="AA35" s="29">
        <v>1.63</v>
      </c>
      <c r="AB35" s="27">
        <v>143169</v>
      </c>
      <c r="AC35" s="27">
        <v>87757</v>
      </c>
    </row>
    <row r="36" spans="1:29" ht="10.5" customHeight="1" x14ac:dyDescent="0.15">
      <c r="A36" s="30" t="s">
        <v>48</v>
      </c>
      <c r="B36" s="30">
        <v>5</v>
      </c>
      <c r="C36" s="35" t="s">
        <v>293</v>
      </c>
      <c r="D36" s="35" t="s">
        <v>293</v>
      </c>
      <c r="E36" s="35" t="s">
        <v>293</v>
      </c>
      <c r="F36" s="35" t="s">
        <v>293</v>
      </c>
      <c r="G36" s="35" t="s">
        <v>293</v>
      </c>
      <c r="H36" s="42" t="s">
        <v>293</v>
      </c>
      <c r="I36" s="42" t="s">
        <v>293</v>
      </c>
      <c r="J36" s="42" t="s">
        <v>293</v>
      </c>
      <c r="K36" s="42" t="s">
        <v>293</v>
      </c>
      <c r="L36" s="58" t="e">
        <f>Tabelle1[[#This Row],[Spalte12]]-Tabelle1[[#This Row],[Spalte11]]</f>
        <v>#VALUE!</v>
      </c>
      <c r="M36" s="42" t="s">
        <v>293</v>
      </c>
      <c r="N36" s="42" t="s">
        <v>293</v>
      </c>
      <c r="O36" s="42" t="s">
        <v>293</v>
      </c>
      <c r="P36" s="42" t="s">
        <v>293</v>
      </c>
      <c r="Q36" s="35" t="s">
        <v>293</v>
      </c>
      <c r="R36" s="37" t="s">
        <v>293</v>
      </c>
      <c r="S36" s="38" t="s">
        <v>293</v>
      </c>
      <c r="T36" s="38" t="s">
        <v>293</v>
      </c>
      <c r="U36" s="37" t="s">
        <v>293</v>
      </c>
      <c r="V36" s="38" t="s">
        <v>293</v>
      </c>
      <c r="W36" s="38" t="s">
        <v>293</v>
      </c>
      <c r="X36" s="37" t="s">
        <v>293</v>
      </c>
      <c r="Y36" s="38" t="s">
        <v>293</v>
      </c>
      <c r="Z36" s="38" t="s">
        <v>293</v>
      </c>
      <c r="AA36" s="37" t="s">
        <v>293</v>
      </c>
      <c r="AB36" s="38" t="s">
        <v>293</v>
      </c>
      <c r="AC36" s="38" t="s">
        <v>293</v>
      </c>
    </row>
    <row r="37" spans="1:29" ht="10.5" customHeight="1" x14ac:dyDescent="0.15">
      <c r="A37" s="26" t="s">
        <v>86</v>
      </c>
      <c r="B37" s="26">
        <v>5</v>
      </c>
      <c r="C37" s="36" t="s">
        <v>293</v>
      </c>
      <c r="D37" s="36" t="s">
        <v>293</v>
      </c>
      <c r="E37" s="36" t="s">
        <v>293</v>
      </c>
      <c r="F37" s="36" t="s">
        <v>293</v>
      </c>
      <c r="G37" s="36" t="s">
        <v>293</v>
      </c>
      <c r="H37" s="41" t="s">
        <v>293</v>
      </c>
      <c r="I37" s="41" t="s">
        <v>293</v>
      </c>
      <c r="J37" s="41" t="s">
        <v>293</v>
      </c>
      <c r="K37" s="41" t="s">
        <v>293</v>
      </c>
      <c r="L37" s="57" t="e">
        <f>Tabelle1[[#This Row],[Spalte12]]-Tabelle1[[#This Row],[Spalte11]]</f>
        <v>#VALUE!</v>
      </c>
      <c r="M37" s="41" t="s">
        <v>293</v>
      </c>
      <c r="N37" s="41" t="s">
        <v>293</v>
      </c>
      <c r="O37" s="41" t="s">
        <v>293</v>
      </c>
      <c r="P37" s="41" t="s">
        <v>293</v>
      </c>
      <c r="Q37" s="36" t="s">
        <v>293</v>
      </c>
      <c r="R37" s="39" t="s">
        <v>293</v>
      </c>
      <c r="S37" s="40" t="s">
        <v>293</v>
      </c>
      <c r="T37" s="40" t="s">
        <v>293</v>
      </c>
      <c r="U37" s="39" t="s">
        <v>293</v>
      </c>
      <c r="V37" s="40" t="s">
        <v>293</v>
      </c>
      <c r="W37" s="40" t="s">
        <v>293</v>
      </c>
      <c r="X37" s="39" t="s">
        <v>293</v>
      </c>
      <c r="Y37" s="40" t="s">
        <v>293</v>
      </c>
      <c r="Z37" s="40" t="s">
        <v>293</v>
      </c>
      <c r="AA37" s="39" t="s">
        <v>293</v>
      </c>
      <c r="AB37" s="40" t="s">
        <v>293</v>
      </c>
      <c r="AC37" s="40" t="s">
        <v>293</v>
      </c>
    </row>
    <row r="38" spans="1:29" ht="10.5" customHeight="1" x14ac:dyDescent="0.15">
      <c r="A38" s="30" t="s">
        <v>66</v>
      </c>
      <c r="B38" s="30">
        <v>3</v>
      </c>
      <c r="C38" s="31">
        <v>835921</v>
      </c>
      <c r="D38" s="31">
        <v>2581202</v>
      </c>
      <c r="E38" s="31">
        <v>2581202</v>
      </c>
      <c r="F38" s="31">
        <v>2581202</v>
      </c>
      <c r="G38" s="31">
        <v>10449012</v>
      </c>
      <c r="H38" s="32">
        <v>0.247</v>
      </c>
      <c r="I38" s="32">
        <v>0.247</v>
      </c>
      <c r="J38" s="32">
        <v>0.247</v>
      </c>
      <c r="K38" s="32">
        <v>0</v>
      </c>
      <c r="L38" s="56">
        <f>Tabelle1[[#This Row],[Spalte12]]-Tabelle1[[#This Row],[Spalte11]]</f>
        <v>7.8E-2</v>
      </c>
      <c r="M38" s="32">
        <v>7.8E-2</v>
      </c>
      <c r="N38" s="32">
        <v>9.6000000000000002E-2</v>
      </c>
      <c r="O38" s="32">
        <v>0.12</v>
      </c>
      <c r="P38" s="32">
        <v>8.3000000000000004E-2</v>
      </c>
      <c r="Q38" s="31">
        <v>31032495</v>
      </c>
      <c r="R38" s="33">
        <v>1.7</v>
      </c>
      <c r="S38" s="34">
        <v>7059449</v>
      </c>
      <c r="T38" s="34">
        <v>4160565</v>
      </c>
      <c r="U38" s="33">
        <v>1.64</v>
      </c>
      <c r="V38" s="34">
        <v>6743928</v>
      </c>
      <c r="W38" s="34">
        <v>4124213</v>
      </c>
      <c r="X38" s="33">
        <v>1.74</v>
      </c>
      <c r="Y38" s="34">
        <v>8375720</v>
      </c>
      <c r="Z38" s="34">
        <v>4826816</v>
      </c>
      <c r="AA38" s="33">
        <v>1.63</v>
      </c>
      <c r="AB38" s="34">
        <v>8165661</v>
      </c>
      <c r="AC38" s="34">
        <v>5012230</v>
      </c>
    </row>
    <row r="39" spans="1:29" ht="10.5" customHeight="1" x14ac:dyDescent="0.15">
      <c r="A39" s="26" t="s">
        <v>55</v>
      </c>
      <c r="B39" s="26">
        <v>3</v>
      </c>
      <c r="C39" s="27">
        <v>1455004</v>
      </c>
      <c r="D39" s="27">
        <v>3695533</v>
      </c>
      <c r="E39" s="27">
        <v>3116598</v>
      </c>
      <c r="F39" s="27">
        <v>3596598</v>
      </c>
      <c r="G39" s="27">
        <v>18187554</v>
      </c>
      <c r="H39" s="28">
        <v>0.17100000000000001</v>
      </c>
      <c r="I39" s="28">
        <v>0.19800000000000001</v>
      </c>
      <c r="J39" s="28">
        <v>0.20300000000000001</v>
      </c>
      <c r="K39" s="28">
        <v>2E-3</v>
      </c>
      <c r="L39" s="55">
        <f>Tabelle1[[#This Row],[Spalte12]]-Tabelle1[[#This Row],[Spalte11]]</f>
        <v>7.8E-2</v>
      </c>
      <c r="M39" s="28">
        <v>0.08</v>
      </c>
      <c r="N39" s="28">
        <v>9.8000000000000004E-2</v>
      </c>
      <c r="O39" s="28">
        <v>0.122</v>
      </c>
      <c r="P39" s="28">
        <v>3.7999999999999999E-2</v>
      </c>
      <c r="Q39" s="27">
        <v>94406982</v>
      </c>
      <c r="R39" s="29">
        <v>1.37</v>
      </c>
      <c r="S39" s="27">
        <v>14520763</v>
      </c>
      <c r="T39" s="27">
        <v>10610856</v>
      </c>
      <c r="U39" s="29">
        <v>1.54</v>
      </c>
      <c r="V39" s="27">
        <v>14691787</v>
      </c>
      <c r="W39" s="27">
        <v>9529324</v>
      </c>
      <c r="X39" s="29">
        <v>1.35</v>
      </c>
      <c r="Y39" s="27">
        <v>12961396</v>
      </c>
      <c r="Z39" s="27">
        <v>9601007</v>
      </c>
      <c r="AA39" s="29">
        <v>1.5</v>
      </c>
      <c r="AB39" s="27">
        <v>12684074</v>
      </c>
      <c r="AC39" s="27">
        <v>8467681</v>
      </c>
    </row>
    <row r="40" spans="1:29" ht="10.5" customHeight="1" x14ac:dyDescent="0.15">
      <c r="A40" s="30" t="s">
        <v>82</v>
      </c>
      <c r="B40" s="30">
        <v>5</v>
      </c>
      <c r="C40" s="31">
        <v>25611</v>
      </c>
      <c r="D40" s="31">
        <v>64272</v>
      </c>
      <c r="E40" s="31">
        <v>60688</v>
      </c>
      <c r="F40" s="31">
        <v>60688</v>
      </c>
      <c r="G40" s="31">
        <v>320133</v>
      </c>
      <c r="H40" s="32">
        <v>0.19</v>
      </c>
      <c r="I40" s="32">
        <v>0.19</v>
      </c>
      <c r="J40" s="32">
        <v>0.20100000000000001</v>
      </c>
      <c r="K40" s="32">
        <v>1.2E-2</v>
      </c>
      <c r="L40" s="56">
        <f>Tabelle1[[#This Row],[Spalte12]]-Tabelle1[[#This Row],[Spalte11]]</f>
        <v>7.0000000000000007E-2</v>
      </c>
      <c r="M40" s="32">
        <v>8.2000000000000003E-2</v>
      </c>
      <c r="N40" s="32">
        <v>9.7000000000000003E-2</v>
      </c>
      <c r="O40" s="32">
        <v>0.11700000000000001</v>
      </c>
      <c r="P40" s="32">
        <v>8.5999999999999993E-2</v>
      </c>
      <c r="Q40" s="31">
        <v>703952</v>
      </c>
      <c r="R40" s="33">
        <v>1.61</v>
      </c>
      <c r="S40" s="34">
        <v>43781</v>
      </c>
      <c r="T40" s="34">
        <v>27195</v>
      </c>
      <c r="U40" s="33">
        <v>1.68</v>
      </c>
      <c r="V40" s="34">
        <v>49011</v>
      </c>
      <c r="W40" s="34">
        <v>29150</v>
      </c>
      <c r="X40" s="33">
        <v>1.67</v>
      </c>
      <c r="Y40" s="34">
        <v>47500</v>
      </c>
      <c r="Z40" s="34">
        <v>28371</v>
      </c>
      <c r="AA40" s="33">
        <v>1.4</v>
      </c>
      <c r="AB40" s="34">
        <v>51485</v>
      </c>
      <c r="AC40" s="34">
        <v>36801</v>
      </c>
    </row>
    <row r="41" spans="1:29" ht="10.5" customHeight="1" x14ac:dyDescent="0.15">
      <c r="A41" s="26" t="s">
        <v>308</v>
      </c>
      <c r="B41" s="26">
        <v>4</v>
      </c>
      <c r="C41" s="27">
        <v>278299</v>
      </c>
      <c r="D41" s="27">
        <v>510649</v>
      </c>
      <c r="E41" s="27">
        <v>510649</v>
      </c>
      <c r="F41" s="27">
        <v>510649</v>
      </c>
      <c r="G41" s="27">
        <v>3478736</v>
      </c>
      <c r="H41" s="28">
        <v>0.14699999999999999</v>
      </c>
      <c r="I41" s="28">
        <v>0.14699999999999999</v>
      </c>
      <c r="J41" s="28">
        <v>0.14699999999999999</v>
      </c>
      <c r="K41" s="28">
        <v>0.01</v>
      </c>
      <c r="L41" s="55">
        <f>Tabelle1[[#This Row],[Spalte12]]-Tabelle1[[#This Row],[Spalte11]]</f>
        <v>7.400000000000001E-2</v>
      </c>
      <c r="M41" s="28">
        <v>8.4000000000000005E-2</v>
      </c>
      <c r="N41" s="28">
        <v>0.1</v>
      </c>
      <c r="O41" s="28">
        <v>0.122</v>
      </c>
      <c r="P41" s="28">
        <v>6.4000000000000001E-2</v>
      </c>
      <c r="Q41" s="27">
        <v>8017857</v>
      </c>
      <c r="R41" s="29">
        <v>1.33</v>
      </c>
      <c r="S41" s="27">
        <v>942351</v>
      </c>
      <c r="T41" s="27">
        <v>707142</v>
      </c>
      <c r="U41" s="29">
        <v>1.38</v>
      </c>
      <c r="V41" s="27">
        <v>977666</v>
      </c>
      <c r="W41" s="27">
        <v>710788</v>
      </c>
      <c r="X41" s="29">
        <v>1.23</v>
      </c>
      <c r="Y41" s="27">
        <v>912017</v>
      </c>
      <c r="Z41" s="27">
        <v>743831</v>
      </c>
      <c r="AA41" s="29">
        <v>1.34</v>
      </c>
      <c r="AB41" s="27">
        <v>1243096</v>
      </c>
      <c r="AC41" s="27">
        <v>931092</v>
      </c>
    </row>
    <row r="42" spans="1:29" ht="10.5" customHeight="1" x14ac:dyDescent="0.15">
      <c r="A42" s="30" t="s">
        <v>47</v>
      </c>
      <c r="B42" s="30">
        <v>4</v>
      </c>
      <c r="C42" s="31">
        <v>59088</v>
      </c>
      <c r="D42" s="31">
        <v>146802</v>
      </c>
      <c r="E42" s="31">
        <v>138962</v>
      </c>
      <c r="F42" s="31">
        <v>138962</v>
      </c>
      <c r="G42" s="31">
        <v>738601</v>
      </c>
      <c r="H42" s="32">
        <v>0.188</v>
      </c>
      <c r="I42" s="32">
        <v>0.188</v>
      </c>
      <c r="J42" s="32">
        <v>0.19900000000000001</v>
      </c>
      <c r="K42" s="32">
        <v>1.0999999999999999E-2</v>
      </c>
      <c r="L42" s="56">
        <f>Tabelle1[[#This Row],[Spalte12]]-Tabelle1[[#This Row],[Spalte11]]</f>
        <v>7.400000000000001E-2</v>
      </c>
      <c r="M42" s="32">
        <v>8.5000000000000006E-2</v>
      </c>
      <c r="N42" s="32">
        <v>0.10100000000000001</v>
      </c>
      <c r="O42" s="32">
        <v>0.123</v>
      </c>
      <c r="P42" s="32">
        <v>8.5999999999999993E-2</v>
      </c>
      <c r="Q42" s="31">
        <v>1616885</v>
      </c>
      <c r="R42" s="33">
        <v>1.1399999999999999</v>
      </c>
      <c r="S42" s="34">
        <v>155686</v>
      </c>
      <c r="T42" s="34">
        <v>136010</v>
      </c>
      <c r="U42" s="33">
        <v>1.24</v>
      </c>
      <c r="V42" s="34">
        <v>165009</v>
      </c>
      <c r="W42" s="34">
        <v>133026</v>
      </c>
      <c r="X42" s="33">
        <v>1.28</v>
      </c>
      <c r="Y42" s="34">
        <v>170207</v>
      </c>
      <c r="Z42" s="34">
        <v>133064</v>
      </c>
      <c r="AA42" s="33">
        <v>1.35</v>
      </c>
      <c r="AB42" s="34">
        <v>181167</v>
      </c>
      <c r="AC42" s="34">
        <v>133854</v>
      </c>
    </row>
    <row r="43" spans="1:29" ht="10.5" customHeight="1" x14ac:dyDescent="0.15">
      <c r="A43" s="26" t="s">
        <v>191</v>
      </c>
      <c r="B43" s="26">
        <v>5</v>
      </c>
      <c r="C43" s="36" t="s">
        <v>293</v>
      </c>
      <c r="D43" s="36" t="s">
        <v>293</v>
      </c>
      <c r="E43" s="36" t="s">
        <v>293</v>
      </c>
      <c r="F43" s="36" t="s">
        <v>293</v>
      </c>
      <c r="G43" s="36" t="s">
        <v>293</v>
      </c>
      <c r="H43" s="41" t="s">
        <v>293</v>
      </c>
      <c r="I43" s="41" t="s">
        <v>293</v>
      </c>
      <c r="J43" s="41" t="s">
        <v>293</v>
      </c>
      <c r="K43" s="41" t="s">
        <v>293</v>
      </c>
      <c r="L43" s="57" t="e">
        <f>Tabelle1[[#This Row],[Spalte12]]-Tabelle1[[#This Row],[Spalte11]]</f>
        <v>#VALUE!</v>
      </c>
      <c r="M43" s="41" t="s">
        <v>293</v>
      </c>
      <c r="N43" s="41" t="s">
        <v>293</v>
      </c>
      <c r="O43" s="41" t="s">
        <v>293</v>
      </c>
      <c r="P43" s="41" t="s">
        <v>293</v>
      </c>
      <c r="Q43" s="36" t="s">
        <v>293</v>
      </c>
      <c r="R43" s="39" t="s">
        <v>293</v>
      </c>
      <c r="S43" s="40" t="s">
        <v>293</v>
      </c>
      <c r="T43" s="40" t="s">
        <v>293</v>
      </c>
      <c r="U43" s="39" t="s">
        <v>293</v>
      </c>
      <c r="V43" s="40" t="s">
        <v>293</v>
      </c>
      <c r="W43" s="40" t="s">
        <v>293</v>
      </c>
      <c r="X43" s="39" t="s">
        <v>293</v>
      </c>
      <c r="Y43" s="40" t="s">
        <v>293</v>
      </c>
      <c r="Z43" s="40" t="s">
        <v>293</v>
      </c>
      <c r="AA43" s="39" t="s">
        <v>293</v>
      </c>
      <c r="AB43" s="40" t="s">
        <v>293</v>
      </c>
      <c r="AC43" s="40" t="s">
        <v>293</v>
      </c>
    </row>
    <row r="44" spans="1:29" ht="10.5" customHeight="1" x14ac:dyDescent="0.15">
      <c r="A44" s="30" t="s">
        <v>96</v>
      </c>
      <c r="B44" s="30">
        <v>5</v>
      </c>
      <c r="C44" s="35" t="s">
        <v>293</v>
      </c>
      <c r="D44" s="35" t="s">
        <v>293</v>
      </c>
      <c r="E44" s="35" t="s">
        <v>293</v>
      </c>
      <c r="F44" s="35" t="s">
        <v>293</v>
      </c>
      <c r="G44" s="35" t="s">
        <v>293</v>
      </c>
      <c r="H44" s="42" t="s">
        <v>293</v>
      </c>
      <c r="I44" s="42" t="s">
        <v>293</v>
      </c>
      <c r="J44" s="42" t="s">
        <v>293</v>
      </c>
      <c r="K44" s="42" t="s">
        <v>293</v>
      </c>
      <c r="L44" s="58" t="e">
        <f>Tabelle1[[#This Row],[Spalte12]]-Tabelle1[[#This Row],[Spalte11]]</f>
        <v>#VALUE!</v>
      </c>
      <c r="M44" s="42" t="s">
        <v>293</v>
      </c>
      <c r="N44" s="42" t="s">
        <v>293</v>
      </c>
      <c r="O44" s="42" t="s">
        <v>293</v>
      </c>
      <c r="P44" s="42" t="s">
        <v>293</v>
      </c>
      <c r="Q44" s="35" t="s">
        <v>293</v>
      </c>
      <c r="R44" s="37" t="s">
        <v>293</v>
      </c>
      <c r="S44" s="38" t="s">
        <v>293</v>
      </c>
      <c r="T44" s="38" t="s">
        <v>293</v>
      </c>
      <c r="U44" s="37" t="s">
        <v>293</v>
      </c>
      <c r="V44" s="38" t="s">
        <v>293</v>
      </c>
      <c r="W44" s="38" t="s">
        <v>293</v>
      </c>
      <c r="X44" s="37" t="s">
        <v>293</v>
      </c>
      <c r="Y44" s="38" t="s">
        <v>293</v>
      </c>
      <c r="Z44" s="38" t="s">
        <v>293</v>
      </c>
      <c r="AA44" s="37" t="s">
        <v>293</v>
      </c>
      <c r="AB44" s="38" t="s">
        <v>293</v>
      </c>
      <c r="AC44" s="38" t="s">
        <v>293</v>
      </c>
    </row>
    <row r="45" spans="1:29" ht="10.5" customHeight="1" x14ac:dyDescent="0.15">
      <c r="A45" s="26" t="s">
        <v>206</v>
      </c>
      <c r="B45" s="26">
        <v>5</v>
      </c>
      <c r="C45" s="27">
        <v>5646</v>
      </c>
      <c r="D45" s="27">
        <v>20819</v>
      </c>
      <c r="E45" s="27">
        <v>20819</v>
      </c>
      <c r="F45" s="27">
        <v>20819</v>
      </c>
      <c r="G45" s="27">
        <v>70572</v>
      </c>
      <c r="H45" s="28">
        <v>0.29499999999999998</v>
      </c>
      <c r="I45" s="28">
        <v>0.29499999999999998</v>
      </c>
      <c r="J45" s="28">
        <v>0.29499999999999998</v>
      </c>
      <c r="K45" s="28">
        <v>0</v>
      </c>
      <c r="L45" s="55">
        <f>Tabelle1[[#This Row],[Spalte12]]-Tabelle1[[#This Row],[Spalte11]]</f>
        <v>7.0000000000000007E-2</v>
      </c>
      <c r="M45" s="28">
        <v>7.0000000000000007E-2</v>
      </c>
      <c r="N45" s="28">
        <v>8.5000000000000006E-2</v>
      </c>
      <c r="O45" s="28">
        <v>0.105</v>
      </c>
      <c r="P45" s="28">
        <v>2.9000000000000001E-2</v>
      </c>
      <c r="Q45" s="27">
        <v>724555</v>
      </c>
      <c r="R45" s="29">
        <v>2.29</v>
      </c>
      <c r="S45" s="27">
        <v>41833</v>
      </c>
      <c r="T45" s="27">
        <v>18301</v>
      </c>
      <c r="U45" s="29">
        <v>3.2</v>
      </c>
      <c r="V45" s="27">
        <v>66817</v>
      </c>
      <c r="W45" s="27">
        <v>20885</v>
      </c>
      <c r="X45" s="29">
        <v>3.09</v>
      </c>
      <c r="Y45" s="27">
        <v>70591</v>
      </c>
      <c r="Z45" s="27">
        <v>22811</v>
      </c>
      <c r="AA45" s="29">
        <v>3.04</v>
      </c>
      <c r="AB45" s="27">
        <v>466977</v>
      </c>
      <c r="AC45" s="27">
        <v>153644</v>
      </c>
    </row>
    <row r="46" spans="1:29" ht="10.5" customHeight="1" x14ac:dyDescent="0.15">
      <c r="A46" s="30" t="s">
        <v>64</v>
      </c>
      <c r="B46" s="30">
        <v>3</v>
      </c>
      <c r="C46" s="31">
        <v>370168</v>
      </c>
      <c r="D46" s="31">
        <v>1156876</v>
      </c>
      <c r="E46" s="31">
        <v>1055511</v>
      </c>
      <c r="F46" s="31">
        <v>1055511</v>
      </c>
      <c r="G46" s="31">
        <v>4627097</v>
      </c>
      <c r="H46" s="32">
        <v>0.22800000000000001</v>
      </c>
      <c r="I46" s="32">
        <v>0.22800000000000001</v>
      </c>
      <c r="J46" s="32">
        <v>0.25</v>
      </c>
      <c r="K46" s="32">
        <v>2E-3</v>
      </c>
      <c r="L46" s="56">
        <f>Tabelle1[[#This Row],[Spalte12]]-Tabelle1[[#This Row],[Spalte11]]</f>
        <v>7.8E-2</v>
      </c>
      <c r="M46" s="32">
        <v>0.08</v>
      </c>
      <c r="N46" s="32">
        <v>9.8000000000000004E-2</v>
      </c>
      <c r="O46" s="32">
        <v>0.122</v>
      </c>
      <c r="P46" s="32">
        <v>6.2E-2</v>
      </c>
      <c r="Q46" s="31">
        <v>16890067</v>
      </c>
      <c r="R46" s="33">
        <v>1.6</v>
      </c>
      <c r="S46" s="34">
        <v>4860277</v>
      </c>
      <c r="T46" s="34">
        <v>3038269</v>
      </c>
      <c r="U46" s="33">
        <v>1.48</v>
      </c>
      <c r="V46" s="34">
        <v>4231030</v>
      </c>
      <c r="W46" s="34">
        <v>2864851</v>
      </c>
      <c r="X46" s="33">
        <v>1.64</v>
      </c>
      <c r="Y46" s="34">
        <v>4192785</v>
      </c>
      <c r="Z46" s="34">
        <v>2553307</v>
      </c>
      <c r="AA46" s="33">
        <v>1.33</v>
      </c>
      <c r="AB46" s="34">
        <v>3885103</v>
      </c>
      <c r="AC46" s="34">
        <v>2922495</v>
      </c>
    </row>
    <row r="47" spans="1:29" ht="10.5" customHeight="1" x14ac:dyDescent="0.15">
      <c r="A47" s="26" t="s">
        <v>24</v>
      </c>
      <c r="B47" s="26">
        <v>5</v>
      </c>
      <c r="C47" s="27">
        <v>39763</v>
      </c>
      <c r="D47" s="27">
        <v>82482</v>
      </c>
      <c r="E47" s="27">
        <v>60679</v>
      </c>
      <c r="F47" s="27">
        <v>60679</v>
      </c>
      <c r="G47" s="27">
        <v>497035</v>
      </c>
      <c r="H47" s="28">
        <v>0.122</v>
      </c>
      <c r="I47" s="28">
        <v>0.122</v>
      </c>
      <c r="J47" s="28">
        <v>0.16600000000000001</v>
      </c>
      <c r="K47" s="28">
        <v>1.4E-2</v>
      </c>
      <c r="L47" s="55">
        <f>Tabelle1[[#This Row],[Spalte12]]-Tabelle1[[#This Row],[Spalte11]]</f>
        <v>7.0000000000000007E-2</v>
      </c>
      <c r="M47" s="28">
        <v>8.4000000000000005E-2</v>
      </c>
      <c r="N47" s="28">
        <v>9.9000000000000005E-2</v>
      </c>
      <c r="O47" s="28">
        <v>0.11899999999999999</v>
      </c>
      <c r="P47" s="28">
        <v>4.9000000000000002E-2</v>
      </c>
      <c r="Q47" s="27">
        <v>1228852</v>
      </c>
      <c r="R47" s="29">
        <v>1.1399999999999999</v>
      </c>
      <c r="S47" s="27">
        <v>82265</v>
      </c>
      <c r="T47" s="27">
        <v>71850</v>
      </c>
      <c r="U47" s="29">
        <v>1.1200000000000001</v>
      </c>
      <c r="V47" s="27">
        <v>76047</v>
      </c>
      <c r="W47" s="27">
        <v>68197</v>
      </c>
      <c r="X47" s="29">
        <v>1.29</v>
      </c>
      <c r="Y47" s="27">
        <v>93448</v>
      </c>
      <c r="Z47" s="27">
        <v>72354</v>
      </c>
      <c r="AA47" s="29">
        <v>1.37</v>
      </c>
      <c r="AB47" s="27">
        <v>117088</v>
      </c>
      <c r="AC47" s="27">
        <v>85324</v>
      </c>
    </row>
    <row r="48" spans="1:29" ht="10.5" customHeight="1" x14ac:dyDescent="0.15">
      <c r="A48" s="30" t="s">
        <v>204</v>
      </c>
      <c r="B48" s="30">
        <v>5</v>
      </c>
      <c r="C48" s="31">
        <v>9098</v>
      </c>
      <c r="D48" s="31">
        <v>52340</v>
      </c>
      <c r="E48" s="31">
        <v>52340</v>
      </c>
      <c r="F48" s="31">
        <v>52340</v>
      </c>
      <c r="G48" s="31">
        <v>113728</v>
      </c>
      <c r="H48" s="32">
        <v>0.46</v>
      </c>
      <c r="I48" s="32">
        <v>0.46</v>
      </c>
      <c r="J48" s="32">
        <v>0.46</v>
      </c>
      <c r="K48" s="32">
        <v>2E-3</v>
      </c>
      <c r="L48" s="56">
        <f>Tabelle1[[#This Row],[Spalte12]]-Tabelle1[[#This Row],[Spalte11]]</f>
        <v>6.9999999999999993E-2</v>
      </c>
      <c r="M48" s="32">
        <v>7.1999999999999995E-2</v>
      </c>
      <c r="N48" s="32">
        <v>8.6999999999999994E-2</v>
      </c>
      <c r="O48" s="32">
        <v>0.107</v>
      </c>
      <c r="P48" s="32">
        <v>0.106</v>
      </c>
      <c r="Q48" s="31">
        <v>495297</v>
      </c>
      <c r="R48" s="33">
        <v>9.09</v>
      </c>
      <c r="S48" s="34">
        <v>256130</v>
      </c>
      <c r="T48" s="34">
        <v>28168</v>
      </c>
      <c r="U48" s="33">
        <v>9.1999999999999993</v>
      </c>
      <c r="V48" s="34">
        <v>281037</v>
      </c>
      <c r="W48" s="34">
        <v>30534</v>
      </c>
      <c r="X48" s="33">
        <v>9.06</v>
      </c>
      <c r="Y48" s="34">
        <v>276316</v>
      </c>
      <c r="Z48" s="34">
        <v>30487</v>
      </c>
      <c r="AA48" s="33">
        <v>9.3800000000000008</v>
      </c>
      <c r="AB48" s="34">
        <v>298981</v>
      </c>
      <c r="AC48" s="34">
        <v>31887</v>
      </c>
    </row>
    <row r="49" spans="1:30" ht="10.5" customHeight="1" x14ac:dyDescent="0.15">
      <c r="A49" s="26" t="s">
        <v>170</v>
      </c>
      <c r="B49" s="26">
        <v>5</v>
      </c>
      <c r="C49" s="27">
        <v>1874</v>
      </c>
      <c r="D49" s="27">
        <v>10130</v>
      </c>
      <c r="E49" s="27">
        <v>10130</v>
      </c>
      <c r="F49" s="27">
        <v>10130</v>
      </c>
      <c r="G49" s="27">
        <v>23422</v>
      </c>
      <c r="H49" s="28">
        <v>0.432</v>
      </c>
      <c r="I49" s="28">
        <v>0.432</v>
      </c>
      <c r="J49" s="28">
        <v>0.432</v>
      </c>
      <c r="K49" s="28">
        <v>0</v>
      </c>
      <c r="L49" s="55">
        <f>Tabelle1[[#This Row],[Spalte12]]-Tabelle1[[#This Row],[Spalte11]]</f>
        <v>7.0000000000000007E-2</v>
      </c>
      <c r="M49" s="28">
        <v>7.0000000000000007E-2</v>
      </c>
      <c r="N49" s="28">
        <v>8.5000000000000006E-2</v>
      </c>
      <c r="O49" s="28">
        <v>0.105</v>
      </c>
      <c r="P49" s="28">
        <v>0.13500000000000001</v>
      </c>
      <c r="Q49" s="27">
        <v>74982</v>
      </c>
      <c r="R49" s="29">
        <v>4.88</v>
      </c>
      <c r="S49" s="27">
        <v>9181</v>
      </c>
      <c r="T49" s="27">
        <v>1882</v>
      </c>
      <c r="U49" s="29">
        <v>3.53</v>
      </c>
      <c r="V49" s="27">
        <v>7210</v>
      </c>
      <c r="W49" s="27">
        <v>2044</v>
      </c>
      <c r="X49" s="29">
        <v>4.63</v>
      </c>
      <c r="Y49" s="27">
        <v>9279</v>
      </c>
      <c r="Z49" s="27">
        <v>2003</v>
      </c>
      <c r="AA49" s="29">
        <v>5.58</v>
      </c>
      <c r="AB49" s="27">
        <v>11111</v>
      </c>
      <c r="AC49" s="27">
        <v>1991</v>
      </c>
    </row>
    <row r="50" spans="1:30" ht="10.5" customHeight="1" x14ac:dyDescent="0.15">
      <c r="A50" s="30" t="s">
        <v>97</v>
      </c>
      <c r="B50" s="30">
        <v>5</v>
      </c>
      <c r="C50" s="35" t="s">
        <v>293</v>
      </c>
      <c r="D50" s="35" t="s">
        <v>293</v>
      </c>
      <c r="E50" s="35" t="s">
        <v>293</v>
      </c>
      <c r="F50" s="35" t="s">
        <v>293</v>
      </c>
      <c r="G50" s="35" t="s">
        <v>293</v>
      </c>
      <c r="H50" s="42" t="s">
        <v>293</v>
      </c>
      <c r="I50" s="42" t="s">
        <v>293</v>
      </c>
      <c r="J50" s="42" t="s">
        <v>293</v>
      </c>
      <c r="K50" s="42" t="s">
        <v>293</v>
      </c>
      <c r="L50" s="58" t="e">
        <f>Tabelle1[[#This Row],[Spalte12]]-Tabelle1[[#This Row],[Spalte11]]</f>
        <v>#VALUE!</v>
      </c>
      <c r="M50" s="42" t="s">
        <v>293</v>
      </c>
      <c r="N50" s="42" t="s">
        <v>293</v>
      </c>
      <c r="O50" s="42" t="s">
        <v>293</v>
      </c>
      <c r="P50" s="42" t="s">
        <v>293</v>
      </c>
      <c r="Q50" s="35" t="s">
        <v>293</v>
      </c>
      <c r="R50" s="37" t="s">
        <v>293</v>
      </c>
      <c r="S50" s="38" t="s">
        <v>293</v>
      </c>
      <c r="T50" s="38" t="s">
        <v>293</v>
      </c>
      <c r="U50" s="37" t="s">
        <v>293</v>
      </c>
      <c r="V50" s="38" t="s">
        <v>293</v>
      </c>
      <c r="W50" s="38" t="s">
        <v>293</v>
      </c>
      <c r="X50" s="37" t="s">
        <v>293</v>
      </c>
      <c r="Y50" s="38" t="s">
        <v>293</v>
      </c>
      <c r="Z50" s="38" t="s">
        <v>293</v>
      </c>
      <c r="AA50" s="37" t="s">
        <v>293</v>
      </c>
      <c r="AB50" s="38" t="s">
        <v>293</v>
      </c>
      <c r="AC50" s="38" t="s">
        <v>293</v>
      </c>
    </row>
    <row r="51" spans="1:30" ht="10.5" customHeight="1" x14ac:dyDescent="0.15">
      <c r="A51" s="26" t="s">
        <v>199</v>
      </c>
      <c r="B51" s="26">
        <v>5</v>
      </c>
      <c r="C51" s="27">
        <v>207514</v>
      </c>
      <c r="D51" s="27">
        <v>310677</v>
      </c>
      <c r="E51" s="27">
        <v>220677</v>
      </c>
      <c r="F51" s="27">
        <v>260677</v>
      </c>
      <c r="G51" s="27">
        <v>2593921</v>
      </c>
      <c r="H51" s="28">
        <v>8.5000000000000006E-2</v>
      </c>
      <c r="I51" s="28">
        <v>0.1</v>
      </c>
      <c r="J51" s="28">
        <v>0.12</v>
      </c>
      <c r="K51" s="28">
        <v>0</v>
      </c>
      <c r="L51" s="55">
        <f>Tabelle1[[#This Row],[Spalte12]]-Tabelle1[[#This Row],[Spalte11]]</f>
        <v>7.0000000000000007E-2</v>
      </c>
      <c r="M51" s="28">
        <v>7.0000000000000007E-2</v>
      </c>
      <c r="N51" s="28">
        <v>8.5000000000000006E-2</v>
      </c>
      <c r="O51" s="28">
        <v>0.105</v>
      </c>
      <c r="P51" s="28">
        <v>7.0000000000000007E-2</v>
      </c>
      <c r="Q51" s="27">
        <v>3734043</v>
      </c>
      <c r="R51" s="39" t="s">
        <v>294</v>
      </c>
      <c r="S51" s="40" t="s">
        <v>294</v>
      </c>
      <c r="T51" s="40" t="s">
        <v>294</v>
      </c>
      <c r="U51" s="39" t="s">
        <v>294</v>
      </c>
      <c r="V51" s="40" t="s">
        <v>294</v>
      </c>
      <c r="W51" s="40" t="s">
        <v>294</v>
      </c>
      <c r="X51" s="39" t="s">
        <v>294</v>
      </c>
      <c r="Y51" s="40" t="s">
        <v>294</v>
      </c>
      <c r="Z51" s="40" t="s">
        <v>294</v>
      </c>
      <c r="AA51" s="39" t="s">
        <v>294</v>
      </c>
      <c r="AB51" s="40" t="s">
        <v>294</v>
      </c>
      <c r="AC51" s="40" t="s">
        <v>294</v>
      </c>
      <c r="AD51" s="23"/>
    </row>
    <row r="52" spans="1:30" ht="10.5" customHeight="1" x14ac:dyDescent="0.15">
      <c r="A52" s="30" t="s">
        <v>130</v>
      </c>
      <c r="B52" s="30">
        <v>5</v>
      </c>
      <c r="C52" s="31">
        <v>23651</v>
      </c>
      <c r="D52" s="31">
        <v>327770</v>
      </c>
      <c r="E52" s="31">
        <v>324536</v>
      </c>
      <c r="F52" s="31">
        <v>324536</v>
      </c>
      <c r="G52" s="31">
        <v>295637</v>
      </c>
      <c r="H52" s="32">
        <v>1.0980000000000001</v>
      </c>
      <c r="I52" s="32">
        <v>1.0980000000000001</v>
      </c>
      <c r="J52" s="32">
        <v>1.109</v>
      </c>
      <c r="K52" s="32">
        <v>0</v>
      </c>
      <c r="L52" s="56">
        <f>Tabelle1[[#This Row],[Spalte12]]-Tabelle1[[#This Row],[Spalte11]]</f>
        <v>7.0000000000000007E-2</v>
      </c>
      <c r="M52" s="32">
        <v>7.0000000000000007E-2</v>
      </c>
      <c r="N52" s="32">
        <v>8.5000000000000006E-2</v>
      </c>
      <c r="O52" s="32">
        <v>0.105</v>
      </c>
      <c r="P52" s="32">
        <v>0.435</v>
      </c>
      <c r="Q52" s="31">
        <v>746516</v>
      </c>
      <c r="R52" s="33">
        <v>6.95</v>
      </c>
      <c r="S52" s="34">
        <v>262019</v>
      </c>
      <c r="T52" s="34">
        <v>37709</v>
      </c>
      <c r="U52" s="33">
        <v>6.9</v>
      </c>
      <c r="V52" s="34">
        <v>261715</v>
      </c>
      <c r="W52" s="34">
        <v>37945</v>
      </c>
      <c r="X52" s="33">
        <v>7.95</v>
      </c>
      <c r="Y52" s="34">
        <v>260186</v>
      </c>
      <c r="Z52" s="34">
        <v>32734</v>
      </c>
      <c r="AA52" s="33">
        <v>7.53</v>
      </c>
      <c r="AB52" s="34">
        <v>253420</v>
      </c>
      <c r="AC52" s="34">
        <v>33649</v>
      </c>
    </row>
    <row r="53" spans="1:30" ht="10.5" customHeight="1" x14ac:dyDescent="0.15">
      <c r="A53" s="26" t="s">
        <v>128</v>
      </c>
      <c r="B53" s="26">
        <v>4</v>
      </c>
      <c r="C53" s="36" t="s">
        <v>293</v>
      </c>
      <c r="D53" s="36" t="s">
        <v>293</v>
      </c>
      <c r="E53" s="36" t="s">
        <v>293</v>
      </c>
      <c r="F53" s="36" t="s">
        <v>293</v>
      </c>
      <c r="G53" s="36" t="s">
        <v>293</v>
      </c>
      <c r="H53" s="41" t="s">
        <v>293</v>
      </c>
      <c r="I53" s="41" t="s">
        <v>293</v>
      </c>
      <c r="J53" s="41" t="s">
        <v>293</v>
      </c>
      <c r="K53" s="41" t="s">
        <v>293</v>
      </c>
      <c r="L53" s="57" t="e">
        <f>Tabelle1[[#This Row],[Spalte12]]-Tabelle1[[#This Row],[Spalte11]]</f>
        <v>#VALUE!</v>
      </c>
      <c r="M53" s="41" t="s">
        <v>293</v>
      </c>
      <c r="N53" s="41" t="s">
        <v>293</v>
      </c>
      <c r="O53" s="41" t="s">
        <v>293</v>
      </c>
      <c r="P53" s="41" t="s">
        <v>293</v>
      </c>
      <c r="Q53" s="36" t="s">
        <v>293</v>
      </c>
      <c r="R53" s="39" t="s">
        <v>293</v>
      </c>
      <c r="S53" s="40" t="s">
        <v>293</v>
      </c>
      <c r="T53" s="40" t="s">
        <v>293</v>
      </c>
      <c r="U53" s="39" t="s">
        <v>293</v>
      </c>
      <c r="V53" s="40" t="s">
        <v>293</v>
      </c>
      <c r="W53" s="40" t="s">
        <v>293</v>
      </c>
      <c r="X53" s="39" t="s">
        <v>293</v>
      </c>
      <c r="Y53" s="40" t="s">
        <v>293</v>
      </c>
      <c r="Z53" s="40" t="s">
        <v>293</v>
      </c>
      <c r="AA53" s="39" t="s">
        <v>293</v>
      </c>
      <c r="AB53" s="40" t="s">
        <v>293</v>
      </c>
      <c r="AC53" s="40" t="s">
        <v>293</v>
      </c>
      <c r="AD53" s="23"/>
    </row>
    <row r="54" spans="1:30" ht="10.5" customHeight="1" x14ac:dyDescent="0.15">
      <c r="A54" s="30" t="s">
        <v>138</v>
      </c>
      <c r="B54" s="30">
        <v>5</v>
      </c>
      <c r="C54" s="35" t="s">
        <v>293</v>
      </c>
      <c r="D54" s="35" t="s">
        <v>293</v>
      </c>
      <c r="E54" s="35" t="s">
        <v>293</v>
      </c>
      <c r="F54" s="35" t="s">
        <v>293</v>
      </c>
      <c r="G54" s="35" t="s">
        <v>293</v>
      </c>
      <c r="H54" s="42" t="s">
        <v>293</v>
      </c>
      <c r="I54" s="42" t="s">
        <v>293</v>
      </c>
      <c r="J54" s="42" t="s">
        <v>293</v>
      </c>
      <c r="K54" s="42" t="s">
        <v>293</v>
      </c>
      <c r="L54" s="58" t="e">
        <f>Tabelle1[[#This Row],[Spalte12]]-Tabelle1[[#This Row],[Spalte11]]</f>
        <v>#VALUE!</v>
      </c>
      <c r="M54" s="42" t="s">
        <v>293</v>
      </c>
      <c r="N54" s="42" t="s">
        <v>293</v>
      </c>
      <c r="O54" s="42" t="s">
        <v>293</v>
      </c>
      <c r="P54" s="42" t="s">
        <v>293</v>
      </c>
      <c r="Q54" s="35" t="s">
        <v>293</v>
      </c>
      <c r="R54" s="37" t="s">
        <v>293</v>
      </c>
      <c r="S54" s="38" t="s">
        <v>293</v>
      </c>
      <c r="T54" s="38" t="s">
        <v>293</v>
      </c>
      <c r="U54" s="37" t="s">
        <v>293</v>
      </c>
      <c r="V54" s="38" t="s">
        <v>293</v>
      </c>
      <c r="W54" s="38" t="s">
        <v>293</v>
      </c>
      <c r="X54" s="37" t="s">
        <v>293</v>
      </c>
      <c r="Y54" s="38" t="s">
        <v>293</v>
      </c>
      <c r="Z54" s="38" t="s">
        <v>293</v>
      </c>
      <c r="AA54" s="37" t="s">
        <v>293</v>
      </c>
      <c r="AB54" s="38" t="s">
        <v>293</v>
      </c>
      <c r="AC54" s="38" t="s">
        <v>293</v>
      </c>
    </row>
    <row r="55" spans="1:30" ht="10.5" customHeight="1" x14ac:dyDescent="0.15">
      <c r="A55" s="26" t="s">
        <v>13</v>
      </c>
      <c r="B55" s="26">
        <v>3</v>
      </c>
      <c r="C55" s="27">
        <v>912533</v>
      </c>
      <c r="D55" s="27">
        <v>2058071</v>
      </c>
      <c r="E55" s="27">
        <v>2058071</v>
      </c>
      <c r="F55" s="27">
        <v>2058071</v>
      </c>
      <c r="G55" s="27">
        <v>11406666</v>
      </c>
      <c r="H55" s="28">
        <v>0.18</v>
      </c>
      <c r="I55" s="28">
        <v>0.18</v>
      </c>
      <c r="J55" s="28">
        <v>0.18</v>
      </c>
      <c r="K55" s="28">
        <v>8.9999999999999993E-3</v>
      </c>
      <c r="L55" s="55">
        <f>Tabelle1[[#This Row],[Spalte12]]-Tabelle1[[#This Row],[Spalte11]]</f>
        <v>7.8E-2</v>
      </c>
      <c r="M55" s="28">
        <v>8.6999999999999994E-2</v>
      </c>
      <c r="N55" s="28">
        <v>0.105</v>
      </c>
      <c r="O55" s="28">
        <v>0.129</v>
      </c>
      <c r="P55" s="28">
        <v>8.2000000000000003E-2</v>
      </c>
      <c r="Q55" s="27">
        <v>24997387</v>
      </c>
      <c r="R55" s="29">
        <v>1.31</v>
      </c>
      <c r="S55" s="27">
        <v>3110393</v>
      </c>
      <c r="T55" s="27">
        <v>2365357</v>
      </c>
      <c r="U55" s="29">
        <v>1.44</v>
      </c>
      <c r="V55" s="27">
        <v>3345100</v>
      </c>
      <c r="W55" s="27">
        <v>2330282</v>
      </c>
      <c r="X55" s="29">
        <v>1.58</v>
      </c>
      <c r="Y55" s="27">
        <v>3556356</v>
      </c>
      <c r="Z55" s="27">
        <v>2244639</v>
      </c>
      <c r="AA55" s="29">
        <v>1.55</v>
      </c>
      <c r="AB55" s="27">
        <v>3383137</v>
      </c>
      <c r="AC55" s="27">
        <v>2178367</v>
      </c>
    </row>
    <row r="56" spans="1:30" ht="10.5" customHeight="1" x14ac:dyDescent="0.15">
      <c r="A56" s="30" t="s">
        <v>14</v>
      </c>
      <c r="B56" s="30">
        <v>3</v>
      </c>
      <c r="C56" s="31">
        <v>982568</v>
      </c>
      <c r="D56" s="31">
        <v>1981870</v>
      </c>
      <c r="E56" s="31">
        <v>1633130</v>
      </c>
      <c r="F56" s="31">
        <v>1857920</v>
      </c>
      <c r="G56" s="31">
        <v>12282103</v>
      </c>
      <c r="H56" s="32">
        <v>0.13300000000000001</v>
      </c>
      <c r="I56" s="32">
        <v>0.151</v>
      </c>
      <c r="J56" s="32">
        <v>0.161</v>
      </c>
      <c r="K56" s="32">
        <v>6.0000000000000001E-3</v>
      </c>
      <c r="L56" s="56">
        <f>Tabelle1[[#This Row],[Spalte12]]-Tabelle1[[#This Row],[Spalte11]]</f>
        <v>7.8E-2</v>
      </c>
      <c r="M56" s="32">
        <v>8.4000000000000005E-2</v>
      </c>
      <c r="N56" s="32">
        <v>0.10199999999999999</v>
      </c>
      <c r="O56" s="32">
        <v>0.126</v>
      </c>
      <c r="P56" s="32">
        <v>7.1999999999999995E-2</v>
      </c>
      <c r="Q56" s="31">
        <v>25815100</v>
      </c>
      <c r="R56" s="33">
        <v>1.4</v>
      </c>
      <c r="S56" s="34">
        <v>4572997</v>
      </c>
      <c r="T56" s="34">
        <v>3277067</v>
      </c>
      <c r="U56" s="33">
        <v>1.43</v>
      </c>
      <c r="V56" s="34">
        <v>4772321</v>
      </c>
      <c r="W56" s="34">
        <v>3328809</v>
      </c>
      <c r="X56" s="33">
        <v>1.66</v>
      </c>
      <c r="Y56" s="34">
        <v>4771151</v>
      </c>
      <c r="Z56" s="34">
        <v>2880679</v>
      </c>
      <c r="AA56" s="33">
        <v>1.49</v>
      </c>
      <c r="AB56" s="34">
        <v>5461317</v>
      </c>
      <c r="AC56" s="34">
        <v>3656844</v>
      </c>
    </row>
    <row r="57" spans="1:30" ht="10.5" customHeight="1" x14ac:dyDescent="0.15">
      <c r="A57" s="26" t="s">
        <v>19</v>
      </c>
      <c r="B57" s="26">
        <v>4</v>
      </c>
      <c r="C57" s="27">
        <v>120226</v>
      </c>
      <c r="D57" s="27">
        <v>249844</v>
      </c>
      <c r="E57" s="27">
        <v>249844</v>
      </c>
      <c r="F57" s="27">
        <v>249844</v>
      </c>
      <c r="G57" s="27">
        <v>1502827</v>
      </c>
      <c r="H57" s="28">
        <v>0.16600000000000001</v>
      </c>
      <c r="I57" s="28">
        <v>0.16600000000000001</v>
      </c>
      <c r="J57" s="28">
        <v>0.16600000000000001</v>
      </c>
      <c r="K57" s="28">
        <v>1.0999999999999999E-2</v>
      </c>
      <c r="L57" s="55">
        <f>Tabelle1[[#This Row],[Spalte12]]-Tabelle1[[#This Row],[Spalte11]]</f>
        <v>7.400000000000001E-2</v>
      </c>
      <c r="M57" s="28">
        <v>8.5000000000000006E-2</v>
      </c>
      <c r="N57" s="28">
        <v>0.10100000000000001</v>
      </c>
      <c r="O57" s="28">
        <v>0.123</v>
      </c>
      <c r="P57" s="28">
        <v>7.0999999999999994E-2</v>
      </c>
      <c r="Q57" s="27">
        <v>3496310</v>
      </c>
      <c r="R57" s="29">
        <v>1.26</v>
      </c>
      <c r="S57" s="27">
        <v>329773</v>
      </c>
      <c r="T57" s="27">
        <v>260883</v>
      </c>
      <c r="U57" s="29">
        <v>1.21</v>
      </c>
      <c r="V57" s="27">
        <v>341217</v>
      </c>
      <c r="W57" s="27">
        <v>282473</v>
      </c>
      <c r="X57" s="29">
        <v>1.2</v>
      </c>
      <c r="Y57" s="27">
        <v>320098</v>
      </c>
      <c r="Z57" s="27">
        <v>266596</v>
      </c>
      <c r="AA57" s="29">
        <v>1.43</v>
      </c>
      <c r="AB57" s="27">
        <v>416502</v>
      </c>
      <c r="AC57" s="27">
        <v>290494</v>
      </c>
    </row>
    <row r="58" spans="1:30" ht="10.5" customHeight="1" x14ac:dyDescent="0.15">
      <c r="A58" s="30" t="s">
        <v>20</v>
      </c>
      <c r="B58" s="30">
        <v>3</v>
      </c>
      <c r="C58" s="31">
        <v>595265</v>
      </c>
      <c r="D58" s="31">
        <v>1364959</v>
      </c>
      <c r="E58" s="31">
        <v>1364959</v>
      </c>
      <c r="F58" s="31">
        <v>1364959</v>
      </c>
      <c r="G58" s="31">
        <v>7440808</v>
      </c>
      <c r="H58" s="32">
        <v>0.183</v>
      </c>
      <c r="I58" s="32">
        <v>0.183</v>
      </c>
      <c r="J58" s="32">
        <v>0.183</v>
      </c>
      <c r="K58" s="32">
        <v>8.9999999999999993E-3</v>
      </c>
      <c r="L58" s="56">
        <f>Tabelle1[[#This Row],[Spalte12]]-Tabelle1[[#This Row],[Spalte11]]</f>
        <v>7.8E-2</v>
      </c>
      <c r="M58" s="32">
        <v>8.6999999999999994E-2</v>
      </c>
      <c r="N58" s="32">
        <v>0.105</v>
      </c>
      <c r="O58" s="32">
        <v>0.129</v>
      </c>
      <c r="P58" s="32">
        <v>0.08</v>
      </c>
      <c r="Q58" s="31">
        <v>17011793</v>
      </c>
      <c r="R58" s="33">
        <v>1.33</v>
      </c>
      <c r="S58" s="34">
        <v>2821498</v>
      </c>
      <c r="T58" s="34">
        <v>2120946</v>
      </c>
      <c r="U58" s="33">
        <v>1.33</v>
      </c>
      <c r="V58" s="34">
        <v>2896964</v>
      </c>
      <c r="W58" s="34">
        <v>2181249</v>
      </c>
      <c r="X58" s="33">
        <v>1.32</v>
      </c>
      <c r="Y58" s="34">
        <v>3044780</v>
      </c>
      <c r="Z58" s="34">
        <v>2301247</v>
      </c>
      <c r="AA58" s="33">
        <v>1.22</v>
      </c>
      <c r="AB58" s="34">
        <v>2518290</v>
      </c>
      <c r="AC58" s="34">
        <v>2065681</v>
      </c>
    </row>
    <row r="59" spans="1:30" ht="10.5" customHeight="1" x14ac:dyDescent="0.15">
      <c r="A59" s="26" t="s">
        <v>18</v>
      </c>
      <c r="B59" s="26">
        <v>4</v>
      </c>
      <c r="C59" s="27">
        <v>398047</v>
      </c>
      <c r="D59" s="27">
        <v>856699</v>
      </c>
      <c r="E59" s="27">
        <v>856699</v>
      </c>
      <c r="F59" s="27">
        <v>856699</v>
      </c>
      <c r="G59" s="27">
        <v>4975588</v>
      </c>
      <c r="H59" s="28">
        <v>0.17199999999999999</v>
      </c>
      <c r="I59" s="28">
        <v>0.17199999999999999</v>
      </c>
      <c r="J59" s="28">
        <v>0.17199999999999999</v>
      </c>
      <c r="K59" s="28">
        <v>0.01</v>
      </c>
      <c r="L59" s="55">
        <f>Tabelle1[[#This Row],[Spalte12]]-Tabelle1[[#This Row],[Spalte11]]</f>
        <v>7.400000000000001E-2</v>
      </c>
      <c r="M59" s="28">
        <v>8.4000000000000005E-2</v>
      </c>
      <c r="N59" s="28">
        <v>0.1</v>
      </c>
      <c r="O59" s="28">
        <v>0.122</v>
      </c>
      <c r="P59" s="28">
        <v>7.2999999999999995E-2</v>
      </c>
      <c r="Q59" s="27">
        <v>11732780</v>
      </c>
      <c r="R59" s="29">
        <v>1.29</v>
      </c>
      <c r="S59" s="27">
        <v>1377673</v>
      </c>
      <c r="T59" s="27">
        <v>1064607</v>
      </c>
      <c r="U59" s="29">
        <v>1.19</v>
      </c>
      <c r="V59" s="27">
        <v>1394273</v>
      </c>
      <c r="W59" s="27">
        <v>1173775</v>
      </c>
      <c r="X59" s="29">
        <v>1.24</v>
      </c>
      <c r="Y59" s="27">
        <v>1387738</v>
      </c>
      <c r="Z59" s="27">
        <v>1116643</v>
      </c>
      <c r="AA59" s="29">
        <v>1.35</v>
      </c>
      <c r="AB59" s="27">
        <v>1517610</v>
      </c>
      <c r="AC59" s="27">
        <v>1124516</v>
      </c>
    </row>
    <row r="60" spans="1:30" ht="10.5" customHeight="1" x14ac:dyDescent="0.15">
      <c r="A60" s="30" t="s">
        <v>36</v>
      </c>
      <c r="B60" s="30">
        <v>3</v>
      </c>
      <c r="C60" s="31">
        <v>1502875</v>
      </c>
      <c r="D60" s="31">
        <v>3243646</v>
      </c>
      <c r="E60" s="31">
        <v>3220297</v>
      </c>
      <c r="F60" s="31">
        <v>3220297</v>
      </c>
      <c r="G60" s="31">
        <v>18785932</v>
      </c>
      <c r="H60" s="32">
        <v>0.17100000000000001</v>
      </c>
      <c r="I60" s="32">
        <v>0.17100000000000001</v>
      </c>
      <c r="J60" s="32">
        <v>0.17299999999999999</v>
      </c>
      <c r="K60" s="32">
        <v>8.0000000000000002E-3</v>
      </c>
      <c r="L60" s="56">
        <f>Tabelle1[[#This Row],[Spalte12]]-Tabelle1[[#This Row],[Spalte11]]</f>
        <v>7.7999999999999986E-2</v>
      </c>
      <c r="M60" s="32">
        <v>8.5999999999999993E-2</v>
      </c>
      <c r="N60" s="32">
        <v>0.104</v>
      </c>
      <c r="O60" s="32">
        <v>0.128</v>
      </c>
      <c r="P60" s="32">
        <v>6.3E-2</v>
      </c>
      <c r="Q60" s="31">
        <v>51101446</v>
      </c>
      <c r="R60" s="33">
        <v>1.1399999999999999</v>
      </c>
      <c r="S60" s="34">
        <v>8630444</v>
      </c>
      <c r="T60" s="34">
        <v>7588105</v>
      </c>
      <c r="U60" s="33">
        <v>1.18</v>
      </c>
      <c r="V60" s="34">
        <v>8945591</v>
      </c>
      <c r="W60" s="34">
        <v>7575084</v>
      </c>
      <c r="X60" s="33">
        <v>1.3</v>
      </c>
      <c r="Y60" s="34">
        <v>8748402</v>
      </c>
      <c r="Z60" s="34">
        <v>6747972</v>
      </c>
      <c r="AA60" s="33">
        <v>1.29</v>
      </c>
      <c r="AB60" s="34">
        <v>9371318</v>
      </c>
      <c r="AC60" s="34">
        <v>7244428</v>
      </c>
    </row>
    <row r="61" spans="1:30" ht="10.5" customHeight="1" x14ac:dyDescent="0.15">
      <c r="A61" s="26" t="s">
        <v>183</v>
      </c>
      <c r="B61" s="26">
        <v>5</v>
      </c>
      <c r="C61" s="27">
        <v>24365</v>
      </c>
      <c r="D61" s="27">
        <v>69490</v>
      </c>
      <c r="E61" s="27">
        <v>66525</v>
      </c>
      <c r="F61" s="27">
        <v>66525</v>
      </c>
      <c r="G61" s="27">
        <v>304566</v>
      </c>
      <c r="H61" s="28">
        <v>0.218</v>
      </c>
      <c r="I61" s="28">
        <v>0.218</v>
      </c>
      <c r="J61" s="28">
        <v>0.22800000000000001</v>
      </c>
      <c r="K61" s="28">
        <v>4.0000000000000001E-3</v>
      </c>
      <c r="L61" s="55">
        <f>Tabelle1[[#This Row],[Spalte12]]-Tabelle1[[#This Row],[Spalte11]]</f>
        <v>6.9999999999999993E-2</v>
      </c>
      <c r="M61" s="28">
        <v>7.3999999999999996E-2</v>
      </c>
      <c r="N61" s="28">
        <v>8.8999999999999996E-2</v>
      </c>
      <c r="O61" s="28">
        <v>0.109</v>
      </c>
      <c r="P61" s="28">
        <v>9.4E-2</v>
      </c>
      <c r="Q61" s="27">
        <v>709347</v>
      </c>
      <c r="R61" s="29">
        <v>3.13</v>
      </c>
      <c r="S61" s="27">
        <v>175374</v>
      </c>
      <c r="T61" s="27">
        <v>56065</v>
      </c>
      <c r="U61" s="29">
        <v>2.41</v>
      </c>
      <c r="V61" s="27">
        <v>158350</v>
      </c>
      <c r="W61" s="27">
        <v>65813</v>
      </c>
      <c r="X61" s="29">
        <v>3.07</v>
      </c>
      <c r="Y61" s="27">
        <v>170496</v>
      </c>
      <c r="Z61" s="27">
        <v>55527</v>
      </c>
      <c r="AA61" s="29">
        <v>2.57</v>
      </c>
      <c r="AB61" s="27">
        <v>158984</v>
      </c>
      <c r="AC61" s="27">
        <v>61785</v>
      </c>
    </row>
    <row r="62" spans="1:30" ht="10.5" customHeight="1" x14ac:dyDescent="0.15">
      <c r="A62" s="30" t="s">
        <v>115</v>
      </c>
      <c r="B62" s="30">
        <v>5</v>
      </c>
      <c r="C62" s="31">
        <v>268235</v>
      </c>
      <c r="D62" s="31">
        <v>469013</v>
      </c>
      <c r="E62" s="31">
        <v>469013</v>
      </c>
      <c r="F62" s="31">
        <v>469013</v>
      </c>
      <c r="G62" s="31">
        <v>3352943</v>
      </c>
      <c r="H62" s="32">
        <v>0.14000000000000001</v>
      </c>
      <c r="I62" s="32">
        <v>0.14000000000000001</v>
      </c>
      <c r="J62" s="32">
        <v>0.14000000000000001</v>
      </c>
      <c r="K62" s="32">
        <v>0</v>
      </c>
      <c r="L62" s="56">
        <f>Tabelle1[[#This Row],[Spalte12]]-Tabelle1[[#This Row],[Spalte11]]</f>
        <v>7.0000000000000007E-2</v>
      </c>
      <c r="M62" s="32">
        <v>7.0000000000000007E-2</v>
      </c>
      <c r="N62" s="32">
        <v>8.5000000000000006E-2</v>
      </c>
      <c r="O62" s="32">
        <v>0.105</v>
      </c>
      <c r="P62" s="32">
        <v>0.11</v>
      </c>
      <c r="Q62" s="31">
        <v>4253206</v>
      </c>
      <c r="R62" s="33">
        <v>1.35</v>
      </c>
      <c r="S62" s="34">
        <v>694203</v>
      </c>
      <c r="T62" s="34">
        <v>514654</v>
      </c>
      <c r="U62" s="33">
        <v>1.56</v>
      </c>
      <c r="V62" s="34">
        <v>783268</v>
      </c>
      <c r="W62" s="34">
        <v>501498</v>
      </c>
      <c r="X62" s="33">
        <v>1.49</v>
      </c>
      <c r="Y62" s="34">
        <v>793789</v>
      </c>
      <c r="Z62" s="34">
        <v>531049</v>
      </c>
      <c r="AA62" s="33">
        <v>2</v>
      </c>
      <c r="AB62" s="34">
        <v>600362</v>
      </c>
      <c r="AC62" s="34">
        <v>300145</v>
      </c>
    </row>
    <row r="63" spans="1:30" ht="10.5" customHeight="1" x14ac:dyDescent="0.15">
      <c r="A63" s="26" t="s">
        <v>133</v>
      </c>
      <c r="B63" s="26">
        <v>5</v>
      </c>
      <c r="C63" s="36" t="s">
        <v>293</v>
      </c>
      <c r="D63" s="36" t="s">
        <v>293</v>
      </c>
      <c r="E63" s="36" t="s">
        <v>293</v>
      </c>
      <c r="F63" s="36" t="s">
        <v>293</v>
      </c>
      <c r="G63" s="36" t="s">
        <v>293</v>
      </c>
      <c r="H63" s="41" t="s">
        <v>293</v>
      </c>
      <c r="I63" s="41" t="s">
        <v>293</v>
      </c>
      <c r="J63" s="41" t="s">
        <v>293</v>
      </c>
      <c r="K63" s="41" t="s">
        <v>293</v>
      </c>
      <c r="L63" s="57" t="e">
        <f>Tabelle1[[#This Row],[Spalte12]]-Tabelle1[[#This Row],[Spalte11]]</f>
        <v>#VALUE!</v>
      </c>
      <c r="M63" s="41" t="s">
        <v>293</v>
      </c>
      <c r="N63" s="41" t="s">
        <v>293</v>
      </c>
      <c r="O63" s="41" t="s">
        <v>293</v>
      </c>
      <c r="P63" s="41" t="s">
        <v>293</v>
      </c>
      <c r="Q63" s="36" t="s">
        <v>293</v>
      </c>
      <c r="R63" s="39" t="s">
        <v>293</v>
      </c>
      <c r="S63" s="40" t="s">
        <v>293</v>
      </c>
      <c r="T63" s="40" t="s">
        <v>293</v>
      </c>
      <c r="U63" s="39" t="s">
        <v>293</v>
      </c>
      <c r="V63" s="40" t="s">
        <v>293</v>
      </c>
      <c r="W63" s="40" t="s">
        <v>293</v>
      </c>
      <c r="X63" s="39" t="s">
        <v>293</v>
      </c>
      <c r="Y63" s="40" t="s">
        <v>293</v>
      </c>
      <c r="Z63" s="40" t="s">
        <v>293</v>
      </c>
      <c r="AA63" s="39" t="s">
        <v>293</v>
      </c>
      <c r="AB63" s="40" t="s">
        <v>293</v>
      </c>
      <c r="AC63" s="40" t="s">
        <v>293</v>
      </c>
    </row>
    <row r="64" spans="1:30" ht="10.5" customHeight="1" x14ac:dyDescent="0.15">
      <c r="A64" s="30" t="s">
        <v>220</v>
      </c>
      <c r="B64" s="30">
        <v>5</v>
      </c>
      <c r="C64" s="31">
        <v>30970</v>
      </c>
      <c r="D64" s="31">
        <v>78763</v>
      </c>
      <c r="E64" s="31">
        <v>77833</v>
      </c>
      <c r="F64" s="31">
        <v>77833</v>
      </c>
      <c r="G64" s="31">
        <v>387125</v>
      </c>
      <c r="H64" s="32">
        <v>0.20100000000000001</v>
      </c>
      <c r="I64" s="32">
        <v>0.20100000000000001</v>
      </c>
      <c r="J64" s="32">
        <v>0.20300000000000001</v>
      </c>
      <c r="K64" s="32">
        <v>1.2999999999999999E-2</v>
      </c>
      <c r="L64" s="56">
        <f>Tabelle1[[#This Row],[Spalte12]]-Tabelle1[[#This Row],[Spalte11]]</f>
        <v>7.0000000000000007E-2</v>
      </c>
      <c r="M64" s="32">
        <v>8.3000000000000004E-2</v>
      </c>
      <c r="N64" s="32">
        <v>9.8000000000000004E-2</v>
      </c>
      <c r="O64" s="32">
        <v>0.11799999999999999</v>
      </c>
      <c r="P64" s="32">
        <v>7.9000000000000001E-2</v>
      </c>
      <c r="Q64" s="31">
        <v>991091</v>
      </c>
      <c r="R64" s="33">
        <v>1.33</v>
      </c>
      <c r="S64" s="34">
        <v>15375</v>
      </c>
      <c r="T64" s="34">
        <v>11541</v>
      </c>
      <c r="U64" s="33">
        <v>1.34</v>
      </c>
      <c r="V64" s="34">
        <v>18323</v>
      </c>
      <c r="W64" s="34">
        <v>13718</v>
      </c>
      <c r="X64" s="33">
        <v>1.43</v>
      </c>
      <c r="Y64" s="34">
        <v>14265</v>
      </c>
      <c r="Z64" s="34">
        <v>9983</v>
      </c>
      <c r="AA64" s="33">
        <v>2.2599999999999998</v>
      </c>
      <c r="AB64" s="34">
        <v>42270</v>
      </c>
      <c r="AC64" s="34">
        <v>18726</v>
      </c>
    </row>
    <row r="65" spans="1:29" ht="10.5" customHeight="1" x14ac:dyDescent="0.15">
      <c r="A65" s="26" t="s">
        <v>76</v>
      </c>
      <c r="B65" s="26">
        <v>5</v>
      </c>
      <c r="C65" s="27">
        <v>17351</v>
      </c>
      <c r="D65" s="27">
        <v>28879</v>
      </c>
      <c r="E65" s="27">
        <v>28879</v>
      </c>
      <c r="F65" s="27">
        <v>28879</v>
      </c>
      <c r="G65" s="27">
        <v>216882</v>
      </c>
      <c r="H65" s="28">
        <v>0.13300000000000001</v>
      </c>
      <c r="I65" s="28">
        <v>0.13300000000000001</v>
      </c>
      <c r="J65" s="28">
        <v>0.13300000000000001</v>
      </c>
      <c r="K65" s="28">
        <v>0</v>
      </c>
      <c r="L65" s="55">
        <f>Tabelle1[[#This Row],[Spalte12]]-Tabelle1[[#This Row],[Spalte11]]</f>
        <v>7.0000000000000007E-2</v>
      </c>
      <c r="M65" s="28">
        <v>7.0000000000000007E-2</v>
      </c>
      <c r="N65" s="28">
        <v>8.5000000000000006E-2</v>
      </c>
      <c r="O65" s="28">
        <v>0.105</v>
      </c>
      <c r="P65" s="28">
        <v>7.3999999999999996E-2</v>
      </c>
      <c r="Q65" s="27">
        <v>390288</v>
      </c>
      <c r="R65" s="29">
        <v>4.9800000000000004</v>
      </c>
      <c r="S65" s="27">
        <v>82492</v>
      </c>
      <c r="T65" s="27">
        <v>16564</v>
      </c>
      <c r="U65" s="29">
        <v>4.12</v>
      </c>
      <c r="V65" s="27">
        <v>65918</v>
      </c>
      <c r="W65" s="27">
        <v>16009</v>
      </c>
      <c r="X65" s="29">
        <v>4.58</v>
      </c>
      <c r="Y65" s="27">
        <v>66585</v>
      </c>
      <c r="Z65" s="27">
        <v>14527</v>
      </c>
      <c r="AA65" s="29">
        <v>3.79</v>
      </c>
      <c r="AB65" s="27">
        <v>53884</v>
      </c>
      <c r="AC65" s="27">
        <v>14211</v>
      </c>
    </row>
    <row r="66" spans="1:29" ht="10.5" customHeight="1" x14ac:dyDescent="0.15">
      <c r="A66" s="30" t="s">
        <v>78</v>
      </c>
      <c r="B66" s="30">
        <v>5</v>
      </c>
      <c r="C66" s="31">
        <v>5364</v>
      </c>
      <c r="D66" s="31">
        <v>77465</v>
      </c>
      <c r="E66" s="31">
        <v>77465</v>
      </c>
      <c r="F66" s="31">
        <v>77465</v>
      </c>
      <c r="G66" s="31">
        <v>67049</v>
      </c>
      <c r="H66" s="32">
        <v>1.155</v>
      </c>
      <c r="I66" s="32">
        <v>1.155</v>
      </c>
      <c r="J66" s="32">
        <v>1.155</v>
      </c>
      <c r="K66" s="32">
        <v>1E-3</v>
      </c>
      <c r="L66" s="56">
        <f>Tabelle1[[#This Row],[Spalte12]]-Tabelle1[[#This Row],[Spalte11]]</f>
        <v>6.9999999999999993E-2</v>
      </c>
      <c r="M66" s="32">
        <v>7.0999999999999994E-2</v>
      </c>
      <c r="N66" s="32">
        <v>8.5999999999999993E-2</v>
      </c>
      <c r="O66" s="32">
        <v>0.106</v>
      </c>
      <c r="P66" s="32">
        <v>0.45900000000000002</v>
      </c>
      <c r="Q66" s="31">
        <v>168942</v>
      </c>
      <c r="R66" s="33">
        <v>3.02</v>
      </c>
      <c r="S66" s="34">
        <v>24446</v>
      </c>
      <c r="T66" s="34">
        <v>8090</v>
      </c>
      <c r="U66" s="33">
        <v>3.51</v>
      </c>
      <c r="V66" s="34">
        <v>36384</v>
      </c>
      <c r="W66" s="34">
        <v>10353</v>
      </c>
      <c r="X66" s="33">
        <v>4.4000000000000004</v>
      </c>
      <c r="Y66" s="34">
        <v>31500</v>
      </c>
      <c r="Z66" s="34">
        <v>7159</v>
      </c>
      <c r="AA66" s="33">
        <v>2.29</v>
      </c>
      <c r="AB66" s="34">
        <v>19993</v>
      </c>
      <c r="AC66" s="34">
        <v>8745</v>
      </c>
    </row>
    <row r="67" spans="1:29" ht="10.5" customHeight="1" x14ac:dyDescent="0.15">
      <c r="A67" s="26" t="s">
        <v>152</v>
      </c>
      <c r="B67" s="26">
        <v>4</v>
      </c>
      <c r="C67" s="27">
        <v>28331</v>
      </c>
      <c r="D67" s="27">
        <v>87916</v>
      </c>
      <c r="E67" s="27">
        <v>87916</v>
      </c>
      <c r="F67" s="27">
        <v>87916</v>
      </c>
      <c r="G67" s="27">
        <v>354138</v>
      </c>
      <c r="H67" s="28">
        <v>0.248</v>
      </c>
      <c r="I67" s="28">
        <v>0.248</v>
      </c>
      <c r="J67" s="28">
        <v>0.248</v>
      </c>
      <c r="K67" s="28">
        <v>0</v>
      </c>
      <c r="L67" s="55">
        <f>Tabelle1[[#This Row],[Spalte12]]-Tabelle1[[#This Row],[Spalte11]]</f>
        <v>7.3999999999999996E-2</v>
      </c>
      <c r="M67" s="28">
        <v>7.3999999999999996E-2</v>
      </c>
      <c r="N67" s="28">
        <v>0.09</v>
      </c>
      <c r="O67" s="28">
        <v>0.112</v>
      </c>
      <c r="P67" s="28">
        <v>8.6999999999999994E-2</v>
      </c>
      <c r="Q67" s="27">
        <v>1006128</v>
      </c>
      <c r="R67" s="29">
        <v>2.7010000000000001</v>
      </c>
      <c r="S67" s="27">
        <v>381851</v>
      </c>
      <c r="T67" s="27">
        <v>140920</v>
      </c>
      <c r="U67" s="29">
        <v>2.71</v>
      </c>
      <c r="V67" s="27">
        <v>405720</v>
      </c>
      <c r="W67" s="27">
        <v>149681</v>
      </c>
      <c r="X67" s="29">
        <v>3.27</v>
      </c>
      <c r="Y67" s="27">
        <v>404739</v>
      </c>
      <c r="Z67" s="27">
        <v>123762</v>
      </c>
      <c r="AA67" s="29">
        <v>3.78</v>
      </c>
      <c r="AB67" s="27">
        <v>349839</v>
      </c>
      <c r="AC67" s="27">
        <v>92556</v>
      </c>
    </row>
    <row r="68" spans="1:29" ht="10.5" customHeight="1" x14ac:dyDescent="0.15">
      <c r="A68" s="30" t="s">
        <v>98</v>
      </c>
      <c r="B68" s="30">
        <v>5</v>
      </c>
      <c r="C68" s="31">
        <v>28759</v>
      </c>
      <c r="D68" s="31">
        <v>147829</v>
      </c>
      <c r="E68" s="31">
        <v>147829</v>
      </c>
      <c r="F68" s="31">
        <v>147829</v>
      </c>
      <c r="G68" s="31">
        <v>359487</v>
      </c>
      <c r="H68" s="32">
        <v>0.41099999999999998</v>
      </c>
      <c r="I68" s="32">
        <v>0.41099999999999998</v>
      </c>
      <c r="J68" s="32">
        <v>0.41099999999999998</v>
      </c>
      <c r="K68" s="32">
        <v>0</v>
      </c>
      <c r="L68" s="56">
        <f>Tabelle1[[#This Row],[Spalte12]]-Tabelle1[[#This Row],[Spalte11]]</f>
        <v>7.0000000000000007E-2</v>
      </c>
      <c r="M68" s="32">
        <v>7.0000000000000007E-2</v>
      </c>
      <c r="N68" s="32">
        <v>8.5000000000000006E-2</v>
      </c>
      <c r="O68" s="32">
        <v>0.105</v>
      </c>
      <c r="P68" s="32">
        <v>0.125</v>
      </c>
      <c r="Q68" s="31">
        <v>1184182</v>
      </c>
      <c r="R68" s="33">
        <v>1.74</v>
      </c>
      <c r="S68" s="34">
        <v>315768</v>
      </c>
      <c r="T68" s="34">
        <v>181221</v>
      </c>
      <c r="U68" s="33">
        <v>1.41</v>
      </c>
      <c r="V68" s="34">
        <v>278971</v>
      </c>
      <c r="W68" s="34">
        <v>197929</v>
      </c>
      <c r="X68" s="33">
        <v>1.78</v>
      </c>
      <c r="Y68" s="34">
        <v>319560</v>
      </c>
      <c r="Z68" s="34">
        <v>179647</v>
      </c>
      <c r="AA68" s="33">
        <v>2.95</v>
      </c>
      <c r="AB68" s="34">
        <v>454860</v>
      </c>
      <c r="AC68" s="34">
        <v>154187</v>
      </c>
    </row>
    <row r="69" spans="1:29" ht="10.5" customHeight="1" x14ac:dyDescent="0.15">
      <c r="A69" s="26" t="s">
        <v>222</v>
      </c>
      <c r="B69" s="26">
        <v>5</v>
      </c>
      <c r="C69" s="27">
        <v>39921</v>
      </c>
      <c r="D69" s="27">
        <v>98157</v>
      </c>
      <c r="E69" s="27">
        <v>73157</v>
      </c>
      <c r="F69" s="27">
        <v>98157</v>
      </c>
      <c r="G69" s="27">
        <v>499015</v>
      </c>
      <c r="H69" s="28">
        <v>0.14699999999999999</v>
      </c>
      <c r="I69" s="28">
        <v>0.19700000000000001</v>
      </c>
      <c r="J69" s="28">
        <v>0.19700000000000001</v>
      </c>
      <c r="K69" s="28">
        <v>0</v>
      </c>
      <c r="L69" s="55">
        <f>Tabelle1[[#This Row],[Spalte12]]-Tabelle1[[#This Row],[Spalte11]]</f>
        <v>7.0000000000000007E-2</v>
      </c>
      <c r="M69" s="28">
        <v>7.0000000000000007E-2</v>
      </c>
      <c r="N69" s="28">
        <v>8.5000000000000006E-2</v>
      </c>
      <c r="O69" s="28">
        <v>0.105</v>
      </c>
      <c r="P69" s="28">
        <v>0.113</v>
      </c>
      <c r="Q69" s="27">
        <v>865564</v>
      </c>
      <c r="R69" s="29">
        <v>1.18</v>
      </c>
      <c r="S69" s="27">
        <v>135307</v>
      </c>
      <c r="T69" s="27">
        <v>114611</v>
      </c>
      <c r="U69" s="29">
        <v>1.35</v>
      </c>
      <c r="V69" s="27">
        <v>138508</v>
      </c>
      <c r="W69" s="27">
        <v>102585</v>
      </c>
      <c r="X69" s="29">
        <v>1.18</v>
      </c>
      <c r="Y69" s="27">
        <v>136030</v>
      </c>
      <c r="Z69" s="27">
        <v>115123</v>
      </c>
      <c r="AA69" s="29">
        <v>1.26</v>
      </c>
      <c r="AB69" s="27">
        <v>163384</v>
      </c>
      <c r="AC69" s="27">
        <v>129790</v>
      </c>
    </row>
    <row r="70" spans="1:29" ht="10.5" customHeight="1" x14ac:dyDescent="0.15">
      <c r="A70" s="30" t="s">
        <v>94</v>
      </c>
      <c r="B70" s="30">
        <v>3</v>
      </c>
      <c r="C70" s="31">
        <v>348096</v>
      </c>
      <c r="D70" s="31">
        <v>1305611</v>
      </c>
      <c r="E70" s="31">
        <v>1295829</v>
      </c>
      <c r="F70" s="31">
        <v>1305611</v>
      </c>
      <c r="G70" s="31">
        <v>4351206</v>
      </c>
      <c r="H70" s="32">
        <v>0.29799999999999999</v>
      </c>
      <c r="I70" s="32">
        <v>0.3</v>
      </c>
      <c r="J70" s="32">
        <v>0.3</v>
      </c>
      <c r="K70" s="32">
        <v>0</v>
      </c>
      <c r="L70" s="56">
        <f>Tabelle1[[#This Row],[Spalte12]]-Tabelle1[[#This Row],[Spalte11]]</f>
        <v>7.8E-2</v>
      </c>
      <c r="M70" s="32">
        <v>7.8E-2</v>
      </c>
      <c r="N70" s="32">
        <v>9.6000000000000002E-2</v>
      </c>
      <c r="O70" s="32">
        <v>0.12</v>
      </c>
      <c r="P70" s="32">
        <v>7.0000000000000007E-2</v>
      </c>
      <c r="Q70" s="31">
        <v>18519957</v>
      </c>
      <c r="R70" s="33">
        <v>2.02</v>
      </c>
      <c r="S70" s="34">
        <v>11211976</v>
      </c>
      <c r="T70" s="34">
        <v>5561062</v>
      </c>
      <c r="U70" s="33">
        <v>1.97</v>
      </c>
      <c r="V70" s="34">
        <v>11220640</v>
      </c>
      <c r="W70" s="34">
        <v>5702176</v>
      </c>
      <c r="X70" s="33">
        <v>2.0099999999999998</v>
      </c>
      <c r="Y70" s="34">
        <v>10597559</v>
      </c>
      <c r="Z70" s="34">
        <v>5280695</v>
      </c>
      <c r="AA70" s="33">
        <v>2.0699999999999998</v>
      </c>
      <c r="AB70" s="34">
        <v>9745592</v>
      </c>
      <c r="AC70" s="34">
        <v>4700084</v>
      </c>
    </row>
    <row r="71" spans="1:29" ht="10.5" customHeight="1" x14ac:dyDescent="0.15">
      <c r="A71" s="26" t="s">
        <v>208</v>
      </c>
      <c r="B71" s="26">
        <v>5</v>
      </c>
      <c r="C71" s="27">
        <v>7506</v>
      </c>
      <c r="D71" s="27">
        <v>13530</v>
      </c>
      <c r="E71" s="27">
        <v>13530</v>
      </c>
      <c r="F71" s="27">
        <v>13530</v>
      </c>
      <c r="G71" s="27">
        <v>93819</v>
      </c>
      <c r="H71" s="28">
        <v>0.14399999999999999</v>
      </c>
      <c r="I71" s="28">
        <v>0.14399999999999999</v>
      </c>
      <c r="J71" s="28">
        <v>0.14399999999999999</v>
      </c>
      <c r="K71" s="28">
        <v>0</v>
      </c>
      <c r="L71" s="55">
        <f>Tabelle1[[#This Row],[Spalte12]]-Tabelle1[[#This Row],[Spalte11]]</f>
        <v>7.0000000000000007E-2</v>
      </c>
      <c r="M71" s="28">
        <v>7.0000000000000007E-2</v>
      </c>
      <c r="N71" s="28">
        <v>8.5000000000000006E-2</v>
      </c>
      <c r="O71" s="28">
        <v>0.105</v>
      </c>
      <c r="P71" s="28">
        <v>0.112</v>
      </c>
      <c r="Q71" s="27">
        <v>120529</v>
      </c>
      <c r="R71" s="29">
        <v>2.08</v>
      </c>
      <c r="S71" s="27">
        <v>26430</v>
      </c>
      <c r="T71" s="27">
        <v>12719</v>
      </c>
      <c r="U71" s="29">
        <v>1.77</v>
      </c>
      <c r="V71" s="27">
        <v>40200</v>
      </c>
      <c r="W71" s="27">
        <v>22675</v>
      </c>
      <c r="X71" s="29">
        <v>1.85</v>
      </c>
      <c r="Y71" s="27">
        <v>36558</v>
      </c>
      <c r="Z71" s="27">
        <v>19742</v>
      </c>
      <c r="AA71" s="29">
        <v>2.02</v>
      </c>
      <c r="AB71" s="27">
        <v>30018</v>
      </c>
      <c r="AC71" s="27">
        <v>14840</v>
      </c>
    </row>
    <row r="72" spans="1:29" ht="10.5" customHeight="1" x14ac:dyDescent="0.15">
      <c r="A72" s="30" t="s">
        <v>67</v>
      </c>
      <c r="B72" s="30">
        <v>3</v>
      </c>
      <c r="C72" s="31">
        <v>1009691.413846</v>
      </c>
      <c r="D72" s="31">
        <v>2592042</v>
      </c>
      <c r="E72" s="31">
        <v>2592042</v>
      </c>
      <c r="F72" s="31">
        <v>2592042</v>
      </c>
      <c r="G72" s="31">
        <v>12621142.673075</v>
      </c>
      <c r="H72" s="32">
        <v>0.20537300521367799</v>
      </c>
      <c r="I72" s="32">
        <v>0.20537300521367799</v>
      </c>
      <c r="J72" s="32">
        <v>0.20537300521367799</v>
      </c>
      <c r="K72" s="32">
        <v>2.0000000000000002E-5</v>
      </c>
      <c r="L72" s="56">
        <f>Tabelle1[[#This Row],[Spalte12]]-Tabelle1[[#This Row],[Spalte11]]</f>
        <v>7.8E-2</v>
      </c>
      <c r="M72" s="32">
        <v>7.8020000000000006E-2</v>
      </c>
      <c r="N72" s="32">
        <v>9.6019999999999994E-2</v>
      </c>
      <c r="O72" s="32">
        <v>0.12002</v>
      </c>
      <c r="P72" s="32">
        <v>5.8564999999999999E-2</v>
      </c>
      <c r="Q72" s="31">
        <v>44259092.310666002</v>
      </c>
      <c r="R72" s="33">
        <v>1.7337589549671399</v>
      </c>
      <c r="S72" s="34">
        <v>21021994.907356702</v>
      </c>
      <c r="T72" s="34">
        <v>12125096.6561007</v>
      </c>
      <c r="U72" s="33">
        <v>1.6754538080072401</v>
      </c>
      <c r="V72" s="34">
        <v>21305996.845164701</v>
      </c>
      <c r="W72" s="34">
        <v>12716552.818908</v>
      </c>
      <c r="X72" s="33">
        <v>1.6081490534690199</v>
      </c>
      <c r="Y72" s="34">
        <v>19648669.6807843</v>
      </c>
      <c r="Z72" s="34">
        <v>12218189.376413301</v>
      </c>
      <c r="AA72" s="33">
        <v>1.54007874415371</v>
      </c>
      <c r="AB72" s="34">
        <v>18596055.018172</v>
      </c>
      <c r="AC72" s="34">
        <v>12074742.988801301</v>
      </c>
    </row>
    <row r="73" spans="1:29" ht="10.5" customHeight="1" x14ac:dyDescent="0.15">
      <c r="A73" s="26" t="s">
        <v>185</v>
      </c>
      <c r="B73" s="26">
        <v>5</v>
      </c>
      <c r="C73" s="27">
        <v>11642</v>
      </c>
      <c r="D73" s="27">
        <v>80224</v>
      </c>
      <c r="E73" s="27">
        <v>80224</v>
      </c>
      <c r="F73" s="27">
        <v>80224</v>
      </c>
      <c r="G73" s="27">
        <v>145522</v>
      </c>
      <c r="H73" s="28">
        <v>0.55100000000000005</v>
      </c>
      <c r="I73" s="28">
        <v>0.55100000000000005</v>
      </c>
      <c r="J73" s="28">
        <v>0.55100000000000005</v>
      </c>
      <c r="K73" s="28">
        <v>0</v>
      </c>
      <c r="L73" s="55">
        <f>Tabelle1[[#This Row],[Spalte12]]-Tabelle1[[#This Row],[Spalte11]]</f>
        <v>7.0000000000000007E-2</v>
      </c>
      <c r="M73" s="28">
        <v>7.0000000000000007E-2</v>
      </c>
      <c r="N73" s="28">
        <v>8.5000000000000006E-2</v>
      </c>
      <c r="O73" s="28">
        <v>0.105</v>
      </c>
      <c r="P73" s="28">
        <v>0.105</v>
      </c>
      <c r="Q73" s="27">
        <v>767019</v>
      </c>
      <c r="R73" s="29">
        <v>3.83</v>
      </c>
      <c r="S73" s="27">
        <v>95559</v>
      </c>
      <c r="T73" s="27">
        <v>24941</v>
      </c>
      <c r="U73" s="29">
        <v>4.72</v>
      </c>
      <c r="V73" s="27">
        <v>109526</v>
      </c>
      <c r="W73" s="27">
        <v>23186</v>
      </c>
      <c r="X73" s="29">
        <v>3.98</v>
      </c>
      <c r="Y73" s="27">
        <v>91895</v>
      </c>
      <c r="Z73" s="27">
        <v>23103</v>
      </c>
      <c r="AA73" s="29">
        <v>2.72</v>
      </c>
      <c r="AB73" s="27">
        <v>66648</v>
      </c>
      <c r="AC73" s="27">
        <v>24519</v>
      </c>
    </row>
    <row r="74" spans="1:29" ht="10.5" customHeight="1" x14ac:dyDescent="0.15">
      <c r="A74" s="30" t="s">
        <v>91</v>
      </c>
      <c r="B74" s="30">
        <v>5</v>
      </c>
      <c r="C74" s="31">
        <v>7677</v>
      </c>
      <c r="D74" s="31">
        <v>56264</v>
      </c>
      <c r="E74" s="31">
        <v>53685</v>
      </c>
      <c r="F74" s="31">
        <v>53685</v>
      </c>
      <c r="G74" s="31">
        <v>95964</v>
      </c>
      <c r="H74" s="32">
        <v>0.55900000000000005</v>
      </c>
      <c r="I74" s="32">
        <v>0.55900000000000005</v>
      </c>
      <c r="J74" s="32">
        <v>0.58599999999999997</v>
      </c>
      <c r="K74" s="32">
        <v>4.0000000000000001E-3</v>
      </c>
      <c r="L74" s="56">
        <f>Tabelle1[[#This Row],[Spalte12]]-Tabelle1[[#This Row],[Spalte11]]</f>
        <v>6.9999999999999993E-2</v>
      </c>
      <c r="M74" s="32">
        <v>7.3999999999999996E-2</v>
      </c>
      <c r="N74" s="32">
        <v>8.8999999999999996E-2</v>
      </c>
      <c r="O74" s="32">
        <v>0.109</v>
      </c>
      <c r="P74" s="32">
        <v>0.19700000000000001</v>
      </c>
      <c r="Q74" s="31">
        <v>272165</v>
      </c>
      <c r="R74" s="33">
        <v>1.44</v>
      </c>
      <c r="S74" s="34">
        <v>38313</v>
      </c>
      <c r="T74" s="34">
        <v>26696</v>
      </c>
      <c r="U74" s="33">
        <v>1.33</v>
      </c>
      <c r="V74" s="34">
        <v>37015</v>
      </c>
      <c r="W74" s="34">
        <v>27761</v>
      </c>
      <c r="X74" s="33">
        <v>1.42</v>
      </c>
      <c r="Y74" s="34">
        <v>38328</v>
      </c>
      <c r="Z74" s="34">
        <v>27076</v>
      </c>
      <c r="AA74" s="33">
        <v>1.46</v>
      </c>
      <c r="AB74" s="34">
        <v>36344</v>
      </c>
      <c r="AC74" s="34">
        <v>24943</v>
      </c>
    </row>
    <row r="75" spans="1:29" ht="10.5" customHeight="1" x14ac:dyDescent="0.15">
      <c r="A75" s="26" t="s">
        <v>141</v>
      </c>
      <c r="B75" s="26">
        <v>4</v>
      </c>
      <c r="C75" s="27">
        <v>64192</v>
      </c>
      <c r="D75" s="27">
        <v>166578</v>
      </c>
      <c r="E75" s="27">
        <v>166578</v>
      </c>
      <c r="F75" s="27">
        <v>166578</v>
      </c>
      <c r="G75" s="27">
        <v>802398</v>
      </c>
      <c r="H75" s="28">
        <v>0.20799999999999999</v>
      </c>
      <c r="I75" s="28">
        <v>0.20799999999999999</v>
      </c>
      <c r="J75" s="28">
        <v>0.20799999999999999</v>
      </c>
      <c r="K75" s="28">
        <v>0</v>
      </c>
      <c r="L75" s="55">
        <f>Tabelle1[[#This Row],[Spalte12]]-Tabelle1[[#This Row],[Spalte11]]</f>
        <v>7.3999999999999996E-2</v>
      </c>
      <c r="M75" s="28">
        <v>7.3999999999999996E-2</v>
      </c>
      <c r="N75" s="28">
        <v>0.09</v>
      </c>
      <c r="O75" s="28">
        <v>0.112</v>
      </c>
      <c r="P75" s="28">
        <v>7.4999999999999997E-2</v>
      </c>
      <c r="Q75" s="27">
        <v>2218382</v>
      </c>
      <c r="R75" s="29">
        <v>1.73</v>
      </c>
      <c r="S75" s="27">
        <v>1003199</v>
      </c>
      <c r="T75" s="27">
        <v>581179</v>
      </c>
      <c r="U75" s="29">
        <v>1.72</v>
      </c>
      <c r="V75" s="27">
        <v>1007330</v>
      </c>
      <c r="W75" s="27">
        <v>586277</v>
      </c>
      <c r="X75" s="29">
        <v>1.64</v>
      </c>
      <c r="Y75" s="27">
        <v>866803</v>
      </c>
      <c r="Z75" s="27">
        <v>529169</v>
      </c>
      <c r="AA75" s="29">
        <v>1.48</v>
      </c>
      <c r="AB75" s="27">
        <v>704031</v>
      </c>
      <c r="AC75" s="27">
        <v>477261</v>
      </c>
    </row>
    <row r="76" spans="1:29" ht="10.5" customHeight="1" x14ac:dyDescent="0.15">
      <c r="A76" s="30" t="s">
        <v>100</v>
      </c>
      <c r="B76" s="30">
        <v>5</v>
      </c>
      <c r="C76" s="31">
        <v>13997</v>
      </c>
      <c r="D76" s="31">
        <v>68335</v>
      </c>
      <c r="E76" s="31">
        <v>38579</v>
      </c>
      <c r="F76" s="31">
        <v>38579</v>
      </c>
      <c r="G76" s="31">
        <v>174961</v>
      </c>
      <c r="H76" s="32">
        <v>0.22</v>
      </c>
      <c r="I76" s="32">
        <v>0.22</v>
      </c>
      <c r="J76" s="32">
        <v>0.39100000000000001</v>
      </c>
      <c r="K76" s="32">
        <v>0</v>
      </c>
      <c r="L76" s="56">
        <f>Tabelle1[[#This Row],[Spalte12]]-Tabelle1[[#This Row],[Spalte11]]</f>
        <v>7.0000000000000007E-2</v>
      </c>
      <c r="M76" s="32">
        <v>7.0000000000000007E-2</v>
      </c>
      <c r="N76" s="32">
        <v>8.5000000000000006E-2</v>
      </c>
      <c r="O76" s="32">
        <v>0.105</v>
      </c>
      <c r="P76" s="32">
        <v>7.8E-2</v>
      </c>
      <c r="Q76" s="31">
        <v>492008</v>
      </c>
      <c r="R76" s="33">
        <v>1.93</v>
      </c>
      <c r="S76" s="34">
        <v>97410</v>
      </c>
      <c r="T76" s="34">
        <v>50434</v>
      </c>
      <c r="U76" s="33">
        <v>1.6</v>
      </c>
      <c r="V76" s="34">
        <v>98847</v>
      </c>
      <c r="W76" s="34">
        <v>61711</v>
      </c>
      <c r="X76" s="33">
        <v>2.21</v>
      </c>
      <c r="Y76" s="34">
        <v>104285</v>
      </c>
      <c r="Z76" s="34">
        <v>47097</v>
      </c>
      <c r="AA76" s="33">
        <v>2.14</v>
      </c>
      <c r="AB76" s="34">
        <v>114516</v>
      </c>
      <c r="AC76" s="34">
        <v>53454</v>
      </c>
    </row>
    <row r="77" spans="1:29" ht="10.5" customHeight="1" x14ac:dyDescent="0.15">
      <c r="A77" s="26" t="s">
        <v>146</v>
      </c>
      <c r="B77" s="26">
        <v>5</v>
      </c>
      <c r="C77" s="36" t="s">
        <v>293</v>
      </c>
      <c r="D77" s="36" t="s">
        <v>293</v>
      </c>
      <c r="E77" s="36" t="s">
        <v>293</v>
      </c>
      <c r="F77" s="36" t="s">
        <v>293</v>
      </c>
      <c r="G77" s="36" t="s">
        <v>293</v>
      </c>
      <c r="H77" s="41" t="s">
        <v>293</v>
      </c>
      <c r="I77" s="41" t="s">
        <v>293</v>
      </c>
      <c r="J77" s="41" t="s">
        <v>293</v>
      </c>
      <c r="K77" s="41" t="s">
        <v>293</v>
      </c>
      <c r="L77" s="57" t="e">
        <f>Tabelle1[[#This Row],[Spalte12]]-Tabelle1[[#This Row],[Spalte11]]</f>
        <v>#VALUE!</v>
      </c>
      <c r="M77" s="41" t="s">
        <v>293</v>
      </c>
      <c r="N77" s="41" t="s">
        <v>293</v>
      </c>
      <c r="O77" s="41" t="s">
        <v>293</v>
      </c>
      <c r="P77" s="41" t="s">
        <v>293</v>
      </c>
      <c r="Q77" s="36" t="s">
        <v>293</v>
      </c>
      <c r="R77" s="39" t="s">
        <v>293</v>
      </c>
      <c r="S77" s="40" t="s">
        <v>293</v>
      </c>
      <c r="T77" s="40" t="s">
        <v>293</v>
      </c>
      <c r="U77" s="39" t="s">
        <v>293</v>
      </c>
      <c r="V77" s="40" t="s">
        <v>293</v>
      </c>
      <c r="W77" s="40" t="s">
        <v>293</v>
      </c>
      <c r="X77" s="39" t="s">
        <v>293</v>
      </c>
      <c r="Y77" s="40" t="s">
        <v>293</v>
      </c>
      <c r="Z77" s="40" t="s">
        <v>293</v>
      </c>
      <c r="AA77" s="39" t="s">
        <v>293</v>
      </c>
      <c r="AB77" s="40" t="s">
        <v>293</v>
      </c>
      <c r="AC77" s="40" t="s">
        <v>293</v>
      </c>
    </row>
    <row r="78" spans="1:29" ht="10.5" customHeight="1" x14ac:dyDescent="0.15">
      <c r="A78" s="30" t="s">
        <v>116</v>
      </c>
      <c r="B78" s="30">
        <v>4</v>
      </c>
      <c r="C78" s="31">
        <v>70518</v>
      </c>
      <c r="D78" s="31">
        <v>162317</v>
      </c>
      <c r="E78" s="31">
        <v>112317</v>
      </c>
      <c r="F78" s="31">
        <v>162317</v>
      </c>
      <c r="G78" s="31">
        <v>881471</v>
      </c>
      <c r="H78" s="32">
        <v>0.127</v>
      </c>
      <c r="I78" s="32">
        <v>0.184</v>
      </c>
      <c r="J78" s="32">
        <v>0.184</v>
      </c>
      <c r="K78" s="32">
        <v>1E-3</v>
      </c>
      <c r="L78" s="56">
        <f>Tabelle1[[#This Row],[Spalte12]]-Tabelle1[[#This Row],[Spalte11]]</f>
        <v>7.3999999999999996E-2</v>
      </c>
      <c r="M78" s="32">
        <v>7.4999999999999997E-2</v>
      </c>
      <c r="N78" s="32">
        <v>9.0999999999999998E-2</v>
      </c>
      <c r="O78" s="32">
        <v>0.113</v>
      </c>
      <c r="P78" s="32">
        <v>4.4999999999999998E-2</v>
      </c>
      <c r="Q78" s="31">
        <v>3601757</v>
      </c>
      <c r="R78" s="33">
        <v>1.54</v>
      </c>
      <c r="S78" s="34">
        <v>761775</v>
      </c>
      <c r="T78" s="34">
        <v>494136</v>
      </c>
      <c r="U78" s="33">
        <v>1.83</v>
      </c>
      <c r="V78" s="34">
        <v>844067</v>
      </c>
      <c r="W78" s="34">
        <v>461106</v>
      </c>
      <c r="X78" s="33">
        <v>1.51</v>
      </c>
      <c r="Y78" s="34">
        <v>681973</v>
      </c>
      <c r="Z78" s="34">
        <v>452553</v>
      </c>
      <c r="AA78" s="33">
        <v>1.77</v>
      </c>
      <c r="AB78" s="34">
        <v>574895</v>
      </c>
      <c r="AC78" s="34">
        <v>324978</v>
      </c>
    </row>
    <row r="79" spans="1:29" ht="10.5" customHeight="1" x14ac:dyDescent="0.15">
      <c r="A79" s="26" t="s">
        <v>16</v>
      </c>
      <c r="B79" s="26">
        <v>3</v>
      </c>
      <c r="C79" s="27">
        <v>953848</v>
      </c>
      <c r="D79" s="27">
        <v>2430904</v>
      </c>
      <c r="E79" s="27">
        <v>2430904</v>
      </c>
      <c r="F79" s="27">
        <v>2430904</v>
      </c>
      <c r="G79" s="27">
        <v>11923101</v>
      </c>
      <c r="H79" s="28">
        <v>0.20399999999999999</v>
      </c>
      <c r="I79" s="28">
        <v>0.20399999999999999</v>
      </c>
      <c r="J79" s="28">
        <v>0.20399999999999999</v>
      </c>
      <c r="K79" s="28">
        <v>1.0999999999999999E-2</v>
      </c>
      <c r="L79" s="55">
        <f>Tabelle1[[#This Row],[Spalte12]]-Tabelle1[[#This Row],[Spalte11]]</f>
        <v>7.8E-2</v>
      </c>
      <c r="M79" s="28">
        <v>8.8999999999999996E-2</v>
      </c>
      <c r="N79" s="28">
        <v>0.107</v>
      </c>
      <c r="O79" s="28">
        <v>0.13100000000000001</v>
      </c>
      <c r="P79" s="28">
        <v>8.6999999999999994E-2</v>
      </c>
      <c r="Q79" s="27">
        <v>27928373</v>
      </c>
      <c r="R79" s="29">
        <v>1.17</v>
      </c>
      <c r="S79" s="27">
        <v>3753343</v>
      </c>
      <c r="T79" s="27">
        <v>3197432</v>
      </c>
      <c r="U79" s="29">
        <v>1.1399999999999999</v>
      </c>
      <c r="V79" s="27">
        <v>3691291</v>
      </c>
      <c r="W79" s="27">
        <v>3246017</v>
      </c>
      <c r="X79" s="29">
        <v>1.19</v>
      </c>
      <c r="Y79" s="27">
        <v>3899938</v>
      </c>
      <c r="Z79" s="27">
        <v>3279171</v>
      </c>
      <c r="AA79" s="29">
        <v>1.1499999999999999</v>
      </c>
      <c r="AB79" s="27">
        <v>3989033</v>
      </c>
      <c r="AC79" s="27">
        <v>3462752</v>
      </c>
    </row>
    <row r="80" spans="1:29" ht="10.5" customHeight="1" x14ac:dyDescent="0.15">
      <c r="A80" s="30" t="s">
        <v>12</v>
      </c>
      <c r="B80" s="30">
        <v>3</v>
      </c>
      <c r="C80" s="31">
        <v>1804294</v>
      </c>
      <c r="D80" s="31">
        <v>3922069</v>
      </c>
      <c r="E80" s="31">
        <v>3850906</v>
      </c>
      <c r="F80" s="31">
        <v>3920429</v>
      </c>
      <c r="G80" s="31">
        <v>22553673</v>
      </c>
      <c r="H80" s="32">
        <v>0.17100000000000001</v>
      </c>
      <c r="I80" s="32">
        <v>0.17399999999999999</v>
      </c>
      <c r="J80" s="32">
        <v>0.17399999999999999</v>
      </c>
      <c r="K80" s="32">
        <v>8.0000000000000002E-3</v>
      </c>
      <c r="L80" s="56">
        <f>Tabelle1[[#This Row],[Spalte12]]-Tabelle1[[#This Row],[Spalte11]]</f>
        <v>7.7999999999999986E-2</v>
      </c>
      <c r="M80" s="32">
        <v>8.5999999999999993E-2</v>
      </c>
      <c r="N80" s="32">
        <v>0.104</v>
      </c>
      <c r="O80" s="32">
        <v>0.128</v>
      </c>
      <c r="P80" s="32">
        <v>7.9000000000000001E-2</v>
      </c>
      <c r="Q80" s="31">
        <v>49480400</v>
      </c>
      <c r="R80" s="33">
        <v>1.37</v>
      </c>
      <c r="S80" s="34">
        <v>7384605</v>
      </c>
      <c r="T80" s="34">
        <v>5387465</v>
      </c>
      <c r="U80" s="33">
        <v>1.39</v>
      </c>
      <c r="V80" s="34">
        <v>7880495</v>
      </c>
      <c r="W80" s="34">
        <v>5681136</v>
      </c>
      <c r="X80" s="33">
        <v>1.59</v>
      </c>
      <c r="Y80" s="34">
        <v>8757689</v>
      </c>
      <c r="Z80" s="34">
        <v>5515731</v>
      </c>
      <c r="AA80" s="33">
        <v>1.37</v>
      </c>
      <c r="AB80" s="34">
        <v>7128556</v>
      </c>
      <c r="AC80" s="34">
        <v>5219071</v>
      </c>
    </row>
    <row r="81" spans="1:30" ht="10.5" customHeight="1" x14ac:dyDescent="0.15">
      <c r="A81" s="26" t="s">
        <v>42</v>
      </c>
      <c r="B81" s="26">
        <v>5</v>
      </c>
      <c r="C81" s="36" t="s">
        <v>293</v>
      </c>
      <c r="D81" s="36" t="s">
        <v>293</v>
      </c>
      <c r="E81" s="36" t="s">
        <v>293</v>
      </c>
      <c r="F81" s="36" t="s">
        <v>293</v>
      </c>
      <c r="G81" s="36" t="s">
        <v>293</v>
      </c>
      <c r="H81" s="41" t="s">
        <v>293</v>
      </c>
      <c r="I81" s="41" t="s">
        <v>293</v>
      </c>
      <c r="J81" s="41" t="s">
        <v>293</v>
      </c>
      <c r="K81" s="41" t="s">
        <v>293</v>
      </c>
      <c r="L81" s="57" t="e">
        <f>Tabelle1[[#This Row],[Spalte12]]-Tabelle1[[#This Row],[Spalte11]]</f>
        <v>#VALUE!</v>
      </c>
      <c r="M81" s="41" t="s">
        <v>293</v>
      </c>
      <c r="N81" s="41" t="s">
        <v>293</v>
      </c>
      <c r="O81" s="41" t="s">
        <v>293</v>
      </c>
      <c r="P81" s="41" t="s">
        <v>293</v>
      </c>
      <c r="Q81" s="36" t="s">
        <v>293</v>
      </c>
      <c r="R81" s="39" t="s">
        <v>293</v>
      </c>
      <c r="S81" s="40" t="s">
        <v>293</v>
      </c>
      <c r="T81" s="40" t="s">
        <v>293</v>
      </c>
      <c r="U81" s="39" t="s">
        <v>293</v>
      </c>
      <c r="V81" s="40" t="s">
        <v>293</v>
      </c>
      <c r="W81" s="40" t="s">
        <v>293</v>
      </c>
      <c r="X81" s="39" t="s">
        <v>293</v>
      </c>
      <c r="Y81" s="40" t="s">
        <v>293</v>
      </c>
      <c r="Z81" s="40" t="s">
        <v>293</v>
      </c>
      <c r="AA81" s="39" t="s">
        <v>293</v>
      </c>
      <c r="AB81" s="40" t="s">
        <v>293</v>
      </c>
      <c r="AC81" s="40" t="s">
        <v>293</v>
      </c>
    </row>
    <row r="82" spans="1:30" ht="10.5" customHeight="1" x14ac:dyDescent="0.15">
      <c r="A82" s="30" t="s">
        <v>232</v>
      </c>
      <c r="B82" s="30">
        <v>5</v>
      </c>
      <c r="C82" s="31">
        <v>19371</v>
      </c>
      <c r="D82" s="31">
        <v>124112</v>
      </c>
      <c r="E82" s="31">
        <v>124082</v>
      </c>
      <c r="F82" s="31">
        <v>124082</v>
      </c>
      <c r="G82" s="31">
        <v>242137</v>
      </c>
      <c r="H82" s="32">
        <v>0.51200000000000001</v>
      </c>
      <c r="I82" s="32">
        <v>0.51200000000000001</v>
      </c>
      <c r="J82" s="32">
        <v>0.51300000000000001</v>
      </c>
      <c r="K82" s="32">
        <v>0</v>
      </c>
      <c r="L82" s="56">
        <f>Tabelle1[[#This Row],[Spalte12]]-Tabelle1[[#This Row],[Spalte11]]</f>
        <v>7.0000000000000007E-2</v>
      </c>
      <c r="M82" s="32">
        <v>7.0000000000000007E-2</v>
      </c>
      <c r="N82" s="32">
        <v>8.5000000000000006E-2</v>
      </c>
      <c r="O82" s="32">
        <v>0.105</v>
      </c>
      <c r="P82" s="32">
        <v>0.13600000000000001</v>
      </c>
      <c r="Q82" s="31">
        <v>911687</v>
      </c>
      <c r="R82" s="33">
        <v>1.38</v>
      </c>
      <c r="S82" s="34">
        <v>186443</v>
      </c>
      <c r="T82" s="34">
        <v>135366</v>
      </c>
      <c r="U82" s="33">
        <v>2.63</v>
      </c>
      <c r="V82" s="34">
        <v>144557</v>
      </c>
      <c r="W82" s="34">
        <v>54893</v>
      </c>
      <c r="X82" s="33">
        <v>3.92</v>
      </c>
      <c r="Y82" s="34">
        <v>210642</v>
      </c>
      <c r="Z82" s="34">
        <v>53757</v>
      </c>
      <c r="AA82" s="33">
        <v>2.2200000000000002</v>
      </c>
      <c r="AB82" s="34">
        <v>245493</v>
      </c>
      <c r="AC82" s="34">
        <v>110806</v>
      </c>
    </row>
    <row r="83" spans="1:30" ht="10.5" customHeight="1" x14ac:dyDescent="0.15">
      <c r="A83" s="26" t="s">
        <v>172</v>
      </c>
      <c r="B83" s="26">
        <v>5</v>
      </c>
      <c r="C83" s="27">
        <v>35671</v>
      </c>
      <c r="D83" s="27">
        <v>74398</v>
      </c>
      <c r="E83" s="27">
        <v>74398</v>
      </c>
      <c r="F83" s="27">
        <v>74398</v>
      </c>
      <c r="G83" s="27">
        <v>445888</v>
      </c>
      <c r="H83" s="28">
        <v>0.16700000000000001</v>
      </c>
      <c r="I83" s="28">
        <v>0.16700000000000001</v>
      </c>
      <c r="J83" s="28">
        <v>0.16700000000000001</v>
      </c>
      <c r="K83" s="28">
        <v>0</v>
      </c>
      <c r="L83" s="55">
        <f>Tabelle1[[#This Row],[Spalte12]]-Tabelle1[[#This Row],[Spalte11]]</f>
        <v>7.0000000000000007E-2</v>
      </c>
      <c r="M83" s="28">
        <v>7.0000000000000007E-2</v>
      </c>
      <c r="N83" s="28">
        <v>8.5000000000000006E-2</v>
      </c>
      <c r="O83" s="28">
        <v>0.105</v>
      </c>
      <c r="P83" s="28">
        <v>0.191</v>
      </c>
      <c r="Q83" s="27">
        <v>390013</v>
      </c>
      <c r="R83" s="29">
        <v>2.21</v>
      </c>
      <c r="S83" s="27">
        <v>125674</v>
      </c>
      <c r="T83" s="27">
        <v>56925</v>
      </c>
      <c r="U83" s="29">
        <v>2.78</v>
      </c>
      <c r="V83" s="27">
        <v>88558</v>
      </c>
      <c r="W83" s="27">
        <v>31807</v>
      </c>
      <c r="X83" s="29">
        <v>6.19</v>
      </c>
      <c r="Y83" s="27">
        <v>125125</v>
      </c>
      <c r="Z83" s="27">
        <v>20221</v>
      </c>
      <c r="AA83" s="29">
        <v>5.46</v>
      </c>
      <c r="AB83" s="27">
        <v>101003</v>
      </c>
      <c r="AC83" s="27">
        <v>18506</v>
      </c>
    </row>
    <row r="84" spans="1:30" ht="10.5" customHeight="1" x14ac:dyDescent="0.15">
      <c r="A84" s="30" t="s">
        <v>142</v>
      </c>
      <c r="B84" s="30">
        <v>5</v>
      </c>
      <c r="C84" s="31">
        <v>10729</v>
      </c>
      <c r="D84" s="31">
        <v>32304</v>
      </c>
      <c r="E84" s="31">
        <v>32304</v>
      </c>
      <c r="F84" s="31">
        <v>32304</v>
      </c>
      <c r="G84" s="31">
        <v>134113</v>
      </c>
      <c r="H84" s="32">
        <v>0.24099999999999999</v>
      </c>
      <c r="I84" s="32">
        <v>0.24099999999999999</v>
      </c>
      <c r="J84" s="32">
        <v>0.24099999999999999</v>
      </c>
      <c r="K84" s="32">
        <v>0</v>
      </c>
      <c r="L84" s="56">
        <f>Tabelle1[[#This Row],[Spalte12]]-Tabelle1[[#This Row],[Spalte11]]</f>
        <v>7.0000000000000007E-2</v>
      </c>
      <c r="M84" s="32">
        <v>7.0000000000000007E-2</v>
      </c>
      <c r="N84" s="32">
        <v>8.5000000000000006E-2</v>
      </c>
      <c r="O84" s="32">
        <v>0.105</v>
      </c>
      <c r="P84" s="32">
        <v>5.5E-2</v>
      </c>
      <c r="Q84" s="31">
        <v>586397</v>
      </c>
      <c r="R84" s="33">
        <v>2.25</v>
      </c>
      <c r="S84" s="34">
        <v>132421</v>
      </c>
      <c r="T84" s="34">
        <v>58817</v>
      </c>
      <c r="U84" s="33">
        <v>2.67</v>
      </c>
      <c r="V84" s="34">
        <v>153122</v>
      </c>
      <c r="W84" s="34">
        <v>57386</v>
      </c>
      <c r="X84" s="33">
        <v>2.4900000000000002</v>
      </c>
      <c r="Y84" s="34">
        <v>134299</v>
      </c>
      <c r="Z84" s="34">
        <v>53882</v>
      </c>
      <c r="AA84" s="33">
        <v>1.56</v>
      </c>
      <c r="AB84" s="34">
        <v>101968</v>
      </c>
      <c r="AC84" s="34">
        <v>65508</v>
      </c>
    </row>
    <row r="85" spans="1:30" ht="10.5" customHeight="1" x14ac:dyDescent="0.15">
      <c r="A85" s="26" t="s">
        <v>34</v>
      </c>
      <c r="B85" s="26">
        <v>3</v>
      </c>
      <c r="C85" s="27">
        <v>1044628</v>
      </c>
      <c r="D85" s="27">
        <v>2540534</v>
      </c>
      <c r="E85" s="27">
        <v>2540534</v>
      </c>
      <c r="F85" s="27">
        <v>2540534</v>
      </c>
      <c r="G85" s="27">
        <v>13057846</v>
      </c>
      <c r="H85" s="28">
        <v>0.19500000000000001</v>
      </c>
      <c r="I85" s="28">
        <v>0.19500000000000001</v>
      </c>
      <c r="J85" s="28">
        <v>0.19500000000000001</v>
      </c>
      <c r="K85" s="28">
        <v>1.0999999999999999E-2</v>
      </c>
      <c r="L85" s="55">
        <f>Tabelle1[[#This Row],[Spalte12]]-Tabelle1[[#This Row],[Spalte11]]</f>
        <v>7.8E-2</v>
      </c>
      <c r="M85" s="28">
        <v>8.8999999999999996E-2</v>
      </c>
      <c r="N85" s="28">
        <v>0.107</v>
      </c>
      <c r="O85" s="28">
        <v>0.13100000000000001</v>
      </c>
      <c r="P85" s="28">
        <v>7.4999999999999997E-2</v>
      </c>
      <c r="Q85" s="27">
        <v>33964919</v>
      </c>
      <c r="R85" s="29">
        <v>1.46</v>
      </c>
      <c r="S85" s="27">
        <v>4413633</v>
      </c>
      <c r="T85" s="27">
        <v>3027205</v>
      </c>
      <c r="U85" s="29">
        <v>1.42</v>
      </c>
      <c r="V85" s="27">
        <v>4168117</v>
      </c>
      <c r="W85" s="27">
        <v>2944549</v>
      </c>
      <c r="X85" s="29">
        <v>1.28</v>
      </c>
      <c r="Y85" s="27">
        <v>3860427</v>
      </c>
      <c r="Z85" s="27">
        <v>3013181</v>
      </c>
      <c r="AA85" s="29">
        <v>1.39</v>
      </c>
      <c r="AB85" s="27">
        <v>4605038</v>
      </c>
      <c r="AC85" s="27">
        <v>3310634</v>
      </c>
    </row>
    <row r="86" spans="1:30" ht="10.5" customHeight="1" x14ac:dyDescent="0.15">
      <c r="A86" s="30" t="s">
        <v>52</v>
      </c>
      <c r="B86" s="30">
        <v>4</v>
      </c>
      <c r="C86" s="31">
        <v>57793</v>
      </c>
      <c r="D86" s="31">
        <v>144610</v>
      </c>
      <c r="E86" s="31">
        <v>139187</v>
      </c>
      <c r="F86" s="31">
        <v>139187</v>
      </c>
      <c r="G86" s="31">
        <v>722411</v>
      </c>
      <c r="H86" s="32">
        <v>0.193</v>
      </c>
      <c r="I86" s="32">
        <v>0.193</v>
      </c>
      <c r="J86" s="32">
        <v>0.2</v>
      </c>
      <c r="K86" s="32">
        <v>1.0999999999999999E-2</v>
      </c>
      <c r="L86" s="56">
        <f>Tabelle1[[#This Row],[Spalte12]]-Tabelle1[[#This Row],[Spalte11]]</f>
        <v>7.400000000000001E-2</v>
      </c>
      <c r="M86" s="32">
        <v>8.5000000000000006E-2</v>
      </c>
      <c r="N86" s="32">
        <v>0.10100000000000001</v>
      </c>
      <c r="O86" s="32">
        <v>0.123</v>
      </c>
      <c r="P86" s="32">
        <v>8.6999999999999994E-2</v>
      </c>
      <c r="Q86" s="31">
        <v>1603245</v>
      </c>
      <c r="R86" s="33">
        <v>1.39</v>
      </c>
      <c r="S86" s="34">
        <v>161813</v>
      </c>
      <c r="T86" s="34">
        <v>116272</v>
      </c>
      <c r="U86" s="33">
        <v>1.49</v>
      </c>
      <c r="V86" s="34">
        <v>159642</v>
      </c>
      <c r="W86" s="34">
        <v>107128</v>
      </c>
      <c r="X86" s="33">
        <v>1.46</v>
      </c>
      <c r="Y86" s="34">
        <v>167933</v>
      </c>
      <c r="Z86" s="34">
        <v>115005</v>
      </c>
      <c r="AA86" s="33">
        <v>1.33</v>
      </c>
      <c r="AB86" s="34">
        <v>174768</v>
      </c>
      <c r="AC86" s="34">
        <v>131011</v>
      </c>
    </row>
    <row r="87" spans="1:30" ht="10.5" customHeight="1" x14ac:dyDescent="0.15">
      <c r="A87" s="26" t="s">
        <v>8</v>
      </c>
      <c r="B87" s="26">
        <v>4</v>
      </c>
      <c r="C87" s="27">
        <v>54945</v>
      </c>
      <c r="D87" s="27">
        <v>118989</v>
      </c>
      <c r="E87" s="27">
        <v>86233</v>
      </c>
      <c r="F87" s="27">
        <v>86233</v>
      </c>
      <c r="G87" s="27">
        <v>686814</v>
      </c>
      <c r="H87" s="28">
        <v>0.126</v>
      </c>
      <c r="I87" s="28">
        <v>0.126</v>
      </c>
      <c r="J87" s="28">
        <v>0.17299999999999999</v>
      </c>
      <c r="K87" s="28">
        <v>1.2E-2</v>
      </c>
      <c r="L87" s="55">
        <f>Tabelle1[[#This Row],[Spalte12]]-Tabelle1[[#This Row],[Spalte11]]</f>
        <v>7.3999999999999996E-2</v>
      </c>
      <c r="M87" s="28">
        <v>8.5999999999999993E-2</v>
      </c>
      <c r="N87" s="28">
        <v>0.10199999999999999</v>
      </c>
      <c r="O87" s="28">
        <v>0.124</v>
      </c>
      <c r="P87" s="28">
        <v>7.9000000000000001E-2</v>
      </c>
      <c r="Q87" s="27">
        <v>1503419</v>
      </c>
      <c r="R87" s="29">
        <v>1.8</v>
      </c>
      <c r="S87" s="27">
        <v>94787</v>
      </c>
      <c r="T87" s="27">
        <v>52547</v>
      </c>
      <c r="U87" s="29">
        <v>1.84</v>
      </c>
      <c r="V87" s="27">
        <v>90897</v>
      </c>
      <c r="W87" s="27">
        <v>49515</v>
      </c>
      <c r="X87" s="29">
        <v>1.86</v>
      </c>
      <c r="Y87" s="27">
        <v>89753</v>
      </c>
      <c r="Z87" s="27">
        <v>48173</v>
      </c>
      <c r="AA87" s="29">
        <v>2.4300000000000002</v>
      </c>
      <c r="AB87" s="27">
        <v>116706</v>
      </c>
      <c r="AC87" s="27">
        <v>48090</v>
      </c>
    </row>
    <row r="88" spans="1:30" ht="10.5" customHeight="1" x14ac:dyDescent="0.15">
      <c r="A88" s="30" t="s">
        <v>79</v>
      </c>
      <c r="B88" s="30">
        <v>5</v>
      </c>
      <c r="C88" s="31">
        <v>13213</v>
      </c>
      <c r="D88" s="31">
        <v>107722</v>
      </c>
      <c r="E88" s="31">
        <v>107386</v>
      </c>
      <c r="F88" s="31">
        <v>107386</v>
      </c>
      <c r="G88" s="31">
        <v>165162</v>
      </c>
      <c r="H88" s="32">
        <v>0.65</v>
      </c>
      <c r="I88" s="32">
        <v>0.65</v>
      </c>
      <c r="J88" s="32">
        <v>0.65200000000000002</v>
      </c>
      <c r="K88" s="32">
        <v>0</v>
      </c>
      <c r="L88" s="56">
        <f>Tabelle1[[#This Row],[Spalte12]]-Tabelle1[[#This Row],[Spalte11]]</f>
        <v>7.0000000000000007E-2</v>
      </c>
      <c r="M88" s="32">
        <v>7.0000000000000007E-2</v>
      </c>
      <c r="N88" s="32">
        <v>8.5000000000000006E-2</v>
      </c>
      <c r="O88" s="32">
        <v>0.105</v>
      </c>
      <c r="P88" s="32">
        <v>0.21299999999999999</v>
      </c>
      <c r="Q88" s="31">
        <v>504004</v>
      </c>
      <c r="R88" s="33">
        <v>3.37</v>
      </c>
      <c r="S88" s="34">
        <v>363059</v>
      </c>
      <c r="T88" s="34">
        <v>107812</v>
      </c>
      <c r="U88" s="33">
        <v>2.4</v>
      </c>
      <c r="V88" s="34">
        <v>349945</v>
      </c>
      <c r="W88" s="34">
        <v>145569</v>
      </c>
      <c r="X88" s="33">
        <v>2.5299999999999998</v>
      </c>
      <c r="Y88" s="34">
        <v>327121</v>
      </c>
      <c r="Z88" s="34">
        <v>129317</v>
      </c>
      <c r="AA88" s="33">
        <v>3.94</v>
      </c>
      <c r="AB88" s="34">
        <v>270374</v>
      </c>
      <c r="AC88" s="34">
        <v>68632</v>
      </c>
      <c r="AD88" s="23"/>
    </row>
    <row r="89" spans="1:30" ht="10.5" customHeight="1" x14ac:dyDescent="0.15">
      <c r="A89" s="26" t="s">
        <v>158</v>
      </c>
      <c r="B89" s="26">
        <v>3</v>
      </c>
      <c r="C89" s="27">
        <v>750464</v>
      </c>
      <c r="D89" s="27">
        <v>1845371</v>
      </c>
      <c r="E89" s="27">
        <v>1845371</v>
      </c>
      <c r="F89" s="27">
        <v>1845371</v>
      </c>
      <c r="G89" s="27">
        <v>9380797</v>
      </c>
      <c r="H89" s="28">
        <v>0.19700000000000001</v>
      </c>
      <c r="I89" s="28">
        <v>0.19700000000000001</v>
      </c>
      <c r="J89" s="28">
        <v>0.19700000000000001</v>
      </c>
      <c r="K89" s="28">
        <v>0</v>
      </c>
      <c r="L89" s="55">
        <f>Tabelle1[[#This Row],[Spalte12]]-Tabelle1[[#This Row],[Spalte11]]</f>
        <v>7.8E-2</v>
      </c>
      <c r="M89" s="28">
        <v>7.8E-2</v>
      </c>
      <c r="N89" s="28">
        <v>9.6000000000000002E-2</v>
      </c>
      <c r="O89" s="28">
        <v>0.12</v>
      </c>
      <c r="P89" s="28">
        <v>7.6999999999999999E-2</v>
      </c>
      <c r="Q89" s="27">
        <v>23939906</v>
      </c>
      <c r="R89" s="29">
        <v>1.07</v>
      </c>
      <c r="S89" s="27">
        <v>8459316</v>
      </c>
      <c r="T89" s="27">
        <v>7938496</v>
      </c>
      <c r="U89" s="29">
        <v>1.1000000000000001</v>
      </c>
      <c r="V89" s="27">
        <v>8827364</v>
      </c>
      <c r="W89" s="27">
        <v>7997071</v>
      </c>
      <c r="X89" s="29">
        <v>1.0900000000000001</v>
      </c>
      <c r="Y89" s="27">
        <v>8741339</v>
      </c>
      <c r="Z89" s="27">
        <v>7991831</v>
      </c>
      <c r="AA89" s="29">
        <v>1.26</v>
      </c>
      <c r="AB89" s="27">
        <v>6699627</v>
      </c>
      <c r="AC89" s="27">
        <v>5314227</v>
      </c>
    </row>
    <row r="90" spans="1:30" ht="10.5" customHeight="1" x14ac:dyDescent="0.15">
      <c r="A90" s="30" t="s">
        <v>90</v>
      </c>
      <c r="B90" s="30">
        <v>5</v>
      </c>
      <c r="C90" s="35" t="s">
        <v>293</v>
      </c>
      <c r="D90" s="35" t="s">
        <v>293</v>
      </c>
      <c r="E90" s="35" t="s">
        <v>293</v>
      </c>
      <c r="F90" s="35" t="s">
        <v>293</v>
      </c>
      <c r="G90" s="35" t="s">
        <v>293</v>
      </c>
      <c r="H90" s="42" t="s">
        <v>293</v>
      </c>
      <c r="I90" s="42" t="s">
        <v>293</v>
      </c>
      <c r="J90" s="42" t="s">
        <v>293</v>
      </c>
      <c r="K90" s="42" t="s">
        <v>293</v>
      </c>
      <c r="L90" s="58" t="e">
        <f>Tabelle1[[#This Row],[Spalte12]]-Tabelle1[[#This Row],[Spalte11]]</f>
        <v>#VALUE!</v>
      </c>
      <c r="M90" s="42" t="s">
        <v>293</v>
      </c>
      <c r="N90" s="42" t="s">
        <v>293</v>
      </c>
      <c r="O90" s="42" t="s">
        <v>293</v>
      </c>
      <c r="P90" s="42" t="s">
        <v>293</v>
      </c>
      <c r="Q90" s="35" t="s">
        <v>293</v>
      </c>
      <c r="R90" s="37" t="s">
        <v>293</v>
      </c>
      <c r="S90" s="38" t="s">
        <v>293</v>
      </c>
      <c r="T90" s="38" t="s">
        <v>293</v>
      </c>
      <c r="U90" s="37" t="s">
        <v>293</v>
      </c>
      <c r="V90" s="38" t="s">
        <v>293</v>
      </c>
      <c r="W90" s="38" t="s">
        <v>293</v>
      </c>
      <c r="X90" s="37" t="s">
        <v>293</v>
      </c>
      <c r="Y90" s="38" t="s">
        <v>293</v>
      </c>
      <c r="Z90" s="38" t="s">
        <v>293</v>
      </c>
      <c r="AA90" s="37" t="s">
        <v>293</v>
      </c>
      <c r="AB90" s="38" t="s">
        <v>293</v>
      </c>
      <c r="AC90" s="38" t="s">
        <v>293</v>
      </c>
    </row>
    <row r="91" spans="1:30" ht="10.5" customHeight="1" x14ac:dyDescent="0.15">
      <c r="A91" s="26" t="s">
        <v>154</v>
      </c>
      <c r="B91" s="26">
        <v>5</v>
      </c>
      <c r="C91" s="36" t="s">
        <v>293</v>
      </c>
      <c r="D91" s="36" t="s">
        <v>293</v>
      </c>
      <c r="E91" s="36" t="s">
        <v>293</v>
      </c>
      <c r="F91" s="36" t="s">
        <v>293</v>
      </c>
      <c r="G91" s="36" t="s">
        <v>293</v>
      </c>
      <c r="H91" s="41" t="s">
        <v>293</v>
      </c>
      <c r="I91" s="41" t="s">
        <v>293</v>
      </c>
      <c r="J91" s="41" t="s">
        <v>293</v>
      </c>
      <c r="K91" s="41" t="s">
        <v>293</v>
      </c>
      <c r="L91" s="57" t="e">
        <f>Tabelle1[[#This Row],[Spalte12]]-Tabelle1[[#This Row],[Spalte11]]</f>
        <v>#VALUE!</v>
      </c>
      <c r="M91" s="41" t="s">
        <v>293</v>
      </c>
      <c r="N91" s="41" t="s">
        <v>293</v>
      </c>
      <c r="O91" s="41" t="s">
        <v>293</v>
      </c>
      <c r="P91" s="41" t="s">
        <v>293</v>
      </c>
      <c r="Q91" s="36" t="s">
        <v>293</v>
      </c>
      <c r="R91" s="39" t="s">
        <v>293</v>
      </c>
      <c r="S91" s="40" t="s">
        <v>293</v>
      </c>
      <c r="T91" s="40" t="s">
        <v>293</v>
      </c>
      <c r="U91" s="39" t="s">
        <v>293</v>
      </c>
      <c r="V91" s="40" t="s">
        <v>293</v>
      </c>
      <c r="W91" s="40" t="s">
        <v>293</v>
      </c>
      <c r="X91" s="39" t="s">
        <v>293</v>
      </c>
      <c r="Y91" s="40" t="s">
        <v>293</v>
      </c>
      <c r="Z91" s="40" t="s">
        <v>293</v>
      </c>
      <c r="AA91" s="39" t="s">
        <v>293</v>
      </c>
      <c r="AB91" s="40" t="s">
        <v>293</v>
      </c>
      <c r="AC91" s="40" t="s">
        <v>293</v>
      </c>
      <c r="AD91" s="23"/>
    </row>
    <row r="92" spans="1:30" ht="10.5" customHeight="1" x14ac:dyDescent="0.15">
      <c r="A92" s="30" t="s">
        <v>59</v>
      </c>
      <c r="B92" s="30">
        <v>5</v>
      </c>
      <c r="C92" s="31">
        <v>29812</v>
      </c>
      <c r="D92" s="31">
        <v>66328</v>
      </c>
      <c r="E92" s="31">
        <v>66328</v>
      </c>
      <c r="F92" s="31">
        <v>66328</v>
      </c>
      <c r="G92" s="31">
        <v>372653</v>
      </c>
      <c r="H92" s="32">
        <v>0.17799999999999999</v>
      </c>
      <c r="I92" s="32">
        <v>0.17799999999999999</v>
      </c>
      <c r="J92" s="32">
        <v>0.17799999999999999</v>
      </c>
      <c r="K92" s="32">
        <v>8.9999999999999993E-3</v>
      </c>
      <c r="L92" s="56">
        <f>Tabelle1[[#This Row],[Spalte12]]-Tabelle1[[#This Row],[Spalte11]]</f>
        <v>7.0000000000000007E-2</v>
      </c>
      <c r="M92" s="32">
        <v>7.9000000000000001E-2</v>
      </c>
      <c r="N92" s="32">
        <v>9.4E-2</v>
      </c>
      <c r="O92" s="32">
        <v>0.114</v>
      </c>
      <c r="P92" s="32">
        <v>0.104</v>
      </c>
      <c r="Q92" s="31">
        <v>638486</v>
      </c>
      <c r="R92" s="37" t="s">
        <v>294</v>
      </c>
      <c r="S92" s="38" t="s">
        <v>294</v>
      </c>
      <c r="T92" s="38" t="s">
        <v>294</v>
      </c>
      <c r="U92" s="37" t="s">
        <v>294</v>
      </c>
      <c r="V92" s="38" t="s">
        <v>294</v>
      </c>
      <c r="W92" s="38" t="s">
        <v>294</v>
      </c>
      <c r="X92" s="37" t="s">
        <v>294</v>
      </c>
      <c r="Y92" s="38" t="s">
        <v>294</v>
      </c>
      <c r="Z92" s="38" t="s">
        <v>294</v>
      </c>
      <c r="AA92" s="37" t="s">
        <v>294</v>
      </c>
      <c r="AB92" s="38" t="s">
        <v>294</v>
      </c>
      <c r="AC92" s="38" t="s">
        <v>294</v>
      </c>
      <c r="AD92" s="23"/>
    </row>
    <row r="93" spans="1:30" ht="10.5" customHeight="1" x14ac:dyDescent="0.15">
      <c r="A93" s="26" t="s">
        <v>233</v>
      </c>
      <c r="B93" s="26">
        <v>5</v>
      </c>
      <c r="C93" s="36" t="s">
        <v>293</v>
      </c>
      <c r="D93" s="36" t="s">
        <v>293</v>
      </c>
      <c r="E93" s="36" t="s">
        <v>293</v>
      </c>
      <c r="F93" s="36" t="s">
        <v>293</v>
      </c>
      <c r="G93" s="36" t="s">
        <v>293</v>
      </c>
      <c r="H93" s="41" t="s">
        <v>293</v>
      </c>
      <c r="I93" s="41" t="s">
        <v>293</v>
      </c>
      <c r="J93" s="41" t="s">
        <v>293</v>
      </c>
      <c r="K93" s="41" t="s">
        <v>293</v>
      </c>
      <c r="L93" s="57" t="e">
        <f>Tabelle1[[#This Row],[Spalte12]]-Tabelle1[[#This Row],[Spalte11]]</f>
        <v>#VALUE!</v>
      </c>
      <c r="M93" s="41" t="s">
        <v>293</v>
      </c>
      <c r="N93" s="41" t="s">
        <v>293</v>
      </c>
      <c r="O93" s="41" t="s">
        <v>293</v>
      </c>
      <c r="P93" s="41" t="s">
        <v>293</v>
      </c>
      <c r="Q93" s="36" t="s">
        <v>293</v>
      </c>
      <c r="R93" s="39" t="s">
        <v>293</v>
      </c>
      <c r="S93" s="40" t="s">
        <v>293</v>
      </c>
      <c r="T93" s="40" t="s">
        <v>293</v>
      </c>
      <c r="U93" s="39" t="s">
        <v>293</v>
      </c>
      <c r="V93" s="40" t="s">
        <v>293</v>
      </c>
      <c r="W93" s="40" t="s">
        <v>293</v>
      </c>
      <c r="X93" s="39" t="s">
        <v>293</v>
      </c>
      <c r="Y93" s="40" t="s">
        <v>293</v>
      </c>
      <c r="Z93" s="40" t="s">
        <v>293</v>
      </c>
      <c r="AA93" s="39" t="s">
        <v>293</v>
      </c>
      <c r="AB93" s="40" t="s">
        <v>293</v>
      </c>
      <c r="AC93" s="40" t="s">
        <v>293</v>
      </c>
      <c r="AD93" s="23"/>
    </row>
    <row r="94" spans="1:30" ht="10.5" customHeight="1" x14ac:dyDescent="0.15">
      <c r="A94" s="30" t="s">
        <v>3</v>
      </c>
      <c r="B94" s="30">
        <v>5</v>
      </c>
      <c r="C94" s="35" t="s">
        <v>293</v>
      </c>
      <c r="D94" s="35" t="s">
        <v>293</v>
      </c>
      <c r="E94" s="35" t="s">
        <v>293</v>
      </c>
      <c r="F94" s="35" t="s">
        <v>293</v>
      </c>
      <c r="G94" s="35" t="s">
        <v>293</v>
      </c>
      <c r="H94" s="42" t="s">
        <v>293</v>
      </c>
      <c r="I94" s="42" t="s">
        <v>293</v>
      </c>
      <c r="J94" s="42" t="s">
        <v>293</v>
      </c>
      <c r="K94" s="42" t="s">
        <v>293</v>
      </c>
      <c r="L94" s="58" t="e">
        <f>Tabelle1[[#This Row],[Spalte12]]-Tabelle1[[#This Row],[Spalte11]]</f>
        <v>#VALUE!</v>
      </c>
      <c r="M94" s="42" t="s">
        <v>293</v>
      </c>
      <c r="N94" s="42" t="s">
        <v>293</v>
      </c>
      <c r="O94" s="42" t="s">
        <v>293</v>
      </c>
      <c r="P94" s="42" t="s">
        <v>293</v>
      </c>
      <c r="Q94" s="35" t="s">
        <v>293</v>
      </c>
      <c r="R94" s="37" t="s">
        <v>293</v>
      </c>
      <c r="S94" s="38" t="s">
        <v>293</v>
      </c>
      <c r="T94" s="38" t="s">
        <v>293</v>
      </c>
      <c r="U94" s="37" t="s">
        <v>293</v>
      </c>
      <c r="V94" s="38" t="s">
        <v>293</v>
      </c>
      <c r="W94" s="38" t="s">
        <v>293</v>
      </c>
      <c r="X94" s="37" t="s">
        <v>293</v>
      </c>
      <c r="Y94" s="38" t="s">
        <v>293</v>
      </c>
      <c r="Z94" s="38" t="s">
        <v>293</v>
      </c>
      <c r="AA94" s="37" t="s">
        <v>293</v>
      </c>
      <c r="AB94" s="38" t="s">
        <v>293</v>
      </c>
      <c r="AC94" s="38" t="s">
        <v>293</v>
      </c>
      <c r="AD94" s="23"/>
    </row>
    <row r="95" spans="1:30" ht="10.5" customHeight="1" x14ac:dyDescent="0.15">
      <c r="A95" s="26" t="s">
        <v>125</v>
      </c>
      <c r="B95" s="26">
        <v>3</v>
      </c>
      <c r="C95" s="27">
        <v>790952</v>
      </c>
      <c r="D95" s="27">
        <v>1885912</v>
      </c>
      <c r="E95" s="27">
        <v>1554962</v>
      </c>
      <c r="F95" s="27">
        <v>1554962</v>
      </c>
      <c r="G95" s="27">
        <v>9886899</v>
      </c>
      <c r="H95" s="28">
        <v>0.157</v>
      </c>
      <c r="I95" s="28">
        <v>0.157</v>
      </c>
      <c r="J95" s="28">
        <v>0.191</v>
      </c>
      <c r="K95" s="28">
        <v>0</v>
      </c>
      <c r="L95" s="55">
        <f>Tabelle1[[#This Row],[Spalte12]]-Tabelle1[[#This Row],[Spalte11]]</f>
        <v>7.8E-2</v>
      </c>
      <c r="M95" s="28">
        <v>7.8E-2</v>
      </c>
      <c r="N95" s="28">
        <v>9.6000000000000002E-2</v>
      </c>
      <c r="O95" s="28">
        <v>0.12</v>
      </c>
      <c r="P95" s="28">
        <v>7.5999999999999998E-2</v>
      </c>
      <c r="Q95" s="27">
        <v>19806641</v>
      </c>
      <c r="R95" s="29">
        <v>1.65</v>
      </c>
      <c r="S95" s="27">
        <v>3091665</v>
      </c>
      <c r="T95" s="27">
        <v>1876092</v>
      </c>
      <c r="U95" s="29">
        <v>1.51</v>
      </c>
      <c r="V95" s="27">
        <v>3255323</v>
      </c>
      <c r="W95" s="27">
        <v>2151079</v>
      </c>
      <c r="X95" s="29">
        <v>1.46</v>
      </c>
      <c r="Y95" s="27">
        <v>3562075</v>
      </c>
      <c r="Z95" s="27">
        <v>2435508</v>
      </c>
      <c r="AA95" s="29">
        <v>1.7</v>
      </c>
      <c r="AB95" s="27">
        <v>2671297</v>
      </c>
      <c r="AC95" s="27">
        <v>1575895</v>
      </c>
    </row>
    <row r="96" spans="1:30" ht="10.5" customHeight="1" x14ac:dyDescent="0.15">
      <c r="A96" s="30" t="s">
        <v>29</v>
      </c>
      <c r="B96" s="30">
        <v>5</v>
      </c>
      <c r="C96" s="35" t="s">
        <v>293</v>
      </c>
      <c r="D96" s="35" t="s">
        <v>293</v>
      </c>
      <c r="E96" s="35" t="s">
        <v>293</v>
      </c>
      <c r="F96" s="35" t="s">
        <v>293</v>
      </c>
      <c r="G96" s="35" t="s">
        <v>293</v>
      </c>
      <c r="H96" s="42" t="s">
        <v>293</v>
      </c>
      <c r="I96" s="42" t="s">
        <v>293</v>
      </c>
      <c r="J96" s="42" t="s">
        <v>293</v>
      </c>
      <c r="K96" s="42" t="s">
        <v>293</v>
      </c>
      <c r="L96" s="58" t="e">
        <f>Tabelle1[[#This Row],[Spalte12]]-Tabelle1[[#This Row],[Spalte11]]</f>
        <v>#VALUE!</v>
      </c>
      <c r="M96" s="42" t="s">
        <v>293</v>
      </c>
      <c r="N96" s="42" t="s">
        <v>293</v>
      </c>
      <c r="O96" s="42" t="s">
        <v>293</v>
      </c>
      <c r="P96" s="42" t="s">
        <v>293</v>
      </c>
      <c r="Q96" s="35" t="s">
        <v>293</v>
      </c>
      <c r="R96" s="37" t="s">
        <v>293</v>
      </c>
      <c r="S96" s="38" t="s">
        <v>293</v>
      </c>
      <c r="T96" s="38" t="s">
        <v>293</v>
      </c>
      <c r="U96" s="37" t="s">
        <v>293</v>
      </c>
      <c r="V96" s="38" t="s">
        <v>293</v>
      </c>
      <c r="W96" s="38" t="s">
        <v>293</v>
      </c>
      <c r="X96" s="37" t="s">
        <v>293</v>
      </c>
      <c r="Y96" s="38" t="s">
        <v>293</v>
      </c>
      <c r="Z96" s="38" t="s">
        <v>293</v>
      </c>
      <c r="AA96" s="37" t="s">
        <v>293</v>
      </c>
      <c r="AB96" s="38" t="s">
        <v>293</v>
      </c>
      <c r="AC96" s="38" t="s">
        <v>293</v>
      </c>
    </row>
    <row r="97" spans="1:30" ht="10.5" customHeight="1" x14ac:dyDescent="0.15">
      <c r="A97" s="26" t="s">
        <v>43</v>
      </c>
      <c r="B97" s="26">
        <v>5</v>
      </c>
      <c r="C97" s="36" t="s">
        <v>293</v>
      </c>
      <c r="D97" s="36" t="s">
        <v>293</v>
      </c>
      <c r="E97" s="36" t="s">
        <v>293</v>
      </c>
      <c r="F97" s="36" t="s">
        <v>293</v>
      </c>
      <c r="G97" s="36" t="s">
        <v>293</v>
      </c>
      <c r="H97" s="41" t="s">
        <v>293</v>
      </c>
      <c r="I97" s="41" t="s">
        <v>293</v>
      </c>
      <c r="J97" s="41" t="s">
        <v>293</v>
      </c>
      <c r="K97" s="41" t="s">
        <v>293</v>
      </c>
      <c r="L97" s="57" t="e">
        <f>Tabelle1[[#This Row],[Spalte12]]-Tabelle1[[#This Row],[Spalte11]]</f>
        <v>#VALUE!</v>
      </c>
      <c r="M97" s="41" t="s">
        <v>293</v>
      </c>
      <c r="N97" s="41" t="s">
        <v>293</v>
      </c>
      <c r="O97" s="41" t="s">
        <v>293</v>
      </c>
      <c r="P97" s="41" t="s">
        <v>293</v>
      </c>
      <c r="Q97" s="36" t="s">
        <v>293</v>
      </c>
      <c r="R97" s="39" t="s">
        <v>293</v>
      </c>
      <c r="S97" s="40" t="s">
        <v>293</v>
      </c>
      <c r="T97" s="40" t="s">
        <v>293</v>
      </c>
      <c r="U97" s="39" t="s">
        <v>293</v>
      </c>
      <c r="V97" s="40" t="s">
        <v>293</v>
      </c>
      <c r="W97" s="40" t="s">
        <v>293</v>
      </c>
      <c r="X97" s="39" t="s">
        <v>293</v>
      </c>
      <c r="Y97" s="40" t="s">
        <v>293</v>
      </c>
      <c r="Z97" s="40" t="s">
        <v>293</v>
      </c>
      <c r="AA97" s="39" t="s">
        <v>293</v>
      </c>
      <c r="AB97" s="40" t="s">
        <v>293</v>
      </c>
      <c r="AC97" s="40" t="s">
        <v>293</v>
      </c>
      <c r="AD97" s="23"/>
    </row>
    <row r="98" spans="1:30" ht="10.5" customHeight="1" x14ac:dyDescent="0.15">
      <c r="A98" s="30" t="s">
        <v>26</v>
      </c>
      <c r="B98" s="30">
        <v>5</v>
      </c>
      <c r="C98" s="35" t="s">
        <v>293</v>
      </c>
      <c r="D98" s="35" t="s">
        <v>293</v>
      </c>
      <c r="E98" s="35" t="s">
        <v>293</v>
      </c>
      <c r="F98" s="35" t="s">
        <v>293</v>
      </c>
      <c r="G98" s="35" t="s">
        <v>293</v>
      </c>
      <c r="H98" s="42" t="s">
        <v>293</v>
      </c>
      <c r="I98" s="42" t="s">
        <v>293</v>
      </c>
      <c r="J98" s="42" t="s">
        <v>293</v>
      </c>
      <c r="K98" s="42" t="s">
        <v>293</v>
      </c>
      <c r="L98" s="58" t="e">
        <f>Tabelle1[[#This Row],[Spalte12]]-Tabelle1[[#This Row],[Spalte11]]</f>
        <v>#VALUE!</v>
      </c>
      <c r="M98" s="42" t="s">
        <v>293</v>
      </c>
      <c r="N98" s="42" t="s">
        <v>293</v>
      </c>
      <c r="O98" s="42" t="s">
        <v>293</v>
      </c>
      <c r="P98" s="42" t="s">
        <v>293</v>
      </c>
      <c r="Q98" s="35" t="s">
        <v>293</v>
      </c>
      <c r="R98" s="37" t="s">
        <v>293</v>
      </c>
      <c r="S98" s="38" t="s">
        <v>293</v>
      </c>
      <c r="T98" s="38" t="s">
        <v>293</v>
      </c>
      <c r="U98" s="37" t="s">
        <v>293</v>
      </c>
      <c r="V98" s="38" t="s">
        <v>293</v>
      </c>
      <c r="W98" s="38" t="s">
        <v>293</v>
      </c>
      <c r="X98" s="37" t="s">
        <v>293</v>
      </c>
      <c r="Y98" s="38" t="s">
        <v>293</v>
      </c>
      <c r="Z98" s="38" t="s">
        <v>293</v>
      </c>
      <c r="AA98" s="37" t="s">
        <v>293</v>
      </c>
      <c r="AB98" s="38" t="s">
        <v>293</v>
      </c>
      <c r="AC98" s="38" t="s">
        <v>293</v>
      </c>
      <c r="AD98" s="23"/>
    </row>
    <row r="99" spans="1:30" ht="10.5" customHeight="1" x14ac:dyDescent="0.15">
      <c r="A99" s="26" t="s">
        <v>7</v>
      </c>
      <c r="B99" s="26">
        <v>5</v>
      </c>
      <c r="C99" s="27">
        <v>3330</v>
      </c>
      <c r="D99" s="27">
        <v>8804</v>
      </c>
      <c r="E99" s="27">
        <v>7435</v>
      </c>
      <c r="F99" s="27">
        <v>7435</v>
      </c>
      <c r="G99" s="27">
        <v>41622</v>
      </c>
      <c r="H99" s="28">
        <v>0.17899999999999999</v>
      </c>
      <c r="I99" s="28">
        <v>0.17899999999999999</v>
      </c>
      <c r="J99" s="28">
        <v>0.21199999999999999</v>
      </c>
      <c r="K99" s="28">
        <v>1.7999999999999999E-2</v>
      </c>
      <c r="L99" s="55">
        <f>Tabelle1[[#This Row],[Spalte12]]-Tabelle1[[#This Row],[Spalte11]]</f>
        <v>6.9999999999999993E-2</v>
      </c>
      <c r="M99" s="28">
        <v>8.7999999999999995E-2</v>
      </c>
      <c r="N99" s="28">
        <v>0.10299999999999999</v>
      </c>
      <c r="O99" s="28">
        <v>0.123</v>
      </c>
      <c r="P99" s="28">
        <v>7.0000000000000007E-2</v>
      </c>
      <c r="Q99" s="27">
        <v>106112</v>
      </c>
      <c r="R99" s="29">
        <v>1.61</v>
      </c>
      <c r="S99" s="27">
        <v>7970</v>
      </c>
      <c r="T99" s="27">
        <v>4961</v>
      </c>
      <c r="U99" s="29">
        <v>1.77</v>
      </c>
      <c r="V99" s="27">
        <v>8548</v>
      </c>
      <c r="W99" s="27">
        <v>4833</v>
      </c>
      <c r="X99" s="29">
        <v>1.24</v>
      </c>
      <c r="Y99" s="27">
        <v>8429</v>
      </c>
      <c r="Z99" s="27">
        <v>6805</v>
      </c>
      <c r="AA99" s="29">
        <v>1.98</v>
      </c>
      <c r="AB99" s="27">
        <v>14475</v>
      </c>
      <c r="AC99" s="27">
        <v>7314</v>
      </c>
      <c r="AD99" s="23"/>
    </row>
    <row r="100" spans="1:30" ht="10.5" customHeight="1" x14ac:dyDescent="0.15">
      <c r="A100" s="30" t="s">
        <v>53</v>
      </c>
      <c r="B100" s="30">
        <v>5</v>
      </c>
      <c r="C100" s="31">
        <v>20877</v>
      </c>
      <c r="D100" s="31">
        <v>46186</v>
      </c>
      <c r="E100" s="31">
        <v>40686</v>
      </c>
      <c r="F100" s="31">
        <v>40686</v>
      </c>
      <c r="G100" s="31">
        <v>260968</v>
      </c>
      <c r="H100" s="32">
        <v>0.156</v>
      </c>
      <c r="I100" s="32">
        <v>0.156</v>
      </c>
      <c r="J100" s="32">
        <v>0.17699999999999999</v>
      </c>
      <c r="K100" s="32">
        <v>1.0999999999999999E-2</v>
      </c>
      <c r="L100" s="56">
        <f>Tabelle1[[#This Row],[Spalte12]]-Tabelle1[[#This Row],[Spalte11]]</f>
        <v>7.0000000000000007E-2</v>
      </c>
      <c r="M100" s="32">
        <v>8.1000000000000003E-2</v>
      </c>
      <c r="N100" s="32">
        <v>9.6000000000000002E-2</v>
      </c>
      <c r="O100" s="32">
        <v>0.11600000000000001</v>
      </c>
      <c r="P100" s="32">
        <v>6.7000000000000004E-2</v>
      </c>
      <c r="Q100" s="31">
        <v>604858</v>
      </c>
      <c r="R100" s="33">
        <v>5.59</v>
      </c>
      <c r="S100" s="34">
        <v>71801</v>
      </c>
      <c r="T100" s="34">
        <v>12843</v>
      </c>
      <c r="U100" s="33">
        <v>7.9</v>
      </c>
      <c r="V100" s="34">
        <v>76962</v>
      </c>
      <c r="W100" s="34">
        <v>9747</v>
      </c>
      <c r="X100" s="33">
        <v>9.9</v>
      </c>
      <c r="Y100" s="34">
        <v>80614</v>
      </c>
      <c r="Z100" s="34">
        <v>8140</v>
      </c>
      <c r="AA100" s="33">
        <v>10.91</v>
      </c>
      <c r="AB100" s="34">
        <v>82784</v>
      </c>
      <c r="AC100" s="34">
        <v>7589</v>
      </c>
      <c r="AD100" s="23"/>
    </row>
    <row r="101" spans="1:30" ht="10.5" customHeight="1" x14ac:dyDescent="0.15">
      <c r="A101" s="26" t="s">
        <v>113</v>
      </c>
      <c r="B101" s="26">
        <v>4</v>
      </c>
      <c r="C101" s="27">
        <v>50226</v>
      </c>
      <c r="D101" s="27">
        <v>215926</v>
      </c>
      <c r="E101" s="27">
        <v>215926</v>
      </c>
      <c r="F101" s="27">
        <v>215926</v>
      </c>
      <c r="G101" s="27">
        <v>627831</v>
      </c>
      <c r="H101" s="28">
        <v>0.34399999999999997</v>
      </c>
      <c r="I101" s="28">
        <v>0.34399999999999997</v>
      </c>
      <c r="J101" s="28">
        <v>0.34399999999999997</v>
      </c>
      <c r="K101" s="28">
        <v>0</v>
      </c>
      <c r="L101" s="55">
        <f>Tabelle1[[#This Row],[Spalte12]]-Tabelle1[[#This Row],[Spalte11]]</f>
        <v>7.3999999999999996E-2</v>
      </c>
      <c r="M101" s="28">
        <v>7.3999999999999996E-2</v>
      </c>
      <c r="N101" s="28">
        <v>0.09</v>
      </c>
      <c r="O101" s="28">
        <v>0.112</v>
      </c>
      <c r="P101" s="28">
        <v>7.3999999999999996E-2</v>
      </c>
      <c r="Q101" s="27">
        <v>2910263</v>
      </c>
      <c r="R101" s="29">
        <v>2.27</v>
      </c>
      <c r="S101" s="27">
        <v>474645</v>
      </c>
      <c r="T101" s="27">
        <v>209402</v>
      </c>
      <c r="U101" s="29">
        <v>3.02</v>
      </c>
      <c r="V101" s="27">
        <v>552589</v>
      </c>
      <c r="W101" s="27">
        <v>182919</v>
      </c>
      <c r="X101" s="29">
        <v>2.31</v>
      </c>
      <c r="Y101" s="27">
        <v>528684</v>
      </c>
      <c r="Z101" s="27">
        <v>229035</v>
      </c>
      <c r="AA101" s="29">
        <v>2.4300000000000002</v>
      </c>
      <c r="AB101" s="27">
        <v>470164</v>
      </c>
      <c r="AC101" s="27">
        <v>193228</v>
      </c>
    </row>
    <row r="102" spans="1:30" ht="10.5" customHeight="1" x14ac:dyDescent="0.15">
      <c r="A102" s="30" t="s">
        <v>215</v>
      </c>
      <c r="B102" s="30">
        <v>4</v>
      </c>
      <c r="C102" s="31">
        <v>472649</v>
      </c>
      <c r="D102" s="31">
        <v>962297</v>
      </c>
      <c r="E102" s="31">
        <v>812297</v>
      </c>
      <c r="F102" s="31">
        <v>962297</v>
      </c>
      <c r="G102" s="31">
        <v>5908114</v>
      </c>
      <c r="H102" s="32">
        <v>0.13700000000000001</v>
      </c>
      <c r="I102" s="32">
        <v>0.16300000000000001</v>
      </c>
      <c r="J102" s="32">
        <v>0.16300000000000001</v>
      </c>
      <c r="K102" s="32">
        <v>0</v>
      </c>
      <c r="L102" s="56">
        <f>Tabelle1[[#This Row],[Spalte12]]-Tabelle1[[#This Row],[Spalte11]]</f>
        <v>7.3999999999999996E-2</v>
      </c>
      <c r="M102" s="32">
        <v>7.3999999999999996E-2</v>
      </c>
      <c r="N102" s="32">
        <v>0.09</v>
      </c>
      <c r="O102" s="32">
        <v>0.112</v>
      </c>
      <c r="P102" s="32">
        <v>0.125</v>
      </c>
      <c r="Q102" s="31">
        <v>7680964</v>
      </c>
      <c r="R102" s="33">
        <v>4.3899999999999997</v>
      </c>
      <c r="S102" s="34">
        <v>555720</v>
      </c>
      <c r="T102" s="34">
        <v>126549</v>
      </c>
      <c r="U102" s="33">
        <v>6.82</v>
      </c>
      <c r="V102" s="34">
        <v>406162</v>
      </c>
      <c r="W102" s="34">
        <v>59532</v>
      </c>
      <c r="X102" s="33">
        <v>10.45</v>
      </c>
      <c r="Y102" s="34">
        <v>1012599</v>
      </c>
      <c r="Z102" s="34">
        <v>96935</v>
      </c>
      <c r="AA102" s="33">
        <v>5.54</v>
      </c>
      <c r="AB102" s="34">
        <v>481124</v>
      </c>
      <c r="AC102" s="34">
        <v>86829</v>
      </c>
    </row>
    <row r="103" spans="1:30" ht="10.5" customHeight="1" x14ac:dyDescent="0.15">
      <c r="A103" s="26" t="s">
        <v>139</v>
      </c>
      <c r="B103" s="26">
        <v>5</v>
      </c>
      <c r="C103" s="27">
        <v>32053</v>
      </c>
      <c r="D103" s="27">
        <v>62268</v>
      </c>
      <c r="E103" s="27">
        <v>62268</v>
      </c>
      <c r="F103" s="27">
        <v>62268</v>
      </c>
      <c r="G103" s="27">
        <v>400664</v>
      </c>
      <c r="H103" s="28">
        <v>0.155</v>
      </c>
      <c r="I103" s="28">
        <v>0.155</v>
      </c>
      <c r="J103" s="28">
        <v>0.155</v>
      </c>
      <c r="K103" s="28">
        <v>0</v>
      </c>
      <c r="L103" s="55">
        <f>Tabelle1[[#This Row],[Spalte12]]-Tabelle1[[#This Row],[Spalte11]]</f>
        <v>7.0000000000000007E-2</v>
      </c>
      <c r="M103" s="28">
        <v>7.0000000000000007E-2</v>
      </c>
      <c r="N103" s="28">
        <v>8.5000000000000006E-2</v>
      </c>
      <c r="O103" s="28">
        <v>0.105</v>
      </c>
      <c r="P103" s="28">
        <v>4.1000000000000002E-2</v>
      </c>
      <c r="Q103" s="27">
        <v>1503590</v>
      </c>
      <c r="R103" s="29">
        <v>5.46</v>
      </c>
      <c r="S103" s="27">
        <v>507975</v>
      </c>
      <c r="T103" s="27">
        <v>93088</v>
      </c>
      <c r="U103" s="29">
        <v>5.47</v>
      </c>
      <c r="V103" s="27">
        <v>543248</v>
      </c>
      <c r="W103" s="27">
        <v>99234</v>
      </c>
      <c r="X103" s="29">
        <v>4.57</v>
      </c>
      <c r="Y103" s="27">
        <v>504528</v>
      </c>
      <c r="Z103" s="27">
        <v>110301</v>
      </c>
      <c r="AA103" s="29">
        <v>4.41</v>
      </c>
      <c r="AB103" s="27">
        <v>467683</v>
      </c>
      <c r="AC103" s="27">
        <v>106161</v>
      </c>
    </row>
    <row r="104" spans="1:30" ht="10.5" customHeight="1" x14ac:dyDescent="0.15">
      <c r="A104" s="30" t="s">
        <v>213</v>
      </c>
      <c r="B104" s="30">
        <v>5</v>
      </c>
      <c r="C104" s="31">
        <v>5061</v>
      </c>
      <c r="D104" s="31">
        <v>13818</v>
      </c>
      <c r="E104" s="31">
        <v>13818</v>
      </c>
      <c r="F104" s="31">
        <v>13818</v>
      </c>
      <c r="G104" s="31">
        <v>63260</v>
      </c>
      <c r="H104" s="32">
        <v>0.218</v>
      </c>
      <c r="I104" s="32">
        <v>0.218</v>
      </c>
      <c r="J104" s="32">
        <v>0.218</v>
      </c>
      <c r="K104" s="32">
        <v>0</v>
      </c>
      <c r="L104" s="56">
        <f>Tabelle1[[#This Row],[Spalte12]]-Tabelle1[[#This Row],[Spalte11]]</f>
        <v>7.0000000000000007E-2</v>
      </c>
      <c r="M104" s="32">
        <v>7.0000000000000007E-2</v>
      </c>
      <c r="N104" s="32">
        <v>8.5000000000000006E-2</v>
      </c>
      <c r="O104" s="32">
        <v>0.105</v>
      </c>
      <c r="P104" s="32">
        <v>5.1999999999999998E-2</v>
      </c>
      <c r="Q104" s="31">
        <v>266712</v>
      </c>
      <c r="R104" s="37" t="s">
        <v>294</v>
      </c>
      <c r="S104" s="38" t="s">
        <v>294</v>
      </c>
      <c r="T104" s="38" t="s">
        <v>294</v>
      </c>
      <c r="U104" s="37" t="s">
        <v>294</v>
      </c>
      <c r="V104" s="38" t="s">
        <v>294</v>
      </c>
      <c r="W104" s="38" t="s">
        <v>294</v>
      </c>
      <c r="X104" s="37" t="s">
        <v>294</v>
      </c>
      <c r="Y104" s="38" t="s">
        <v>294</v>
      </c>
      <c r="Z104" s="38" t="s">
        <v>294</v>
      </c>
      <c r="AA104" s="37" t="s">
        <v>294</v>
      </c>
      <c r="AB104" s="38" t="s">
        <v>294</v>
      </c>
      <c r="AC104" s="38" t="s">
        <v>294</v>
      </c>
    </row>
    <row r="105" spans="1:30" ht="10.5" customHeight="1" x14ac:dyDescent="0.15">
      <c r="A105" s="26" t="s">
        <v>131</v>
      </c>
      <c r="B105" s="26">
        <v>4</v>
      </c>
      <c r="C105" s="36" t="s">
        <v>293</v>
      </c>
      <c r="D105" s="36" t="s">
        <v>293</v>
      </c>
      <c r="E105" s="36" t="s">
        <v>293</v>
      </c>
      <c r="F105" s="36" t="s">
        <v>293</v>
      </c>
      <c r="G105" s="36" t="s">
        <v>293</v>
      </c>
      <c r="H105" s="41" t="s">
        <v>293</v>
      </c>
      <c r="I105" s="41" t="s">
        <v>293</v>
      </c>
      <c r="J105" s="41" t="s">
        <v>293</v>
      </c>
      <c r="K105" s="41" t="s">
        <v>293</v>
      </c>
      <c r="L105" s="57" t="e">
        <f>Tabelle1[[#This Row],[Spalte12]]-Tabelle1[[#This Row],[Spalte11]]</f>
        <v>#VALUE!</v>
      </c>
      <c r="M105" s="41" t="s">
        <v>293</v>
      </c>
      <c r="N105" s="41" t="s">
        <v>293</v>
      </c>
      <c r="O105" s="41" t="s">
        <v>293</v>
      </c>
      <c r="P105" s="41" t="s">
        <v>293</v>
      </c>
      <c r="Q105" s="36" t="s">
        <v>293</v>
      </c>
      <c r="R105" s="39" t="s">
        <v>293</v>
      </c>
      <c r="S105" s="40" t="s">
        <v>293</v>
      </c>
      <c r="T105" s="40" t="s">
        <v>293</v>
      </c>
      <c r="U105" s="39" t="s">
        <v>293</v>
      </c>
      <c r="V105" s="40" t="s">
        <v>293</v>
      </c>
      <c r="W105" s="40" t="s">
        <v>293</v>
      </c>
      <c r="X105" s="39" t="s">
        <v>293</v>
      </c>
      <c r="Y105" s="40" t="s">
        <v>293</v>
      </c>
      <c r="Z105" s="40" t="s">
        <v>293</v>
      </c>
      <c r="AA105" s="39" t="s">
        <v>293</v>
      </c>
      <c r="AB105" s="40" t="s">
        <v>293</v>
      </c>
      <c r="AC105" s="40" t="s">
        <v>293</v>
      </c>
    </row>
    <row r="106" spans="1:30" ht="10.5" customHeight="1" x14ac:dyDescent="0.15">
      <c r="A106" s="30" t="s">
        <v>189</v>
      </c>
      <c r="B106" s="30">
        <v>4</v>
      </c>
      <c r="C106" s="35" t="s">
        <v>293</v>
      </c>
      <c r="D106" s="35" t="s">
        <v>293</v>
      </c>
      <c r="E106" s="35" t="s">
        <v>293</v>
      </c>
      <c r="F106" s="35" t="s">
        <v>293</v>
      </c>
      <c r="G106" s="35" t="s">
        <v>293</v>
      </c>
      <c r="H106" s="42" t="s">
        <v>293</v>
      </c>
      <c r="I106" s="42" t="s">
        <v>293</v>
      </c>
      <c r="J106" s="42" t="s">
        <v>293</v>
      </c>
      <c r="K106" s="42" t="s">
        <v>293</v>
      </c>
      <c r="L106" s="58" t="e">
        <f>Tabelle1[[#This Row],[Spalte12]]-Tabelle1[[#This Row],[Spalte11]]</f>
        <v>#VALUE!</v>
      </c>
      <c r="M106" s="42" t="s">
        <v>293</v>
      </c>
      <c r="N106" s="42" t="s">
        <v>293</v>
      </c>
      <c r="O106" s="42" t="s">
        <v>293</v>
      </c>
      <c r="P106" s="42" t="s">
        <v>293</v>
      </c>
      <c r="Q106" s="35" t="s">
        <v>293</v>
      </c>
      <c r="R106" s="37" t="s">
        <v>293</v>
      </c>
      <c r="S106" s="38" t="s">
        <v>293</v>
      </c>
      <c r="T106" s="38" t="s">
        <v>293</v>
      </c>
      <c r="U106" s="37" t="s">
        <v>293</v>
      </c>
      <c r="V106" s="38" t="s">
        <v>293</v>
      </c>
      <c r="W106" s="38" t="s">
        <v>293</v>
      </c>
      <c r="X106" s="37" t="s">
        <v>293</v>
      </c>
      <c r="Y106" s="38" t="s">
        <v>293</v>
      </c>
      <c r="Z106" s="38" t="s">
        <v>293</v>
      </c>
      <c r="AA106" s="37" t="s">
        <v>293</v>
      </c>
      <c r="AB106" s="38" t="s">
        <v>293</v>
      </c>
      <c r="AC106" s="38" t="s">
        <v>293</v>
      </c>
      <c r="AD106" s="23"/>
    </row>
    <row r="107" spans="1:30" ht="10.5" customHeight="1" x14ac:dyDescent="0.15">
      <c r="A107" s="26" t="s">
        <v>210</v>
      </c>
      <c r="B107" s="26">
        <v>5</v>
      </c>
      <c r="C107" s="27">
        <v>20687</v>
      </c>
      <c r="D107" s="27">
        <v>36248</v>
      </c>
      <c r="E107" s="27">
        <v>36248</v>
      </c>
      <c r="F107" s="27">
        <v>36248</v>
      </c>
      <c r="G107" s="27">
        <v>258587</v>
      </c>
      <c r="H107" s="28">
        <v>0.14000000000000001</v>
      </c>
      <c r="I107" s="28">
        <v>0.14000000000000001</v>
      </c>
      <c r="J107" s="28">
        <v>0.14000000000000001</v>
      </c>
      <c r="K107" s="28">
        <v>0</v>
      </c>
      <c r="L107" s="55">
        <f>Tabelle1[[#This Row],[Spalte12]]-Tabelle1[[#This Row],[Spalte11]]</f>
        <v>7.0000000000000007E-2</v>
      </c>
      <c r="M107" s="28">
        <v>7.0000000000000007E-2</v>
      </c>
      <c r="N107" s="28">
        <v>8.5000000000000006E-2</v>
      </c>
      <c r="O107" s="28">
        <v>0.105</v>
      </c>
      <c r="P107" s="28">
        <v>9.1999999999999998E-2</v>
      </c>
      <c r="Q107" s="27">
        <v>395321</v>
      </c>
      <c r="R107" s="29">
        <v>5.25</v>
      </c>
      <c r="S107" s="27">
        <v>82506</v>
      </c>
      <c r="T107" s="27">
        <v>15702</v>
      </c>
      <c r="U107" s="29">
        <v>4.3600000000000003</v>
      </c>
      <c r="V107" s="27">
        <v>65932</v>
      </c>
      <c r="W107" s="27">
        <v>15137</v>
      </c>
      <c r="X107" s="29">
        <v>4.83</v>
      </c>
      <c r="Y107" s="27">
        <v>66598</v>
      </c>
      <c r="Z107" s="27">
        <v>13777</v>
      </c>
      <c r="AA107" s="29">
        <v>3.96</v>
      </c>
      <c r="AB107" s="27">
        <v>53896</v>
      </c>
      <c r="AC107" s="27">
        <v>13595</v>
      </c>
    </row>
    <row r="108" spans="1:30" ht="10.5" customHeight="1" x14ac:dyDescent="0.15">
      <c r="A108" s="30" t="s">
        <v>186</v>
      </c>
      <c r="B108" s="30">
        <v>5</v>
      </c>
      <c r="C108" s="31">
        <v>2491</v>
      </c>
      <c r="D108" s="31">
        <v>7145</v>
      </c>
      <c r="E108" s="31">
        <v>7145</v>
      </c>
      <c r="F108" s="31">
        <v>7145</v>
      </c>
      <c r="G108" s="31">
        <v>31138</v>
      </c>
      <c r="H108" s="32">
        <v>0.22900000000000001</v>
      </c>
      <c r="I108" s="32">
        <v>0.22900000000000001</v>
      </c>
      <c r="J108" s="32">
        <v>0.22900000000000001</v>
      </c>
      <c r="K108" s="32">
        <v>0</v>
      </c>
      <c r="L108" s="56">
        <f>Tabelle1[[#This Row],[Spalte12]]-Tabelle1[[#This Row],[Spalte11]]</f>
        <v>7.0000000000000007E-2</v>
      </c>
      <c r="M108" s="32">
        <v>7.0000000000000007E-2</v>
      </c>
      <c r="N108" s="32">
        <v>8.5000000000000006E-2</v>
      </c>
      <c r="O108" s="32">
        <v>0.105</v>
      </c>
      <c r="P108" s="32">
        <v>0.55000000000000004</v>
      </c>
      <c r="Q108" s="31">
        <v>12987</v>
      </c>
      <c r="R108" s="37" t="s">
        <v>294</v>
      </c>
      <c r="S108" s="38" t="s">
        <v>294</v>
      </c>
      <c r="T108" s="38" t="s">
        <v>294</v>
      </c>
      <c r="U108" s="37" t="s">
        <v>294</v>
      </c>
      <c r="V108" s="38" t="s">
        <v>294</v>
      </c>
      <c r="W108" s="38" t="s">
        <v>294</v>
      </c>
      <c r="X108" s="37" t="s">
        <v>294</v>
      </c>
      <c r="Y108" s="38" t="s">
        <v>294</v>
      </c>
      <c r="Z108" s="38" t="s">
        <v>294</v>
      </c>
      <c r="AA108" s="37" t="s">
        <v>294</v>
      </c>
      <c r="AB108" s="38" t="s">
        <v>294</v>
      </c>
      <c r="AC108" s="38" t="s">
        <v>294</v>
      </c>
    </row>
    <row r="109" spans="1:30" ht="10.5" customHeight="1" x14ac:dyDescent="0.15">
      <c r="A109" s="26" t="s">
        <v>54</v>
      </c>
      <c r="B109" s="26">
        <v>4</v>
      </c>
      <c r="C109" s="27">
        <v>375023</v>
      </c>
      <c r="D109" s="27">
        <v>970274</v>
      </c>
      <c r="E109" s="27">
        <v>970274</v>
      </c>
      <c r="F109" s="27">
        <v>970274</v>
      </c>
      <c r="G109" s="27">
        <v>4687793</v>
      </c>
      <c r="H109" s="28">
        <v>0.20699999999999999</v>
      </c>
      <c r="I109" s="28">
        <v>0.20699999999999999</v>
      </c>
      <c r="J109" s="28">
        <v>0.20699999999999999</v>
      </c>
      <c r="K109" s="28">
        <v>2E-3</v>
      </c>
      <c r="L109" s="55">
        <f>Tabelle1[[#This Row],[Spalte12]]-Tabelle1[[#This Row],[Spalte11]]</f>
        <v>7.3999999999999996E-2</v>
      </c>
      <c r="M109" s="28">
        <v>7.5999999999999998E-2</v>
      </c>
      <c r="N109" s="28">
        <v>9.1999999999999998E-2</v>
      </c>
      <c r="O109" s="28">
        <v>0.114</v>
      </c>
      <c r="P109" s="28">
        <v>0.109</v>
      </c>
      <c r="Q109" s="27">
        <v>8906570</v>
      </c>
      <c r="R109" s="29">
        <v>1.9</v>
      </c>
      <c r="S109" s="27">
        <v>2026997</v>
      </c>
      <c r="T109" s="27">
        <v>1066596</v>
      </c>
      <c r="U109" s="29">
        <v>1.74</v>
      </c>
      <c r="V109" s="27">
        <v>1861491</v>
      </c>
      <c r="W109" s="27">
        <v>1072340</v>
      </c>
      <c r="X109" s="29">
        <v>1.79</v>
      </c>
      <c r="Y109" s="27">
        <v>1983631</v>
      </c>
      <c r="Z109" s="27">
        <v>1107496</v>
      </c>
      <c r="AA109" s="29">
        <v>1.75</v>
      </c>
      <c r="AB109" s="27">
        <v>1958487</v>
      </c>
      <c r="AC109" s="27">
        <v>1118363</v>
      </c>
    </row>
    <row r="110" spans="1:30" ht="10.5" customHeight="1" x14ac:dyDescent="0.15">
      <c r="A110" s="30" t="s">
        <v>171</v>
      </c>
      <c r="B110" s="30">
        <v>4</v>
      </c>
      <c r="C110" s="31">
        <v>194751</v>
      </c>
      <c r="D110" s="31">
        <v>411037</v>
      </c>
      <c r="E110" s="31">
        <v>391320</v>
      </c>
      <c r="F110" s="31">
        <v>391320</v>
      </c>
      <c r="G110" s="31">
        <v>2434386</v>
      </c>
      <c r="H110" s="32">
        <v>0.161</v>
      </c>
      <c r="I110" s="32">
        <v>0.161</v>
      </c>
      <c r="J110" s="32">
        <v>0.16900000000000001</v>
      </c>
      <c r="K110" s="32">
        <v>8.9999999999999993E-3</v>
      </c>
      <c r="L110" s="56">
        <f>Tabelle1[[#This Row],[Spalte12]]-Tabelle1[[#This Row],[Spalte11]]</f>
        <v>7.400000000000001E-2</v>
      </c>
      <c r="M110" s="32">
        <v>8.3000000000000004E-2</v>
      </c>
      <c r="N110" s="32">
        <v>9.9000000000000005E-2</v>
      </c>
      <c r="O110" s="32">
        <v>0.121</v>
      </c>
      <c r="P110" s="32">
        <v>7.0000000000000007E-2</v>
      </c>
      <c r="Q110" s="31">
        <v>5624839</v>
      </c>
      <c r="R110" s="33">
        <v>1.74</v>
      </c>
      <c r="S110" s="34">
        <v>314746</v>
      </c>
      <c r="T110" s="34">
        <v>180765</v>
      </c>
      <c r="U110" s="33">
        <v>1.82</v>
      </c>
      <c r="V110" s="34">
        <v>321846</v>
      </c>
      <c r="W110" s="34">
        <v>176924</v>
      </c>
      <c r="X110" s="33">
        <v>1.36</v>
      </c>
      <c r="Y110" s="34">
        <v>215614</v>
      </c>
      <c r="Z110" s="34">
        <v>158633</v>
      </c>
      <c r="AA110" s="33">
        <v>3.14</v>
      </c>
      <c r="AB110" s="34">
        <v>328213</v>
      </c>
      <c r="AC110" s="34">
        <v>104564</v>
      </c>
      <c r="AD110" s="23"/>
    </row>
    <row r="111" spans="1:30" ht="10.5" customHeight="1" x14ac:dyDescent="0.15">
      <c r="A111" s="26" t="s">
        <v>99</v>
      </c>
      <c r="B111" s="26">
        <v>5</v>
      </c>
      <c r="C111" s="27">
        <v>33160</v>
      </c>
      <c r="D111" s="27">
        <v>111412</v>
      </c>
      <c r="E111" s="27">
        <v>49480</v>
      </c>
      <c r="F111" s="27">
        <v>49480</v>
      </c>
      <c r="G111" s="27">
        <v>414504</v>
      </c>
      <c r="H111" s="28">
        <v>0.11899999999999999</v>
      </c>
      <c r="I111" s="28">
        <v>0.11899999999999999</v>
      </c>
      <c r="J111" s="28">
        <v>0.26900000000000002</v>
      </c>
      <c r="K111" s="28">
        <v>0</v>
      </c>
      <c r="L111" s="55">
        <f>Tabelle1[[#This Row],[Spalte12]]-Tabelle1[[#This Row],[Spalte11]]</f>
        <v>7.0000000000000007E-2</v>
      </c>
      <c r="M111" s="28">
        <v>7.0000000000000007E-2</v>
      </c>
      <c r="N111" s="28">
        <v>8.5000000000000006E-2</v>
      </c>
      <c r="O111" s="28">
        <v>0.105</v>
      </c>
      <c r="P111" s="28">
        <v>9.1999999999999998E-2</v>
      </c>
      <c r="Q111" s="27">
        <v>535963</v>
      </c>
      <c r="R111" s="29">
        <v>1.36</v>
      </c>
      <c r="S111" s="27">
        <v>96411</v>
      </c>
      <c r="T111" s="27">
        <v>71140</v>
      </c>
      <c r="U111" s="29">
        <v>1.35</v>
      </c>
      <c r="V111" s="27">
        <v>77431</v>
      </c>
      <c r="W111" s="27">
        <v>57548</v>
      </c>
      <c r="X111" s="29">
        <v>1.85</v>
      </c>
      <c r="Y111" s="27">
        <v>44247</v>
      </c>
      <c r="Z111" s="27">
        <v>23951</v>
      </c>
      <c r="AA111" s="29">
        <v>1.39</v>
      </c>
      <c r="AB111" s="27">
        <v>55708</v>
      </c>
      <c r="AC111" s="27">
        <v>39934</v>
      </c>
    </row>
    <row r="112" spans="1:30" ht="10.5" customHeight="1" x14ac:dyDescent="0.15">
      <c r="A112" s="30" t="s">
        <v>95</v>
      </c>
      <c r="B112" s="30">
        <v>5</v>
      </c>
      <c r="C112" s="35" t="s">
        <v>293</v>
      </c>
      <c r="D112" s="35" t="s">
        <v>293</v>
      </c>
      <c r="E112" s="35" t="s">
        <v>293</v>
      </c>
      <c r="F112" s="35" t="s">
        <v>293</v>
      </c>
      <c r="G112" s="35" t="s">
        <v>293</v>
      </c>
      <c r="H112" s="42" t="s">
        <v>293</v>
      </c>
      <c r="I112" s="42" t="s">
        <v>293</v>
      </c>
      <c r="J112" s="42" t="s">
        <v>293</v>
      </c>
      <c r="K112" s="42" t="s">
        <v>293</v>
      </c>
      <c r="L112" s="58" t="e">
        <f>Tabelle1[[#This Row],[Spalte12]]-Tabelle1[[#This Row],[Spalte11]]</f>
        <v>#VALUE!</v>
      </c>
      <c r="M112" s="42" t="s">
        <v>293</v>
      </c>
      <c r="N112" s="42" t="s">
        <v>293</v>
      </c>
      <c r="O112" s="42" t="s">
        <v>293</v>
      </c>
      <c r="P112" s="42" t="s">
        <v>293</v>
      </c>
      <c r="Q112" s="35" t="s">
        <v>293</v>
      </c>
      <c r="R112" s="37" t="s">
        <v>293</v>
      </c>
      <c r="S112" s="38" t="s">
        <v>293</v>
      </c>
      <c r="T112" s="38" t="s">
        <v>293</v>
      </c>
      <c r="U112" s="37" t="s">
        <v>293</v>
      </c>
      <c r="V112" s="38" t="s">
        <v>293</v>
      </c>
      <c r="W112" s="38" t="s">
        <v>293</v>
      </c>
      <c r="X112" s="37" t="s">
        <v>293</v>
      </c>
      <c r="Y112" s="38" t="s">
        <v>293</v>
      </c>
      <c r="Z112" s="38" t="s">
        <v>293</v>
      </c>
      <c r="AA112" s="37" t="s">
        <v>293</v>
      </c>
      <c r="AB112" s="38" t="s">
        <v>293</v>
      </c>
      <c r="AC112" s="38" t="s">
        <v>293</v>
      </c>
      <c r="AD112" s="23"/>
    </row>
    <row r="113" spans="1:30" ht="10.5" customHeight="1" x14ac:dyDescent="0.15">
      <c r="A113" s="26" t="s">
        <v>135</v>
      </c>
      <c r="B113" s="26">
        <v>5</v>
      </c>
      <c r="C113" s="27">
        <v>756</v>
      </c>
      <c r="D113" s="27">
        <v>6934</v>
      </c>
      <c r="E113" s="27">
        <v>6934</v>
      </c>
      <c r="F113" s="27">
        <v>6934</v>
      </c>
      <c r="G113" s="27">
        <v>9452</v>
      </c>
      <c r="H113" s="28">
        <v>0.73399999999999999</v>
      </c>
      <c r="I113" s="28">
        <v>0.73399999999999999</v>
      </c>
      <c r="J113" s="28">
        <v>0.73399999999999999</v>
      </c>
      <c r="K113" s="28">
        <v>0</v>
      </c>
      <c r="L113" s="55">
        <f>Tabelle1[[#This Row],[Spalte12]]-Tabelle1[[#This Row],[Spalte11]]</f>
        <v>7.0000000000000007E-2</v>
      </c>
      <c r="M113" s="28">
        <v>7.0000000000000007E-2</v>
      </c>
      <c r="N113" s="28">
        <v>8.5000000000000006E-2</v>
      </c>
      <c r="O113" s="28">
        <v>0.105</v>
      </c>
      <c r="P113" s="28">
        <v>0.30199999999999999</v>
      </c>
      <c r="Q113" s="27">
        <v>22959</v>
      </c>
      <c r="R113" s="39" t="s">
        <v>294</v>
      </c>
      <c r="S113" s="40" t="s">
        <v>294</v>
      </c>
      <c r="T113" s="40" t="s">
        <v>294</v>
      </c>
      <c r="U113" s="39" t="s">
        <v>294</v>
      </c>
      <c r="V113" s="40" t="s">
        <v>294</v>
      </c>
      <c r="W113" s="40" t="s">
        <v>294</v>
      </c>
      <c r="X113" s="39" t="s">
        <v>294</v>
      </c>
      <c r="Y113" s="40" t="s">
        <v>294</v>
      </c>
      <c r="Z113" s="40" t="s">
        <v>294</v>
      </c>
      <c r="AA113" s="39" t="s">
        <v>294</v>
      </c>
      <c r="AB113" s="40" t="s">
        <v>294</v>
      </c>
      <c r="AC113" s="40" t="s">
        <v>294</v>
      </c>
    </row>
    <row r="114" spans="1:30" ht="10.5" customHeight="1" x14ac:dyDescent="0.15">
      <c r="A114" s="30" t="s">
        <v>68</v>
      </c>
      <c r="B114" s="30">
        <v>4</v>
      </c>
      <c r="C114" s="31">
        <v>218123</v>
      </c>
      <c r="D114" s="31">
        <v>635420</v>
      </c>
      <c r="E114" s="31">
        <v>583667</v>
      </c>
      <c r="F114" s="31">
        <v>583667</v>
      </c>
      <c r="G114" s="31">
        <v>2726534</v>
      </c>
      <c r="H114" s="32">
        <v>0.214</v>
      </c>
      <c r="I114" s="32">
        <v>0.214</v>
      </c>
      <c r="J114" s="32">
        <v>0.23300000000000001</v>
      </c>
      <c r="K114" s="32">
        <v>0</v>
      </c>
      <c r="L114" s="56">
        <f>Tabelle1[[#This Row],[Spalte12]]-Tabelle1[[#This Row],[Spalte11]]</f>
        <v>7.3999999999999996E-2</v>
      </c>
      <c r="M114" s="32">
        <v>7.3999999999999996E-2</v>
      </c>
      <c r="N114" s="32">
        <v>0.09</v>
      </c>
      <c r="O114" s="32">
        <v>0.112</v>
      </c>
      <c r="P114" s="32">
        <v>7.0000000000000007E-2</v>
      </c>
      <c r="Q114" s="31">
        <v>8295009</v>
      </c>
      <c r="R114" s="33">
        <v>1.56</v>
      </c>
      <c r="S114" s="34">
        <v>1093395</v>
      </c>
      <c r="T114" s="34">
        <v>700697</v>
      </c>
      <c r="U114" s="33">
        <v>1.46</v>
      </c>
      <c r="V114" s="34">
        <v>1057278</v>
      </c>
      <c r="W114" s="34">
        <v>722455</v>
      </c>
      <c r="X114" s="33">
        <v>1.49</v>
      </c>
      <c r="Y114" s="34">
        <v>1006146</v>
      </c>
      <c r="Z114" s="34">
        <v>675550</v>
      </c>
      <c r="AA114" s="33">
        <v>1.42</v>
      </c>
      <c r="AB114" s="34">
        <v>899022</v>
      </c>
      <c r="AC114" s="34">
        <v>632233</v>
      </c>
    </row>
    <row r="115" spans="1:30" ht="10.5" customHeight="1" x14ac:dyDescent="0.15">
      <c r="A115" s="26" t="s">
        <v>108</v>
      </c>
      <c r="B115" s="26">
        <v>4</v>
      </c>
      <c r="C115" s="27">
        <v>122877</v>
      </c>
      <c r="D115" s="27">
        <v>550761</v>
      </c>
      <c r="E115" s="27">
        <v>550761</v>
      </c>
      <c r="F115" s="27">
        <v>550761</v>
      </c>
      <c r="G115" s="27">
        <v>1535957</v>
      </c>
      <c r="H115" s="28">
        <v>0.35899999999999999</v>
      </c>
      <c r="I115" s="28">
        <v>0.35899999999999999</v>
      </c>
      <c r="J115" s="28">
        <v>0.35899999999999999</v>
      </c>
      <c r="K115" s="28">
        <v>1E-3</v>
      </c>
      <c r="L115" s="55">
        <f>Tabelle1[[#This Row],[Spalte12]]-Tabelle1[[#This Row],[Spalte11]]</f>
        <v>7.3999999999999996E-2</v>
      </c>
      <c r="M115" s="28">
        <v>7.4999999999999997E-2</v>
      </c>
      <c r="N115" s="28">
        <v>9.0999999999999998E-2</v>
      </c>
      <c r="O115" s="28">
        <v>0.113</v>
      </c>
      <c r="P115" s="28">
        <v>0.22600000000000001</v>
      </c>
      <c r="Q115" s="27">
        <v>2434176</v>
      </c>
      <c r="R115" s="29">
        <v>4.1399999999999997</v>
      </c>
      <c r="S115" s="27">
        <v>998626</v>
      </c>
      <c r="T115" s="27">
        <v>241071</v>
      </c>
      <c r="U115" s="29">
        <v>3.85</v>
      </c>
      <c r="V115" s="27">
        <v>1066076</v>
      </c>
      <c r="W115" s="27">
        <v>277176</v>
      </c>
      <c r="X115" s="29">
        <v>4.05</v>
      </c>
      <c r="Y115" s="27">
        <v>1030753</v>
      </c>
      <c r="Z115" s="27">
        <v>254709</v>
      </c>
      <c r="AA115" s="29">
        <v>3.69</v>
      </c>
      <c r="AB115" s="27">
        <v>973295</v>
      </c>
      <c r="AC115" s="27">
        <v>263975</v>
      </c>
      <c r="AD115" s="23"/>
    </row>
    <row r="116" spans="1:30" ht="10.5" customHeight="1" x14ac:dyDescent="0.15">
      <c r="A116" s="30" t="s">
        <v>196</v>
      </c>
      <c r="B116" s="30">
        <v>5</v>
      </c>
      <c r="C116" s="31">
        <v>20139</v>
      </c>
      <c r="D116" s="31">
        <v>32579</v>
      </c>
      <c r="E116" s="31">
        <v>32579</v>
      </c>
      <c r="F116" s="31">
        <v>32579</v>
      </c>
      <c r="G116" s="31">
        <v>251735</v>
      </c>
      <c r="H116" s="32">
        <v>0.129</v>
      </c>
      <c r="I116" s="32">
        <v>0.129</v>
      </c>
      <c r="J116" s="32">
        <v>0.129</v>
      </c>
      <c r="K116" s="32">
        <v>0</v>
      </c>
      <c r="L116" s="56">
        <f>Tabelle1[[#This Row],[Spalte12]]-Tabelle1[[#This Row],[Spalte11]]</f>
        <v>7.0000000000000007E-2</v>
      </c>
      <c r="M116" s="32">
        <v>7.0000000000000007E-2</v>
      </c>
      <c r="N116" s="32">
        <v>8.5000000000000006E-2</v>
      </c>
      <c r="O116" s="32">
        <v>0.105</v>
      </c>
      <c r="P116" s="32">
        <v>0.19800000000000001</v>
      </c>
      <c r="Q116" s="31">
        <v>164284</v>
      </c>
      <c r="R116" s="33">
        <v>5.95</v>
      </c>
      <c r="S116" s="34">
        <v>50204</v>
      </c>
      <c r="T116" s="34">
        <v>8442</v>
      </c>
      <c r="U116" s="33">
        <v>5.76</v>
      </c>
      <c r="V116" s="34">
        <v>46800</v>
      </c>
      <c r="W116" s="34">
        <v>8128</v>
      </c>
      <c r="X116" s="33">
        <v>6.87</v>
      </c>
      <c r="Y116" s="34">
        <v>45151</v>
      </c>
      <c r="Z116" s="34">
        <v>6571</v>
      </c>
      <c r="AA116" s="33">
        <v>7.77</v>
      </c>
      <c r="AB116" s="34">
        <v>46142</v>
      </c>
      <c r="AC116" s="34">
        <v>5942</v>
      </c>
      <c r="AD116" s="23"/>
    </row>
    <row r="117" spans="1:30" ht="10.5" customHeight="1" x14ac:dyDescent="0.15">
      <c r="A117" s="26" t="s">
        <v>73</v>
      </c>
      <c r="B117" s="26">
        <v>5</v>
      </c>
      <c r="C117" s="36" t="s">
        <v>293</v>
      </c>
      <c r="D117" s="36" t="s">
        <v>293</v>
      </c>
      <c r="E117" s="36" t="s">
        <v>293</v>
      </c>
      <c r="F117" s="36" t="s">
        <v>293</v>
      </c>
      <c r="G117" s="36" t="s">
        <v>293</v>
      </c>
      <c r="H117" s="41" t="s">
        <v>293</v>
      </c>
      <c r="I117" s="41" t="s">
        <v>293</v>
      </c>
      <c r="J117" s="41" t="s">
        <v>293</v>
      </c>
      <c r="K117" s="41" t="s">
        <v>293</v>
      </c>
      <c r="L117" s="57" t="e">
        <f>Tabelle1[[#This Row],[Spalte12]]-Tabelle1[[#This Row],[Spalte11]]</f>
        <v>#VALUE!</v>
      </c>
      <c r="M117" s="41" t="s">
        <v>293</v>
      </c>
      <c r="N117" s="41" t="s">
        <v>293</v>
      </c>
      <c r="O117" s="41" t="s">
        <v>293</v>
      </c>
      <c r="P117" s="41" t="s">
        <v>293</v>
      </c>
      <c r="Q117" s="36" t="s">
        <v>293</v>
      </c>
      <c r="R117" s="39" t="s">
        <v>293</v>
      </c>
      <c r="S117" s="40" t="s">
        <v>293</v>
      </c>
      <c r="T117" s="40" t="s">
        <v>293</v>
      </c>
      <c r="U117" s="39" t="s">
        <v>293</v>
      </c>
      <c r="V117" s="40" t="s">
        <v>293</v>
      </c>
      <c r="W117" s="40" t="s">
        <v>293</v>
      </c>
      <c r="X117" s="39" t="s">
        <v>293</v>
      </c>
      <c r="Y117" s="40" t="s">
        <v>293</v>
      </c>
      <c r="Z117" s="40" t="s">
        <v>293</v>
      </c>
      <c r="AA117" s="39" t="s">
        <v>293</v>
      </c>
      <c r="AB117" s="40" t="s">
        <v>293</v>
      </c>
      <c r="AC117" s="40" t="s">
        <v>293</v>
      </c>
    </row>
    <row r="118" spans="1:30" ht="10.5" customHeight="1" x14ac:dyDescent="0.15">
      <c r="A118" s="30" t="s">
        <v>109</v>
      </c>
      <c r="B118" s="30">
        <v>3</v>
      </c>
      <c r="C118" s="31">
        <v>472869</v>
      </c>
      <c r="D118" s="31">
        <v>1358920</v>
      </c>
      <c r="E118" s="31">
        <v>1336101</v>
      </c>
      <c r="F118" s="31">
        <v>1342947</v>
      </c>
      <c r="G118" s="31">
        <v>5910860</v>
      </c>
      <c r="H118" s="32">
        <v>0.22700000000000001</v>
      </c>
      <c r="I118" s="32">
        <v>0.23</v>
      </c>
      <c r="J118" s="32">
        <v>0.23</v>
      </c>
      <c r="K118" s="32">
        <v>0</v>
      </c>
      <c r="L118" s="56">
        <f>Tabelle1[[#This Row],[Spalte12]]-Tabelle1[[#This Row],[Spalte11]]</f>
        <v>7.8E-2</v>
      </c>
      <c r="M118" s="32">
        <v>7.8E-2</v>
      </c>
      <c r="N118" s="32">
        <v>9.6000000000000002E-2</v>
      </c>
      <c r="O118" s="32">
        <v>0.12</v>
      </c>
      <c r="P118" s="32">
        <v>7.3999999999999996E-2</v>
      </c>
      <c r="Q118" s="31">
        <v>18194072</v>
      </c>
      <c r="R118" s="33">
        <v>1.58</v>
      </c>
      <c r="S118" s="34">
        <v>7207817</v>
      </c>
      <c r="T118" s="34">
        <v>4549087</v>
      </c>
      <c r="U118" s="33">
        <v>1.46</v>
      </c>
      <c r="V118" s="34">
        <v>6859022</v>
      </c>
      <c r="W118" s="34">
        <v>4710465</v>
      </c>
      <c r="X118" s="33">
        <v>1.57</v>
      </c>
      <c r="Y118" s="34">
        <v>8373668</v>
      </c>
      <c r="Z118" s="34">
        <v>5341041</v>
      </c>
      <c r="AA118" s="33">
        <v>1.55</v>
      </c>
      <c r="AB118" s="34">
        <v>8813522</v>
      </c>
      <c r="AC118" s="34">
        <v>5671584</v>
      </c>
    </row>
    <row r="119" spans="1:30" ht="10.5" customHeight="1" x14ac:dyDescent="0.15">
      <c r="A119" s="26" t="s">
        <v>161</v>
      </c>
      <c r="B119" s="26">
        <v>3</v>
      </c>
      <c r="C119" s="27">
        <v>463997</v>
      </c>
      <c r="D119" s="27">
        <v>1314176</v>
      </c>
      <c r="E119" s="27">
        <v>1241357</v>
      </c>
      <c r="F119" s="27">
        <v>1298203</v>
      </c>
      <c r="G119" s="27">
        <v>5799965</v>
      </c>
      <c r="H119" s="28">
        <v>0.214</v>
      </c>
      <c r="I119" s="28">
        <v>0.224</v>
      </c>
      <c r="J119" s="28">
        <v>0.22700000000000001</v>
      </c>
      <c r="K119" s="28">
        <v>0</v>
      </c>
      <c r="L119" s="55">
        <f>Tabelle1[[#This Row],[Spalte12]]-Tabelle1[[#This Row],[Spalte11]]</f>
        <v>7.8E-2</v>
      </c>
      <c r="M119" s="28">
        <v>7.8E-2</v>
      </c>
      <c r="N119" s="28">
        <v>9.6000000000000002E-2</v>
      </c>
      <c r="O119" s="28">
        <v>0.12</v>
      </c>
      <c r="P119" s="28">
        <v>7.1999999999999995E-2</v>
      </c>
      <c r="Q119" s="27">
        <v>18043504</v>
      </c>
      <c r="R119" s="29">
        <v>1.69</v>
      </c>
      <c r="S119" s="27">
        <v>10102520</v>
      </c>
      <c r="T119" s="27">
        <v>5962551</v>
      </c>
      <c r="U119" s="29">
        <v>1.64</v>
      </c>
      <c r="V119" s="27">
        <v>9605751</v>
      </c>
      <c r="W119" s="27">
        <v>5844304</v>
      </c>
      <c r="X119" s="29">
        <v>1.64</v>
      </c>
      <c r="Y119" s="27">
        <v>9294615</v>
      </c>
      <c r="Z119" s="27">
        <v>5676374</v>
      </c>
      <c r="AA119" s="29">
        <v>1.57</v>
      </c>
      <c r="AB119" s="27">
        <v>8813998</v>
      </c>
      <c r="AC119" s="27">
        <v>5602070</v>
      </c>
    </row>
    <row r="120" spans="1:30" ht="10.5" customHeight="1" x14ac:dyDescent="0.15">
      <c r="A120" s="30" t="s">
        <v>118</v>
      </c>
      <c r="B120" s="30">
        <v>3</v>
      </c>
      <c r="C120" s="31">
        <v>556020</v>
      </c>
      <c r="D120" s="31">
        <v>1317295</v>
      </c>
      <c r="E120" s="31">
        <v>879031</v>
      </c>
      <c r="F120" s="31">
        <v>1316500</v>
      </c>
      <c r="G120" s="31">
        <v>6950251</v>
      </c>
      <c r="H120" s="32">
        <v>0.126</v>
      </c>
      <c r="I120" s="32">
        <v>0.189</v>
      </c>
      <c r="J120" s="32">
        <v>0.19</v>
      </c>
      <c r="K120" s="32">
        <v>2E-3</v>
      </c>
      <c r="L120" s="56">
        <f>Tabelle1[[#This Row],[Spalte12]]-Tabelle1[[#This Row],[Spalte11]]</f>
        <v>7.8E-2</v>
      </c>
      <c r="M120" s="32">
        <v>0.08</v>
      </c>
      <c r="N120" s="32">
        <v>9.8000000000000004E-2</v>
      </c>
      <c r="O120" s="32">
        <v>0.122</v>
      </c>
      <c r="P120" s="32">
        <v>4.2999999999999997E-2</v>
      </c>
      <c r="Q120" s="31">
        <v>30902024</v>
      </c>
      <c r="R120" s="33">
        <v>1.55</v>
      </c>
      <c r="S120" s="34">
        <v>6778461</v>
      </c>
      <c r="T120" s="34">
        <v>4383792</v>
      </c>
      <c r="U120" s="33">
        <v>1.4</v>
      </c>
      <c r="V120" s="34">
        <v>7040913</v>
      </c>
      <c r="W120" s="34">
        <v>5021803</v>
      </c>
      <c r="X120" s="33">
        <v>1.39</v>
      </c>
      <c r="Y120" s="34">
        <v>6373577</v>
      </c>
      <c r="Z120" s="34">
        <v>4587476</v>
      </c>
      <c r="AA120" s="33">
        <v>1.63</v>
      </c>
      <c r="AB120" s="34">
        <v>7706183</v>
      </c>
      <c r="AC120" s="34">
        <v>4713269</v>
      </c>
    </row>
    <row r="121" spans="1:30" ht="10.5" customHeight="1" x14ac:dyDescent="0.15">
      <c r="A121" s="26" t="s">
        <v>63</v>
      </c>
      <c r="B121" s="26">
        <v>3</v>
      </c>
      <c r="C121" s="27">
        <v>815483</v>
      </c>
      <c r="D121" s="27">
        <v>1886756</v>
      </c>
      <c r="E121" s="27">
        <v>1516101</v>
      </c>
      <c r="F121" s="27">
        <v>1622195</v>
      </c>
      <c r="G121" s="27">
        <v>10193539</v>
      </c>
      <c r="H121" s="28">
        <v>0.14899999999999999</v>
      </c>
      <c r="I121" s="28">
        <v>0.159</v>
      </c>
      <c r="J121" s="28">
        <v>0.185</v>
      </c>
      <c r="K121" s="28">
        <v>1E-3</v>
      </c>
      <c r="L121" s="55">
        <f>Tabelle1[[#This Row],[Spalte12]]-Tabelle1[[#This Row],[Spalte11]]</f>
        <v>7.8E-2</v>
      </c>
      <c r="M121" s="28">
        <v>7.9000000000000001E-2</v>
      </c>
      <c r="N121" s="28">
        <v>9.7000000000000003E-2</v>
      </c>
      <c r="O121" s="28">
        <v>0.121</v>
      </c>
      <c r="P121" s="28">
        <v>3.7999999999999999E-2</v>
      </c>
      <c r="Q121" s="27">
        <v>43086431</v>
      </c>
      <c r="R121" s="29">
        <v>1.78</v>
      </c>
      <c r="S121" s="27">
        <v>11898698</v>
      </c>
      <c r="T121" s="27">
        <v>6698923</v>
      </c>
      <c r="U121" s="29">
        <v>1.76</v>
      </c>
      <c r="V121" s="27">
        <v>12546237</v>
      </c>
      <c r="W121" s="27">
        <v>7140881</v>
      </c>
      <c r="X121" s="29">
        <v>1.82</v>
      </c>
      <c r="Y121" s="27">
        <v>11789776</v>
      </c>
      <c r="Z121" s="27">
        <v>6467114</v>
      </c>
      <c r="AA121" s="29">
        <v>1.84</v>
      </c>
      <c r="AB121" s="27">
        <v>11505701</v>
      </c>
      <c r="AC121" s="27">
        <v>6252475</v>
      </c>
      <c r="AD121" s="23"/>
    </row>
    <row r="122" spans="1:30" ht="10.5" customHeight="1" x14ac:dyDescent="0.15">
      <c r="A122" s="30" t="s">
        <v>195</v>
      </c>
      <c r="B122" s="30">
        <v>3</v>
      </c>
      <c r="C122" s="31">
        <v>810900</v>
      </c>
      <c r="D122" s="31">
        <v>2039100</v>
      </c>
      <c r="E122" s="31">
        <v>1639600</v>
      </c>
      <c r="F122" s="31">
        <v>1654100</v>
      </c>
      <c r="G122" s="31">
        <v>10136100</v>
      </c>
      <c r="H122" s="32">
        <v>0.16200000000000001</v>
      </c>
      <c r="I122" s="32">
        <v>0.16300000000000001</v>
      </c>
      <c r="J122" s="32">
        <v>0.20100000000000001</v>
      </c>
      <c r="K122" s="32">
        <v>1E-3</v>
      </c>
      <c r="L122" s="56">
        <f>Tabelle1[[#This Row],[Spalte12]]-Tabelle1[[#This Row],[Spalte11]]</f>
        <v>7.8E-2</v>
      </c>
      <c r="M122" s="32">
        <v>7.9000000000000001E-2</v>
      </c>
      <c r="N122" s="32">
        <v>9.7000000000000003E-2</v>
      </c>
      <c r="O122" s="32">
        <v>0.121</v>
      </c>
      <c r="P122" s="32">
        <v>3.9E-2</v>
      </c>
      <c r="Q122" s="31">
        <v>42709000</v>
      </c>
      <c r="R122" s="33">
        <v>1.75</v>
      </c>
      <c r="S122" s="34">
        <v>11623300</v>
      </c>
      <c r="T122" s="34">
        <v>6658233</v>
      </c>
      <c r="U122" s="33">
        <v>1.73</v>
      </c>
      <c r="V122" s="34">
        <v>12282464</v>
      </c>
      <c r="W122" s="34">
        <v>7096258</v>
      </c>
      <c r="X122" s="33">
        <v>1.79</v>
      </c>
      <c r="Y122" s="34">
        <v>11468965</v>
      </c>
      <c r="Z122" s="34">
        <v>6402248</v>
      </c>
      <c r="AA122" s="33">
        <v>1.81</v>
      </c>
      <c r="AB122" s="34">
        <v>11189049</v>
      </c>
      <c r="AC122" s="34">
        <v>6180500</v>
      </c>
    </row>
    <row r="123" spans="1:30" ht="10.5" customHeight="1" x14ac:dyDescent="0.15">
      <c r="A123" s="26" t="s">
        <v>2</v>
      </c>
      <c r="B123" s="26">
        <v>5</v>
      </c>
      <c r="C123" s="27">
        <v>40767</v>
      </c>
      <c r="D123" s="27">
        <v>235408</v>
      </c>
      <c r="E123" s="27">
        <v>198365</v>
      </c>
      <c r="F123" s="27">
        <v>198365</v>
      </c>
      <c r="G123" s="27">
        <v>509593</v>
      </c>
      <c r="H123" s="28">
        <v>0.38900000000000001</v>
      </c>
      <c r="I123" s="28">
        <v>0.38900000000000001</v>
      </c>
      <c r="J123" s="28">
        <v>0.46200000000000002</v>
      </c>
      <c r="K123" s="28">
        <v>0</v>
      </c>
      <c r="L123" s="55">
        <f>Tabelle1[[#This Row],[Spalte12]]-Tabelle1[[#This Row],[Spalte11]]</f>
        <v>7.0000000000000007E-2</v>
      </c>
      <c r="M123" s="28">
        <v>7.0000000000000007E-2</v>
      </c>
      <c r="N123" s="28">
        <v>8.5000000000000006E-2</v>
      </c>
      <c r="O123" s="28">
        <v>0.105</v>
      </c>
      <c r="P123" s="28">
        <v>0.08</v>
      </c>
      <c r="Q123" s="27">
        <v>2491730</v>
      </c>
      <c r="R123" s="29">
        <v>1.02</v>
      </c>
      <c r="S123" s="27">
        <v>5497365</v>
      </c>
      <c r="T123" s="27">
        <v>5367421</v>
      </c>
      <c r="U123" s="29">
        <v>1.02</v>
      </c>
      <c r="V123" s="27">
        <v>5551878</v>
      </c>
      <c r="W123" s="27">
        <v>5426237</v>
      </c>
      <c r="X123" s="29">
        <v>1.04</v>
      </c>
      <c r="Y123" s="27">
        <v>5672261</v>
      </c>
      <c r="Z123" s="27">
        <v>5468448</v>
      </c>
      <c r="AA123" s="29">
        <v>1.07</v>
      </c>
      <c r="AB123" s="27">
        <v>7747950</v>
      </c>
      <c r="AC123" s="27">
        <v>7217324</v>
      </c>
    </row>
    <row r="124" spans="1:30" ht="10.5" customHeight="1" x14ac:dyDescent="0.15">
      <c r="A124" s="30" t="s">
        <v>1</v>
      </c>
      <c r="B124" s="30">
        <v>5</v>
      </c>
      <c r="C124" s="31">
        <v>12813</v>
      </c>
      <c r="D124" s="31">
        <v>40824</v>
      </c>
      <c r="E124" s="31">
        <v>39401</v>
      </c>
      <c r="F124" s="31">
        <v>39401</v>
      </c>
      <c r="G124" s="31">
        <v>160163</v>
      </c>
      <c r="H124" s="32">
        <v>0.246</v>
      </c>
      <c r="I124" s="32">
        <v>0.246</v>
      </c>
      <c r="J124" s="32">
        <v>0.255</v>
      </c>
      <c r="K124" s="32">
        <v>7.0000000000000001E-3</v>
      </c>
      <c r="L124" s="56">
        <f>Tabelle1[[#This Row],[Spalte12]]-Tabelle1[[#This Row],[Spalte11]]</f>
        <v>6.9999999999999993E-2</v>
      </c>
      <c r="M124" s="32">
        <v>7.6999999999999999E-2</v>
      </c>
      <c r="N124" s="32">
        <v>9.1999999999999998E-2</v>
      </c>
      <c r="O124" s="32">
        <v>0.112</v>
      </c>
      <c r="P124" s="32">
        <v>0.13100000000000001</v>
      </c>
      <c r="Q124" s="31">
        <v>301445</v>
      </c>
      <c r="R124" s="33">
        <v>1.33</v>
      </c>
      <c r="S124" s="34">
        <v>24020</v>
      </c>
      <c r="T124" s="34">
        <v>17994</v>
      </c>
      <c r="U124" s="33">
        <v>1.72</v>
      </c>
      <c r="V124" s="34">
        <v>28452</v>
      </c>
      <c r="W124" s="34">
        <v>16550</v>
      </c>
      <c r="X124" s="33">
        <v>1.86</v>
      </c>
      <c r="Y124" s="34">
        <v>29255</v>
      </c>
      <c r="Z124" s="34">
        <v>15693</v>
      </c>
      <c r="AA124" s="33">
        <v>1.77</v>
      </c>
      <c r="AB124" s="34">
        <v>33006</v>
      </c>
      <c r="AC124" s="34">
        <v>18633</v>
      </c>
    </row>
    <row r="125" spans="1:30" ht="10.5" customHeight="1" x14ac:dyDescent="0.15">
      <c r="A125" s="30" t="s">
        <v>84</v>
      </c>
      <c r="B125" s="30">
        <v>5</v>
      </c>
      <c r="C125" s="31">
        <v>15123</v>
      </c>
      <c r="D125" s="31">
        <v>27246</v>
      </c>
      <c r="E125" s="31">
        <v>26114</v>
      </c>
      <c r="F125" s="31">
        <v>26114</v>
      </c>
      <c r="G125" s="31">
        <v>189042</v>
      </c>
      <c r="H125" s="32">
        <v>0.13800000000000001</v>
      </c>
      <c r="I125" s="32">
        <v>0.13800000000000001</v>
      </c>
      <c r="J125" s="32">
        <v>0.14399999999999999</v>
      </c>
      <c r="K125" s="32">
        <v>8.0000000000000002E-3</v>
      </c>
      <c r="L125" s="56">
        <f>Tabelle1[[#This Row],[Spalte12]]-Tabelle1[[#This Row],[Spalte11]]</f>
        <v>7.0000000000000007E-2</v>
      </c>
      <c r="M125" s="32">
        <v>7.8E-2</v>
      </c>
      <c r="N125" s="32">
        <v>9.2999999999999999E-2</v>
      </c>
      <c r="O125" s="32">
        <v>0.113</v>
      </c>
      <c r="P125" s="32">
        <v>7.1999999999999995E-2</v>
      </c>
      <c r="Q125" s="31">
        <v>362849</v>
      </c>
      <c r="R125" s="33">
        <v>1.68</v>
      </c>
      <c r="S125" s="34">
        <v>20791</v>
      </c>
      <c r="T125" s="34">
        <v>12346</v>
      </c>
      <c r="U125" s="33">
        <v>1.81</v>
      </c>
      <c r="V125" s="34">
        <v>22721</v>
      </c>
      <c r="W125" s="34">
        <v>12573</v>
      </c>
      <c r="X125" s="33">
        <v>2.5499999999999998</v>
      </c>
      <c r="Y125" s="34">
        <v>24386</v>
      </c>
      <c r="Z125" s="34">
        <v>9545</v>
      </c>
      <c r="AA125" s="33">
        <v>2.4</v>
      </c>
      <c r="AB125" s="34">
        <v>28695</v>
      </c>
      <c r="AC125" s="34">
        <v>11978</v>
      </c>
    </row>
    <row r="126" spans="1:30" ht="10.5" customHeight="1" x14ac:dyDescent="0.15">
      <c r="A126" s="30" t="s">
        <v>28</v>
      </c>
      <c r="B126" s="30">
        <v>5</v>
      </c>
      <c r="C126" s="35" t="s">
        <v>293</v>
      </c>
      <c r="D126" s="35" t="s">
        <v>293</v>
      </c>
      <c r="E126" s="35" t="s">
        <v>293</v>
      </c>
      <c r="F126" s="35" t="s">
        <v>293</v>
      </c>
      <c r="G126" s="35" t="s">
        <v>293</v>
      </c>
      <c r="H126" s="42" t="s">
        <v>293</v>
      </c>
      <c r="I126" s="42" t="s">
        <v>293</v>
      </c>
      <c r="J126" s="42" t="s">
        <v>293</v>
      </c>
      <c r="K126" s="42" t="s">
        <v>293</v>
      </c>
      <c r="L126" s="58" t="e">
        <f>Tabelle1[[#This Row],[Spalte12]]-Tabelle1[[#This Row],[Spalte11]]</f>
        <v>#VALUE!</v>
      </c>
      <c r="M126" s="42" t="s">
        <v>293</v>
      </c>
      <c r="N126" s="42" t="s">
        <v>293</v>
      </c>
      <c r="O126" s="42" t="s">
        <v>293</v>
      </c>
      <c r="P126" s="42" t="s">
        <v>293</v>
      </c>
      <c r="Q126" s="35" t="s">
        <v>293</v>
      </c>
      <c r="R126" s="37" t="s">
        <v>293</v>
      </c>
      <c r="S126" s="38" t="s">
        <v>293</v>
      </c>
      <c r="T126" s="38" t="s">
        <v>293</v>
      </c>
      <c r="U126" s="37" t="s">
        <v>293</v>
      </c>
      <c r="V126" s="38" t="s">
        <v>293</v>
      </c>
      <c r="W126" s="38" t="s">
        <v>293</v>
      </c>
      <c r="X126" s="37" t="s">
        <v>293</v>
      </c>
      <c r="Y126" s="38" t="s">
        <v>293</v>
      </c>
      <c r="Z126" s="38" t="s">
        <v>293</v>
      </c>
      <c r="AA126" s="37" t="s">
        <v>293</v>
      </c>
      <c r="AB126" s="38" t="s">
        <v>293</v>
      </c>
      <c r="AC126" s="38" t="s">
        <v>293</v>
      </c>
    </row>
    <row r="127" spans="1:30" ht="10.5" customHeight="1" x14ac:dyDescent="0.15">
      <c r="A127" s="30" t="s">
        <v>51</v>
      </c>
      <c r="B127" s="30">
        <v>5</v>
      </c>
      <c r="C127" s="35" t="s">
        <v>293</v>
      </c>
      <c r="D127" s="35" t="s">
        <v>293</v>
      </c>
      <c r="E127" s="35" t="s">
        <v>293</v>
      </c>
      <c r="F127" s="35" t="s">
        <v>293</v>
      </c>
      <c r="G127" s="35" t="s">
        <v>293</v>
      </c>
      <c r="H127" s="42" t="s">
        <v>293</v>
      </c>
      <c r="I127" s="42" t="s">
        <v>293</v>
      </c>
      <c r="J127" s="42" t="s">
        <v>293</v>
      </c>
      <c r="K127" s="42" t="s">
        <v>293</v>
      </c>
      <c r="L127" s="58" t="e">
        <f>Tabelle1[[#This Row],[Spalte12]]-Tabelle1[[#This Row],[Spalte11]]</f>
        <v>#VALUE!</v>
      </c>
      <c r="M127" s="42" t="s">
        <v>293</v>
      </c>
      <c r="N127" s="42" t="s">
        <v>293</v>
      </c>
      <c r="O127" s="42" t="s">
        <v>293</v>
      </c>
      <c r="P127" s="42" t="s">
        <v>293</v>
      </c>
      <c r="Q127" s="35" t="s">
        <v>293</v>
      </c>
      <c r="R127" s="37" t="s">
        <v>293</v>
      </c>
      <c r="S127" s="38" t="s">
        <v>293</v>
      </c>
      <c r="T127" s="38" t="s">
        <v>293</v>
      </c>
      <c r="U127" s="37" t="s">
        <v>293</v>
      </c>
      <c r="V127" s="38" t="s">
        <v>293</v>
      </c>
      <c r="W127" s="38" t="s">
        <v>293</v>
      </c>
      <c r="X127" s="37" t="s">
        <v>293</v>
      </c>
      <c r="Y127" s="38" t="s">
        <v>293</v>
      </c>
      <c r="Z127" s="38" t="s">
        <v>293</v>
      </c>
      <c r="AA127" s="37" t="s">
        <v>293</v>
      </c>
      <c r="AB127" s="38" t="s">
        <v>293</v>
      </c>
      <c r="AC127" s="38" t="s">
        <v>293</v>
      </c>
    </row>
    <row r="128" spans="1:30" ht="10.5" customHeight="1" x14ac:dyDescent="0.15">
      <c r="A128" s="30" t="s">
        <v>123</v>
      </c>
      <c r="B128" s="30">
        <v>5</v>
      </c>
      <c r="C128" s="31">
        <v>9445</v>
      </c>
      <c r="D128" s="31">
        <v>23368</v>
      </c>
      <c r="E128" s="31">
        <v>23368</v>
      </c>
      <c r="F128" s="31">
        <v>23368</v>
      </c>
      <c r="G128" s="31">
        <v>118066</v>
      </c>
      <c r="H128" s="32">
        <v>0.19800000000000001</v>
      </c>
      <c r="I128" s="32">
        <v>0.19800000000000001</v>
      </c>
      <c r="J128" s="32">
        <v>0.19800000000000001</v>
      </c>
      <c r="K128" s="32">
        <v>0</v>
      </c>
      <c r="L128" s="56">
        <f>Tabelle1[[#This Row],[Spalte12]]-Tabelle1[[#This Row],[Spalte11]]</f>
        <v>7.0000000000000007E-2</v>
      </c>
      <c r="M128" s="32">
        <v>7.0000000000000007E-2</v>
      </c>
      <c r="N128" s="32">
        <v>8.5000000000000006E-2</v>
      </c>
      <c r="O128" s="32">
        <v>0.105</v>
      </c>
      <c r="P128" s="32">
        <v>3.9E-2</v>
      </c>
      <c r="Q128" s="31">
        <v>605378</v>
      </c>
      <c r="R128" s="33">
        <v>1.23</v>
      </c>
      <c r="S128" s="34">
        <v>40837</v>
      </c>
      <c r="T128" s="34">
        <v>33237</v>
      </c>
      <c r="U128" s="33">
        <v>1.32</v>
      </c>
      <c r="V128" s="34">
        <v>40374</v>
      </c>
      <c r="W128" s="34">
        <v>30602</v>
      </c>
      <c r="X128" s="33">
        <v>1.38</v>
      </c>
      <c r="Y128" s="34">
        <v>41081</v>
      </c>
      <c r="Z128" s="34">
        <v>29852</v>
      </c>
      <c r="AA128" s="33">
        <v>1.48</v>
      </c>
      <c r="AB128" s="34">
        <v>44793</v>
      </c>
      <c r="AC128" s="34">
        <v>30245</v>
      </c>
    </row>
    <row r="129" spans="1:29" ht="10.5" customHeight="1" x14ac:dyDescent="0.15">
      <c r="A129" s="30" t="s">
        <v>194</v>
      </c>
      <c r="B129" s="30">
        <v>5</v>
      </c>
      <c r="C129" s="31">
        <v>31790</v>
      </c>
      <c r="D129" s="31">
        <v>97112</v>
      </c>
      <c r="E129" s="31">
        <v>97112</v>
      </c>
      <c r="F129" s="31">
        <v>97112</v>
      </c>
      <c r="G129" s="31">
        <v>397381</v>
      </c>
      <c r="H129" s="32">
        <v>0.24399999999999999</v>
      </c>
      <c r="I129" s="32">
        <v>0.24399999999999999</v>
      </c>
      <c r="J129" s="32">
        <v>0.24399999999999999</v>
      </c>
      <c r="K129" s="32">
        <v>1E-3</v>
      </c>
      <c r="L129" s="56">
        <f>Tabelle1[[#This Row],[Spalte12]]-Tabelle1[[#This Row],[Spalte11]]</f>
        <v>6.9999999999999993E-2</v>
      </c>
      <c r="M129" s="32">
        <v>7.0999999999999994E-2</v>
      </c>
      <c r="N129" s="32">
        <v>8.5999999999999993E-2</v>
      </c>
      <c r="O129" s="32">
        <v>0.106</v>
      </c>
      <c r="P129" s="32">
        <v>0.128</v>
      </c>
      <c r="Q129" s="31">
        <v>758858</v>
      </c>
      <c r="R129" s="33">
        <v>2.06</v>
      </c>
      <c r="S129" s="34">
        <v>133989</v>
      </c>
      <c r="T129" s="34">
        <v>65031</v>
      </c>
      <c r="U129" s="33">
        <v>1.54</v>
      </c>
      <c r="V129" s="34">
        <v>105320</v>
      </c>
      <c r="W129" s="34">
        <v>68356</v>
      </c>
      <c r="X129" s="33">
        <v>1.39</v>
      </c>
      <c r="Y129" s="34">
        <v>97860</v>
      </c>
      <c r="Z129" s="34">
        <v>70381</v>
      </c>
      <c r="AA129" s="33">
        <v>1.67</v>
      </c>
      <c r="AB129" s="34">
        <v>97489</v>
      </c>
      <c r="AC129" s="34">
        <v>58234</v>
      </c>
    </row>
    <row r="130" spans="1:29" ht="10.5" customHeight="1" x14ac:dyDescent="0.15">
      <c r="A130" s="30" t="s">
        <v>134</v>
      </c>
      <c r="B130" s="30">
        <v>5</v>
      </c>
      <c r="C130" s="31">
        <v>1415</v>
      </c>
      <c r="D130" s="31">
        <v>3356</v>
      </c>
      <c r="E130" s="31">
        <v>3356</v>
      </c>
      <c r="F130" s="31">
        <v>3356</v>
      </c>
      <c r="G130" s="31">
        <v>17684</v>
      </c>
      <c r="H130" s="32">
        <v>0.19</v>
      </c>
      <c r="I130" s="32">
        <v>0.19</v>
      </c>
      <c r="J130" s="32">
        <v>0.19</v>
      </c>
      <c r="K130" s="32">
        <v>0</v>
      </c>
      <c r="L130" s="56">
        <f>Tabelle1[[#This Row],[Spalte12]]-Tabelle1[[#This Row],[Spalte11]]</f>
        <v>7.0000000000000007E-2</v>
      </c>
      <c r="M130" s="32">
        <v>7.0000000000000007E-2</v>
      </c>
      <c r="N130" s="32">
        <v>8.5000000000000006E-2</v>
      </c>
      <c r="O130" s="32">
        <v>0.105</v>
      </c>
      <c r="P130" s="32">
        <v>0.16</v>
      </c>
      <c r="Q130" s="31">
        <v>21033</v>
      </c>
      <c r="R130" s="37" t="s">
        <v>294</v>
      </c>
      <c r="S130" s="38" t="s">
        <v>294</v>
      </c>
      <c r="T130" s="38" t="s">
        <v>294</v>
      </c>
      <c r="U130" s="37" t="s">
        <v>294</v>
      </c>
      <c r="V130" s="38" t="s">
        <v>294</v>
      </c>
      <c r="W130" s="38" t="s">
        <v>294</v>
      </c>
      <c r="X130" s="37" t="s">
        <v>294</v>
      </c>
      <c r="Y130" s="38" t="s">
        <v>294</v>
      </c>
      <c r="Z130" s="38" t="s">
        <v>294</v>
      </c>
      <c r="AA130" s="37" t="s">
        <v>294</v>
      </c>
      <c r="AB130" s="38" t="s">
        <v>294</v>
      </c>
      <c r="AC130" s="38" t="s">
        <v>294</v>
      </c>
    </row>
    <row r="131" spans="1:29" ht="10.5" customHeight="1" x14ac:dyDescent="0.15">
      <c r="A131" s="30" t="s">
        <v>178</v>
      </c>
      <c r="B131" s="30">
        <v>4</v>
      </c>
      <c r="C131" s="31">
        <v>84614</v>
      </c>
      <c r="D131" s="31">
        <v>243813</v>
      </c>
      <c r="E131" s="31">
        <v>243813</v>
      </c>
      <c r="F131" s="31">
        <v>243813</v>
      </c>
      <c r="G131" s="31">
        <v>1057681</v>
      </c>
      <c r="H131" s="32">
        <v>0.23100000000000001</v>
      </c>
      <c r="I131" s="32">
        <v>0.23100000000000001</v>
      </c>
      <c r="J131" s="32">
        <v>0.23100000000000001</v>
      </c>
      <c r="K131" s="32">
        <v>0</v>
      </c>
      <c r="L131" s="56">
        <f>Tabelle1[[#This Row],[Spalte12]]-Tabelle1[[#This Row],[Spalte11]]</f>
        <v>7.3999999999999996E-2</v>
      </c>
      <c r="M131" s="32">
        <v>7.3999999999999996E-2</v>
      </c>
      <c r="N131" s="32">
        <v>0.09</v>
      </c>
      <c r="O131" s="32">
        <v>0.112</v>
      </c>
      <c r="P131" s="32">
        <v>0.1</v>
      </c>
      <c r="Q131" s="31">
        <v>2432791</v>
      </c>
      <c r="R131" s="33">
        <v>2.6</v>
      </c>
      <c r="S131" s="34">
        <v>1003199</v>
      </c>
      <c r="T131" s="34">
        <v>385475</v>
      </c>
      <c r="U131" s="33">
        <v>2.04</v>
      </c>
      <c r="V131" s="34">
        <v>1007829</v>
      </c>
      <c r="W131" s="34">
        <v>495136</v>
      </c>
      <c r="X131" s="33">
        <v>2.0299999999999998</v>
      </c>
      <c r="Y131" s="34">
        <v>866804</v>
      </c>
      <c r="Z131" s="34">
        <v>426914</v>
      </c>
      <c r="AA131" s="33">
        <v>1.82</v>
      </c>
      <c r="AB131" s="34">
        <v>704032</v>
      </c>
      <c r="AC131" s="34">
        <v>386128</v>
      </c>
    </row>
    <row r="132" spans="1:29" ht="10.5" customHeight="1" x14ac:dyDescent="0.15">
      <c r="A132" s="30" t="s">
        <v>164</v>
      </c>
      <c r="B132" s="30">
        <v>5</v>
      </c>
      <c r="C132" s="35" t="s">
        <v>293</v>
      </c>
      <c r="D132" s="35" t="s">
        <v>293</v>
      </c>
      <c r="E132" s="35" t="s">
        <v>293</v>
      </c>
      <c r="F132" s="35" t="s">
        <v>293</v>
      </c>
      <c r="G132" s="35" t="s">
        <v>293</v>
      </c>
      <c r="H132" s="42" t="s">
        <v>293</v>
      </c>
      <c r="I132" s="42" t="s">
        <v>293</v>
      </c>
      <c r="J132" s="42" t="s">
        <v>293</v>
      </c>
      <c r="K132" s="42" t="s">
        <v>293</v>
      </c>
      <c r="L132" s="58" t="e">
        <f>Tabelle1[[#This Row],[Spalte12]]-Tabelle1[[#This Row],[Spalte11]]</f>
        <v>#VALUE!</v>
      </c>
      <c r="M132" s="42" t="s">
        <v>293</v>
      </c>
      <c r="N132" s="42" t="s">
        <v>293</v>
      </c>
      <c r="O132" s="42" t="s">
        <v>293</v>
      </c>
      <c r="P132" s="42" t="s">
        <v>293</v>
      </c>
      <c r="Q132" s="35" t="s">
        <v>293</v>
      </c>
      <c r="R132" s="37" t="s">
        <v>293</v>
      </c>
      <c r="S132" s="38" t="s">
        <v>293</v>
      </c>
      <c r="T132" s="38" t="s">
        <v>293</v>
      </c>
      <c r="U132" s="37" t="s">
        <v>293</v>
      </c>
      <c r="V132" s="38" t="s">
        <v>293</v>
      </c>
      <c r="W132" s="38" t="s">
        <v>293</v>
      </c>
      <c r="X132" s="37" t="s">
        <v>293</v>
      </c>
      <c r="Y132" s="38" t="s">
        <v>293</v>
      </c>
      <c r="Z132" s="38" t="s">
        <v>293</v>
      </c>
      <c r="AA132" s="37" t="s">
        <v>293</v>
      </c>
      <c r="AB132" s="38" t="s">
        <v>293</v>
      </c>
      <c r="AC132" s="38" t="s">
        <v>293</v>
      </c>
    </row>
    <row r="133" spans="1:29" ht="10.5" customHeight="1" x14ac:dyDescent="0.15">
      <c r="A133" s="30" t="s">
        <v>129</v>
      </c>
      <c r="B133" s="30">
        <v>4</v>
      </c>
      <c r="C133" s="31">
        <v>41968</v>
      </c>
      <c r="D133" s="31">
        <v>121722</v>
      </c>
      <c r="E133" s="31">
        <v>121722</v>
      </c>
      <c r="F133" s="31">
        <v>121722</v>
      </c>
      <c r="G133" s="31">
        <v>524596</v>
      </c>
      <c r="H133" s="32">
        <v>0.23200000000000001</v>
      </c>
      <c r="I133" s="32">
        <v>0.23200000000000001</v>
      </c>
      <c r="J133" s="32">
        <v>0.23200000000000001</v>
      </c>
      <c r="K133" s="32">
        <v>1E-3</v>
      </c>
      <c r="L133" s="56">
        <f>Tabelle1[[#This Row],[Spalte12]]-Tabelle1[[#This Row],[Spalte11]]</f>
        <v>7.3999999999999996E-2</v>
      </c>
      <c r="M133" s="32">
        <v>7.4999999999999997E-2</v>
      </c>
      <c r="N133" s="32">
        <v>9.0999999999999998E-2</v>
      </c>
      <c r="O133" s="32">
        <v>0.113</v>
      </c>
      <c r="P133" s="32">
        <v>9.1399999999999995E-2</v>
      </c>
      <c r="Q133" s="31">
        <v>1331431</v>
      </c>
      <c r="R133" s="33">
        <v>1.2909999999999999</v>
      </c>
      <c r="S133" s="34">
        <v>487514</v>
      </c>
      <c r="T133" s="34">
        <v>377537</v>
      </c>
      <c r="U133" s="33">
        <v>1.3340000000000001</v>
      </c>
      <c r="V133" s="34">
        <v>480380</v>
      </c>
      <c r="W133" s="34">
        <v>360035</v>
      </c>
      <c r="X133" s="33">
        <v>1.3169999999999999</v>
      </c>
      <c r="Y133" s="34">
        <v>475090</v>
      </c>
      <c r="Z133" s="34">
        <v>360660</v>
      </c>
      <c r="AA133" s="33">
        <v>1.403</v>
      </c>
      <c r="AB133" s="34">
        <v>479288</v>
      </c>
      <c r="AC133" s="34">
        <v>341694</v>
      </c>
    </row>
    <row r="134" spans="1:29" ht="10.5" customHeight="1" x14ac:dyDescent="0.15">
      <c r="A134" s="30" t="s">
        <v>111</v>
      </c>
      <c r="B134" s="30">
        <v>5</v>
      </c>
      <c r="C134" s="31">
        <v>13772</v>
      </c>
      <c r="D134" s="31">
        <v>24376</v>
      </c>
      <c r="E134" s="31">
        <v>20330</v>
      </c>
      <c r="F134" s="31">
        <v>21080</v>
      </c>
      <c r="G134" s="31">
        <v>172154</v>
      </c>
      <c r="H134" s="32">
        <v>0.11799999999999999</v>
      </c>
      <c r="I134" s="32">
        <v>0.122</v>
      </c>
      <c r="J134" s="32">
        <v>0.14199999999999999</v>
      </c>
      <c r="K134" s="32">
        <v>7.0000000000000001E-3</v>
      </c>
      <c r="L134" s="56">
        <f>Tabelle1[[#This Row],[Spalte12]]-Tabelle1[[#This Row],[Spalte11]]</f>
        <v>6.9999999999999993E-2</v>
      </c>
      <c r="M134" s="32">
        <v>7.6999999999999999E-2</v>
      </c>
      <c r="N134" s="32">
        <v>9.1999999999999998E-2</v>
      </c>
      <c r="O134" s="32">
        <v>0.112</v>
      </c>
      <c r="P134" s="32">
        <v>6.7000000000000004E-2</v>
      </c>
      <c r="Q134" s="31">
        <v>312668</v>
      </c>
      <c r="R134" s="33">
        <v>1.26</v>
      </c>
      <c r="S134" s="34">
        <v>30988</v>
      </c>
      <c r="T134" s="34">
        <v>24672</v>
      </c>
      <c r="U134" s="33">
        <v>1.25</v>
      </c>
      <c r="V134" s="34">
        <v>27517</v>
      </c>
      <c r="W134" s="34">
        <v>22077</v>
      </c>
      <c r="X134" s="33">
        <v>1.67</v>
      </c>
      <c r="Y134" s="34">
        <v>30344</v>
      </c>
      <c r="Z134" s="34">
        <v>18123</v>
      </c>
      <c r="AA134" s="33">
        <v>1.89</v>
      </c>
      <c r="AB134" s="34">
        <v>33629</v>
      </c>
      <c r="AC134" s="34">
        <v>17775</v>
      </c>
    </row>
    <row r="135" spans="1:29" ht="10.5" customHeight="1" x14ac:dyDescent="0.15">
      <c r="A135" s="30" t="s">
        <v>126</v>
      </c>
      <c r="B135" s="30">
        <v>5</v>
      </c>
      <c r="C135" s="31">
        <v>106772</v>
      </c>
      <c r="D135" s="31">
        <v>230141</v>
      </c>
      <c r="E135" s="31">
        <v>230141</v>
      </c>
      <c r="F135" s="31">
        <v>230141</v>
      </c>
      <c r="G135" s="31">
        <v>1334646</v>
      </c>
      <c r="H135" s="32">
        <v>0.17199999999999999</v>
      </c>
      <c r="I135" s="32">
        <v>0.17199999999999999</v>
      </c>
      <c r="J135" s="32">
        <v>0.17199999999999999</v>
      </c>
      <c r="K135" s="32">
        <v>0</v>
      </c>
      <c r="L135" s="56">
        <f>Tabelle1[[#This Row],[Spalte12]]-Tabelle1[[#This Row],[Spalte11]]</f>
        <v>7.0000000000000007E-2</v>
      </c>
      <c r="M135" s="32">
        <v>7.0000000000000007E-2</v>
      </c>
      <c r="N135" s="32">
        <v>8.5000000000000006E-2</v>
      </c>
      <c r="O135" s="32">
        <v>0.105</v>
      </c>
      <c r="P135" s="32">
        <v>0.108</v>
      </c>
      <c r="Q135" s="31">
        <v>2125728</v>
      </c>
      <c r="R135" s="33">
        <v>1.21</v>
      </c>
      <c r="S135" s="34">
        <v>955383</v>
      </c>
      <c r="T135" s="34">
        <v>787066</v>
      </c>
      <c r="U135" s="33">
        <v>1.29</v>
      </c>
      <c r="V135" s="34">
        <v>1246053</v>
      </c>
      <c r="W135" s="34">
        <v>965175</v>
      </c>
      <c r="X135" s="33">
        <v>1.56</v>
      </c>
      <c r="Y135" s="34">
        <v>680959</v>
      </c>
      <c r="Z135" s="34">
        <v>437666</v>
      </c>
      <c r="AA135" s="33">
        <v>2.1</v>
      </c>
      <c r="AB135" s="34">
        <v>492842</v>
      </c>
      <c r="AC135" s="34">
        <v>234641</v>
      </c>
    </row>
    <row r="136" spans="1:29" ht="10.5" customHeight="1" x14ac:dyDescent="0.15">
      <c r="A136" s="30" t="s">
        <v>162</v>
      </c>
      <c r="B136" s="30">
        <v>4</v>
      </c>
      <c r="C136" s="31">
        <v>59085</v>
      </c>
      <c r="D136" s="31">
        <v>290853</v>
      </c>
      <c r="E136" s="31">
        <v>290853</v>
      </c>
      <c r="F136" s="31">
        <v>290853</v>
      </c>
      <c r="G136" s="31">
        <v>738561</v>
      </c>
      <c r="H136" s="32">
        <v>0.39400000000000002</v>
      </c>
      <c r="I136" s="32">
        <v>0.39400000000000002</v>
      </c>
      <c r="J136" s="32">
        <v>0.39400000000000002</v>
      </c>
      <c r="K136" s="32">
        <v>1.2E-2</v>
      </c>
      <c r="L136" s="56">
        <f>Tabelle1[[#This Row],[Spalte12]]-Tabelle1[[#This Row],[Spalte11]]</f>
        <v>7.3999999999999996E-2</v>
      </c>
      <c r="M136" s="32">
        <v>8.5999999999999993E-2</v>
      </c>
      <c r="N136" s="32">
        <v>0.10199999999999999</v>
      </c>
      <c r="O136" s="32">
        <v>0.124</v>
      </c>
      <c r="P136" s="32">
        <v>0.17399999999999999</v>
      </c>
      <c r="Q136" s="31">
        <v>1669212</v>
      </c>
      <c r="R136" s="33">
        <v>1.61</v>
      </c>
      <c r="S136" s="34">
        <v>208717</v>
      </c>
      <c r="T136" s="34">
        <v>129574</v>
      </c>
      <c r="U136" s="33">
        <v>1.68</v>
      </c>
      <c r="V136" s="34">
        <v>229639</v>
      </c>
      <c r="W136" s="34">
        <v>136297</v>
      </c>
      <c r="X136" s="33">
        <v>1.87</v>
      </c>
      <c r="Y136" s="34">
        <v>233452</v>
      </c>
      <c r="Z136" s="34">
        <v>124721</v>
      </c>
      <c r="AA136" s="33">
        <v>2.04</v>
      </c>
      <c r="AB136" s="34">
        <v>239712</v>
      </c>
      <c r="AC136" s="34">
        <v>117426</v>
      </c>
    </row>
    <row r="137" spans="1:29" ht="10.5" customHeight="1" x14ac:dyDescent="0.15">
      <c r="A137" s="30" t="s">
        <v>15</v>
      </c>
      <c r="B137" s="30">
        <v>4</v>
      </c>
      <c r="C137" s="35" t="s">
        <v>293</v>
      </c>
      <c r="D137" s="35" t="s">
        <v>293</v>
      </c>
      <c r="E137" s="35" t="s">
        <v>293</v>
      </c>
      <c r="F137" s="35" t="s">
        <v>293</v>
      </c>
      <c r="G137" s="35" t="s">
        <v>293</v>
      </c>
      <c r="H137" s="42" t="s">
        <v>293</v>
      </c>
      <c r="I137" s="42" t="s">
        <v>293</v>
      </c>
      <c r="J137" s="42" t="s">
        <v>293</v>
      </c>
      <c r="K137" s="42" t="s">
        <v>293</v>
      </c>
      <c r="L137" s="58" t="e">
        <f>Tabelle1[[#This Row],[Spalte12]]-Tabelle1[[#This Row],[Spalte11]]</f>
        <v>#VALUE!</v>
      </c>
      <c r="M137" s="42" t="s">
        <v>293</v>
      </c>
      <c r="N137" s="42" t="s">
        <v>293</v>
      </c>
      <c r="O137" s="42" t="s">
        <v>293</v>
      </c>
      <c r="P137" s="42" t="s">
        <v>293</v>
      </c>
      <c r="Q137" s="35" t="s">
        <v>293</v>
      </c>
      <c r="R137" s="37" t="s">
        <v>293</v>
      </c>
      <c r="S137" s="38" t="s">
        <v>293</v>
      </c>
      <c r="T137" s="38" t="s">
        <v>293</v>
      </c>
      <c r="U137" s="37" t="s">
        <v>293</v>
      </c>
      <c r="V137" s="38" t="s">
        <v>293</v>
      </c>
      <c r="W137" s="38" t="s">
        <v>293</v>
      </c>
      <c r="X137" s="37" t="s">
        <v>293</v>
      </c>
      <c r="Y137" s="38" t="s">
        <v>293</v>
      </c>
      <c r="Z137" s="38" t="s">
        <v>293</v>
      </c>
      <c r="AA137" s="37" t="s">
        <v>293</v>
      </c>
      <c r="AB137" s="38" t="s">
        <v>293</v>
      </c>
      <c r="AC137" s="38" t="s">
        <v>293</v>
      </c>
    </row>
    <row r="138" spans="1:29" ht="10.5" customHeight="1" x14ac:dyDescent="0.15">
      <c r="A138" s="30" t="s">
        <v>218</v>
      </c>
      <c r="B138" s="30">
        <v>5</v>
      </c>
      <c r="C138" s="31">
        <v>2695</v>
      </c>
      <c r="D138" s="31">
        <v>20265</v>
      </c>
      <c r="E138" s="31">
        <v>20265</v>
      </c>
      <c r="F138" s="31">
        <v>20265</v>
      </c>
      <c r="G138" s="31">
        <v>33692</v>
      </c>
      <c r="H138" s="32">
        <v>0.60099999999999998</v>
      </c>
      <c r="I138" s="32">
        <v>0.60099999999999998</v>
      </c>
      <c r="J138" s="32">
        <v>0.60099999999999998</v>
      </c>
      <c r="K138" s="32">
        <v>0</v>
      </c>
      <c r="L138" s="56">
        <f>Tabelle1[[#This Row],[Spalte12]]-Tabelle1[[#This Row],[Spalte11]]</f>
        <v>7.0000000000000007E-2</v>
      </c>
      <c r="M138" s="32">
        <v>7.0000000000000007E-2</v>
      </c>
      <c r="N138" s="32">
        <v>8.5000000000000006E-2</v>
      </c>
      <c r="O138" s="32">
        <v>0.105</v>
      </c>
      <c r="P138" s="32">
        <v>0.39500000000000002</v>
      </c>
      <c r="Q138" s="31">
        <v>51366</v>
      </c>
      <c r="R138" s="33">
        <v>9.3000000000000007</v>
      </c>
      <c r="S138" s="34">
        <v>17151</v>
      </c>
      <c r="T138" s="34">
        <v>1845</v>
      </c>
      <c r="U138" s="33">
        <v>12.41</v>
      </c>
      <c r="V138" s="34">
        <v>13986</v>
      </c>
      <c r="W138" s="34">
        <v>1127</v>
      </c>
      <c r="X138" s="33">
        <v>12.28</v>
      </c>
      <c r="Y138" s="34">
        <v>21630</v>
      </c>
      <c r="Z138" s="34">
        <v>1761</v>
      </c>
      <c r="AA138" s="33">
        <v>3.45</v>
      </c>
      <c r="AB138" s="34">
        <v>18662</v>
      </c>
      <c r="AC138" s="34">
        <v>5406</v>
      </c>
    </row>
    <row r="139" spans="1:29" ht="10.5" customHeight="1" x14ac:dyDescent="0.15">
      <c r="A139" s="30" t="s">
        <v>122</v>
      </c>
      <c r="B139" s="30">
        <v>5</v>
      </c>
      <c r="C139" s="35" t="s">
        <v>293</v>
      </c>
      <c r="D139" s="35" t="s">
        <v>293</v>
      </c>
      <c r="E139" s="35" t="s">
        <v>293</v>
      </c>
      <c r="F139" s="35" t="s">
        <v>293</v>
      </c>
      <c r="G139" s="35" t="s">
        <v>293</v>
      </c>
      <c r="H139" s="42" t="s">
        <v>293</v>
      </c>
      <c r="I139" s="42" t="s">
        <v>293</v>
      </c>
      <c r="J139" s="42" t="s">
        <v>293</v>
      </c>
      <c r="K139" s="42" t="s">
        <v>293</v>
      </c>
      <c r="L139" s="58" t="e">
        <f>Tabelle1[[#This Row],[Spalte12]]-Tabelle1[[#This Row],[Spalte11]]</f>
        <v>#VALUE!</v>
      </c>
      <c r="M139" s="42" t="s">
        <v>293</v>
      </c>
      <c r="N139" s="42" t="s">
        <v>293</v>
      </c>
      <c r="O139" s="42" t="s">
        <v>293</v>
      </c>
      <c r="P139" s="42" t="s">
        <v>293</v>
      </c>
      <c r="Q139" s="35" t="s">
        <v>293</v>
      </c>
      <c r="R139" s="37" t="s">
        <v>293</v>
      </c>
      <c r="S139" s="38" t="s">
        <v>293</v>
      </c>
      <c r="T139" s="38" t="s">
        <v>293</v>
      </c>
      <c r="U139" s="37" t="s">
        <v>293</v>
      </c>
      <c r="V139" s="38" t="s">
        <v>293</v>
      </c>
      <c r="W139" s="38" t="s">
        <v>293</v>
      </c>
      <c r="X139" s="37" t="s">
        <v>293</v>
      </c>
      <c r="Y139" s="38" t="s">
        <v>293</v>
      </c>
      <c r="Z139" s="38" t="s">
        <v>293</v>
      </c>
      <c r="AA139" s="37" t="s">
        <v>293</v>
      </c>
      <c r="AB139" s="38" t="s">
        <v>293</v>
      </c>
      <c r="AC139" s="38" t="s">
        <v>293</v>
      </c>
    </row>
    <row r="140" spans="1:29" ht="10.5" customHeight="1" x14ac:dyDescent="0.15">
      <c r="A140" s="30" t="s">
        <v>93</v>
      </c>
      <c r="B140" s="30">
        <v>5</v>
      </c>
      <c r="C140" s="31">
        <v>10007</v>
      </c>
      <c r="D140" s="31">
        <v>32158</v>
      </c>
      <c r="E140" s="31">
        <v>24929</v>
      </c>
      <c r="F140" s="31">
        <v>31929</v>
      </c>
      <c r="G140" s="31">
        <v>125090</v>
      </c>
      <c r="H140" s="32">
        <v>0.19900000000000001</v>
      </c>
      <c r="I140" s="32">
        <v>0.255</v>
      </c>
      <c r="J140" s="32">
        <v>0.25700000000000001</v>
      </c>
      <c r="K140" s="32">
        <v>0</v>
      </c>
      <c r="L140" s="56">
        <f>Tabelle1[[#This Row],[Spalte12]]-Tabelle1[[#This Row],[Spalte11]]</f>
        <v>7.0000000000000007E-2</v>
      </c>
      <c r="M140" s="32">
        <v>7.0000000000000007E-2</v>
      </c>
      <c r="N140" s="32">
        <v>8.5000000000000006E-2</v>
      </c>
      <c r="O140" s="32">
        <v>0.105</v>
      </c>
      <c r="P140" s="32">
        <v>4.4999999999999998E-2</v>
      </c>
      <c r="Q140" s="31">
        <v>702160</v>
      </c>
      <c r="R140" s="33">
        <v>3.36</v>
      </c>
      <c r="S140" s="34">
        <v>475850</v>
      </c>
      <c r="T140" s="34">
        <v>141822</v>
      </c>
      <c r="U140" s="33">
        <v>2.85</v>
      </c>
      <c r="V140" s="34">
        <v>509966</v>
      </c>
      <c r="W140" s="34">
        <v>178903</v>
      </c>
      <c r="X140" s="33">
        <v>2.84</v>
      </c>
      <c r="Y140" s="34">
        <v>510239</v>
      </c>
      <c r="Z140" s="34">
        <v>179893</v>
      </c>
      <c r="AA140" s="33">
        <v>2.72</v>
      </c>
      <c r="AB140" s="34">
        <v>458074</v>
      </c>
      <c r="AC140" s="34">
        <v>168543</v>
      </c>
    </row>
    <row r="141" spans="1:29" ht="10.5" customHeight="1" x14ac:dyDescent="0.15">
      <c r="A141" s="30" t="s">
        <v>188</v>
      </c>
      <c r="B141" s="30">
        <v>5</v>
      </c>
      <c r="C141" s="31">
        <v>12273</v>
      </c>
      <c r="D141" s="31">
        <v>43322</v>
      </c>
      <c r="E141" s="31">
        <v>39222</v>
      </c>
      <c r="F141" s="31">
        <v>43222</v>
      </c>
      <c r="G141" s="31">
        <v>153418</v>
      </c>
      <c r="H141" s="32">
        <v>0.25600000000000001</v>
      </c>
      <c r="I141" s="32">
        <v>0.28199999999999997</v>
      </c>
      <c r="J141" s="32">
        <v>0.28199999999999997</v>
      </c>
      <c r="K141" s="32">
        <v>0</v>
      </c>
      <c r="L141" s="56">
        <f>Tabelle1[[#This Row],[Spalte12]]-Tabelle1[[#This Row],[Spalte11]]</f>
        <v>7.0000000000000007E-2</v>
      </c>
      <c r="M141" s="32">
        <v>7.0000000000000007E-2</v>
      </c>
      <c r="N141" s="32">
        <v>8.5000000000000006E-2</v>
      </c>
      <c r="O141" s="32">
        <v>0.105</v>
      </c>
      <c r="P141" s="32">
        <v>5.7000000000000002E-2</v>
      </c>
      <c r="Q141" s="31">
        <v>759796</v>
      </c>
      <c r="R141" s="33">
        <v>15.42</v>
      </c>
      <c r="S141" s="34">
        <v>476221</v>
      </c>
      <c r="T141" s="34">
        <v>30893</v>
      </c>
      <c r="U141" s="33">
        <v>11.51</v>
      </c>
      <c r="V141" s="34">
        <v>510211</v>
      </c>
      <c r="W141" s="34">
        <v>44325</v>
      </c>
      <c r="X141" s="33">
        <v>7.32</v>
      </c>
      <c r="Y141" s="34">
        <v>510348</v>
      </c>
      <c r="Z141" s="34">
        <v>69682</v>
      </c>
      <c r="AA141" s="33">
        <v>7.48</v>
      </c>
      <c r="AB141" s="34">
        <v>458093</v>
      </c>
      <c r="AC141" s="34">
        <v>61227</v>
      </c>
    </row>
    <row r="142" spans="1:29" ht="10.5" customHeight="1" x14ac:dyDescent="0.15">
      <c r="A142" s="30" t="s">
        <v>217</v>
      </c>
      <c r="B142" s="30">
        <v>5</v>
      </c>
      <c r="C142" s="35" t="s">
        <v>293</v>
      </c>
      <c r="D142" s="35" t="s">
        <v>293</v>
      </c>
      <c r="E142" s="35" t="s">
        <v>293</v>
      </c>
      <c r="F142" s="35" t="s">
        <v>293</v>
      </c>
      <c r="G142" s="35" t="s">
        <v>293</v>
      </c>
      <c r="H142" s="42" t="s">
        <v>293</v>
      </c>
      <c r="I142" s="42" t="s">
        <v>293</v>
      </c>
      <c r="J142" s="42" t="s">
        <v>293</v>
      </c>
      <c r="K142" s="42" t="s">
        <v>293</v>
      </c>
      <c r="L142" s="58" t="e">
        <f>Tabelle1[[#This Row],[Spalte12]]-Tabelle1[[#This Row],[Spalte11]]</f>
        <v>#VALUE!</v>
      </c>
      <c r="M142" s="42" t="s">
        <v>293</v>
      </c>
      <c r="N142" s="42" t="s">
        <v>293</v>
      </c>
      <c r="O142" s="42" t="s">
        <v>293</v>
      </c>
      <c r="P142" s="42" t="s">
        <v>293</v>
      </c>
      <c r="Q142" s="35" t="s">
        <v>293</v>
      </c>
      <c r="R142" s="37" t="s">
        <v>293</v>
      </c>
      <c r="S142" s="38" t="s">
        <v>293</v>
      </c>
      <c r="T142" s="38" t="s">
        <v>293</v>
      </c>
      <c r="U142" s="37" t="s">
        <v>293</v>
      </c>
      <c r="V142" s="38" t="s">
        <v>293</v>
      </c>
      <c r="W142" s="38" t="s">
        <v>293</v>
      </c>
      <c r="X142" s="37" t="s">
        <v>293</v>
      </c>
      <c r="Y142" s="38" t="s">
        <v>293</v>
      </c>
      <c r="Z142" s="38" t="s">
        <v>293</v>
      </c>
      <c r="AA142" s="37" t="s">
        <v>293</v>
      </c>
      <c r="AB142" s="38" t="s">
        <v>293</v>
      </c>
      <c r="AC142" s="38" t="s">
        <v>293</v>
      </c>
    </row>
    <row r="143" spans="1:29" ht="10.5" customHeight="1" x14ac:dyDescent="0.15">
      <c r="A143" s="30" t="s">
        <v>35</v>
      </c>
      <c r="B143" s="30">
        <v>3</v>
      </c>
      <c r="C143" s="31">
        <v>987649</v>
      </c>
      <c r="D143" s="31">
        <v>2583160</v>
      </c>
      <c r="E143" s="31">
        <v>2583160</v>
      </c>
      <c r="F143" s="31">
        <v>2583160</v>
      </c>
      <c r="G143" s="31">
        <v>12345611</v>
      </c>
      <c r="H143" s="32">
        <v>0.20899999999999999</v>
      </c>
      <c r="I143" s="32">
        <v>0.20899999999999999</v>
      </c>
      <c r="J143" s="32">
        <v>0.20899999999999999</v>
      </c>
      <c r="K143" s="32">
        <v>8.9999999999999993E-3</v>
      </c>
      <c r="L143" s="56">
        <f>Tabelle1[[#This Row],[Spalte12]]-Tabelle1[[#This Row],[Spalte11]]</f>
        <v>7.8E-2</v>
      </c>
      <c r="M143" s="32">
        <v>8.6999999999999994E-2</v>
      </c>
      <c r="N143" s="32">
        <v>0.105</v>
      </c>
      <c r="O143" s="32">
        <v>0.129</v>
      </c>
      <c r="P143" s="32">
        <v>8.8999999999999996E-2</v>
      </c>
      <c r="Q143" s="31">
        <v>28975175</v>
      </c>
      <c r="R143" s="33">
        <v>1.17</v>
      </c>
      <c r="S143" s="34">
        <v>4252881</v>
      </c>
      <c r="T143" s="34">
        <v>3628306</v>
      </c>
      <c r="U143" s="33">
        <v>1.36</v>
      </c>
      <c r="V143" s="34">
        <v>4690607</v>
      </c>
      <c r="W143" s="34">
        <v>3447488</v>
      </c>
      <c r="X143" s="33">
        <v>1.49</v>
      </c>
      <c r="Y143" s="34">
        <v>4981009</v>
      </c>
      <c r="Z143" s="34">
        <v>3333264</v>
      </c>
      <c r="AA143" s="33">
        <v>1.49</v>
      </c>
      <c r="AB143" s="34">
        <v>5999299</v>
      </c>
      <c r="AC143" s="34">
        <v>4019461</v>
      </c>
    </row>
    <row r="144" spans="1:29" ht="10.5" customHeight="1" x14ac:dyDescent="0.15">
      <c r="A144" s="30" t="s">
        <v>9</v>
      </c>
      <c r="B144" s="30">
        <v>5</v>
      </c>
      <c r="C144" s="31">
        <v>23112</v>
      </c>
      <c r="D144" s="31">
        <v>45508</v>
      </c>
      <c r="E144" s="31">
        <v>44100</v>
      </c>
      <c r="F144" s="31">
        <v>44100</v>
      </c>
      <c r="G144" s="31">
        <v>288900</v>
      </c>
      <c r="H144" s="32">
        <v>0.153</v>
      </c>
      <c r="I144" s="32">
        <v>0.153</v>
      </c>
      <c r="J144" s="32">
        <v>0.158</v>
      </c>
      <c r="K144" s="32">
        <v>1.2E-2</v>
      </c>
      <c r="L144" s="56">
        <f>Tabelle1[[#This Row],[Spalte12]]-Tabelle1[[#This Row],[Spalte11]]</f>
        <v>7.0000000000000007E-2</v>
      </c>
      <c r="M144" s="32">
        <v>8.2000000000000003E-2</v>
      </c>
      <c r="N144" s="32">
        <v>9.7000000000000003E-2</v>
      </c>
      <c r="O144" s="32">
        <v>0.11700000000000001</v>
      </c>
      <c r="P144" s="32">
        <v>6.8000000000000005E-2</v>
      </c>
      <c r="Q144" s="31">
        <v>652817</v>
      </c>
      <c r="R144" s="33">
        <v>1.49</v>
      </c>
      <c r="S144" s="34">
        <v>43112</v>
      </c>
      <c r="T144" s="34">
        <v>28973</v>
      </c>
      <c r="U144" s="33">
        <v>1.76</v>
      </c>
      <c r="V144" s="34">
        <v>51218</v>
      </c>
      <c r="W144" s="34">
        <v>29046</v>
      </c>
      <c r="X144" s="33">
        <v>1.68</v>
      </c>
      <c r="Y144" s="34">
        <v>48643</v>
      </c>
      <c r="Z144" s="34">
        <v>28946</v>
      </c>
      <c r="AA144" s="33">
        <v>1.94</v>
      </c>
      <c r="AB144" s="34">
        <v>62395</v>
      </c>
      <c r="AC144" s="34">
        <v>32130</v>
      </c>
    </row>
    <row r="145" spans="1:29" ht="10.5" customHeight="1" x14ac:dyDescent="0.15">
      <c r="A145" s="30" t="s">
        <v>228</v>
      </c>
      <c r="B145" s="30">
        <v>4</v>
      </c>
      <c r="C145" s="31">
        <v>77774</v>
      </c>
      <c r="D145" s="31">
        <v>200543</v>
      </c>
      <c r="E145" s="31">
        <v>200543</v>
      </c>
      <c r="F145" s="31">
        <v>200543</v>
      </c>
      <c r="G145" s="31">
        <v>972177</v>
      </c>
      <c r="H145" s="32">
        <v>0.20599999999999999</v>
      </c>
      <c r="I145" s="32">
        <v>0.20599999999999999</v>
      </c>
      <c r="J145" s="32">
        <v>0.20599999999999999</v>
      </c>
      <c r="K145" s="32">
        <v>0</v>
      </c>
      <c r="L145" s="56">
        <f>Tabelle1[[#This Row],[Spalte12]]-Tabelle1[[#This Row],[Spalte11]]</f>
        <v>7.3999999999999996E-2</v>
      </c>
      <c r="M145" s="32">
        <v>7.3999999999999996E-2</v>
      </c>
      <c r="N145" s="32">
        <v>0.09</v>
      </c>
      <c r="O145" s="32">
        <v>0.112</v>
      </c>
      <c r="P145" s="32">
        <v>4.4999999999999998E-2</v>
      </c>
      <c r="Q145" s="31">
        <v>4409363</v>
      </c>
      <c r="R145" s="33">
        <v>2.15</v>
      </c>
      <c r="S145" s="34">
        <v>2215995</v>
      </c>
      <c r="T145" s="34">
        <v>1031683</v>
      </c>
      <c r="U145" s="33">
        <v>2.23</v>
      </c>
      <c r="V145" s="34">
        <v>2226453</v>
      </c>
      <c r="W145" s="34">
        <v>999546</v>
      </c>
      <c r="X145" s="33">
        <v>2.0499999999999998</v>
      </c>
      <c r="Y145" s="34">
        <v>2097189</v>
      </c>
      <c r="Z145" s="34">
        <v>1021500</v>
      </c>
      <c r="AA145" s="33">
        <v>2.11</v>
      </c>
      <c r="AB145" s="34">
        <v>2125344</v>
      </c>
      <c r="AC145" s="34">
        <v>1005539</v>
      </c>
    </row>
    <row r="146" spans="1:29" ht="10.5" customHeight="1" x14ac:dyDescent="0.15">
      <c r="A146" s="30" t="s">
        <v>75</v>
      </c>
      <c r="B146" s="30">
        <v>4</v>
      </c>
      <c r="C146" s="31">
        <v>486971</v>
      </c>
      <c r="D146" s="31">
        <v>1204352</v>
      </c>
      <c r="E146" s="31">
        <v>1143056</v>
      </c>
      <c r="F146" s="31">
        <v>1143056</v>
      </c>
      <c r="G146" s="31">
        <v>6087135</v>
      </c>
      <c r="H146" s="32">
        <v>0.188</v>
      </c>
      <c r="I146" s="32">
        <v>0.188</v>
      </c>
      <c r="J146" s="32">
        <v>0.19800000000000001</v>
      </c>
      <c r="K146" s="32">
        <v>0</v>
      </c>
      <c r="L146" s="56">
        <f>Tabelle1[[#This Row],[Spalte12]]-Tabelle1[[#This Row],[Spalte11]]</f>
        <v>7.3999999999999996E-2</v>
      </c>
      <c r="M146" s="32">
        <v>7.3999999999999996E-2</v>
      </c>
      <c r="N146" s="32">
        <v>0.09</v>
      </c>
      <c r="O146" s="32">
        <v>0.112</v>
      </c>
      <c r="P146" s="32">
        <v>9.4E-2</v>
      </c>
      <c r="Q146" s="31">
        <v>12163269</v>
      </c>
      <c r="R146" s="33">
        <v>1.2</v>
      </c>
      <c r="S146" s="34">
        <v>2414453</v>
      </c>
      <c r="T146" s="34">
        <v>2019425</v>
      </c>
      <c r="U146" s="33">
        <v>1.26</v>
      </c>
      <c r="V146" s="34">
        <v>2879794</v>
      </c>
      <c r="W146" s="34">
        <v>2290873</v>
      </c>
      <c r="X146" s="33">
        <v>1.23</v>
      </c>
      <c r="Y146" s="34">
        <v>2469197</v>
      </c>
      <c r="Z146" s="34">
        <v>2007512</v>
      </c>
      <c r="AA146" s="33">
        <v>1.21</v>
      </c>
      <c r="AB146" s="34">
        <v>2874083</v>
      </c>
      <c r="AC146" s="34">
        <v>2383518</v>
      </c>
    </row>
    <row r="147" spans="1:29" ht="10.5" customHeight="1" x14ac:dyDescent="0.15">
      <c r="A147" s="30" t="s">
        <v>214</v>
      </c>
      <c r="B147" s="30">
        <v>5</v>
      </c>
      <c r="C147" s="31">
        <v>11290</v>
      </c>
      <c r="D147" s="31">
        <v>42042</v>
      </c>
      <c r="E147" s="31">
        <v>42042</v>
      </c>
      <c r="F147" s="31">
        <v>42042</v>
      </c>
      <c r="G147" s="31">
        <v>141130</v>
      </c>
      <c r="H147" s="32">
        <v>0.29799999999999999</v>
      </c>
      <c r="I147" s="32">
        <v>0.29799999999999999</v>
      </c>
      <c r="J147" s="32">
        <v>0.29799999999999999</v>
      </c>
      <c r="K147" s="32">
        <v>2E-3</v>
      </c>
      <c r="L147" s="56">
        <f>Tabelle1[[#This Row],[Spalte12]]-Tabelle1[[#This Row],[Spalte11]]</f>
        <v>6.9999999999999993E-2</v>
      </c>
      <c r="M147" s="32">
        <v>7.1999999999999995E-2</v>
      </c>
      <c r="N147" s="32">
        <v>8.6999999999999994E-2</v>
      </c>
      <c r="O147" s="32">
        <v>0.107</v>
      </c>
      <c r="P147" s="32">
        <v>6.4000000000000001E-2</v>
      </c>
      <c r="Q147" s="31">
        <v>652157</v>
      </c>
      <c r="R147" s="33">
        <v>5.88</v>
      </c>
      <c r="S147" s="34">
        <v>88439</v>
      </c>
      <c r="T147" s="34">
        <v>15044</v>
      </c>
      <c r="U147" s="33">
        <v>5.29</v>
      </c>
      <c r="V147" s="34">
        <v>97290</v>
      </c>
      <c r="W147" s="34">
        <v>18383</v>
      </c>
      <c r="X147" s="33">
        <v>5.14</v>
      </c>
      <c r="Y147" s="34">
        <v>78637</v>
      </c>
      <c r="Z147" s="34">
        <v>15289</v>
      </c>
      <c r="AA147" s="33">
        <v>4.9000000000000004</v>
      </c>
      <c r="AB147" s="34">
        <v>87307</v>
      </c>
      <c r="AC147" s="34">
        <v>17831</v>
      </c>
    </row>
    <row r="148" spans="1:29" ht="10.5" customHeight="1" x14ac:dyDescent="0.15">
      <c r="A148" s="30" t="s">
        <v>151</v>
      </c>
      <c r="B148" s="30">
        <v>5</v>
      </c>
      <c r="C148" s="31">
        <v>19210</v>
      </c>
      <c r="D148" s="31">
        <v>90506</v>
      </c>
      <c r="E148" s="31">
        <v>90506</v>
      </c>
      <c r="F148" s="31">
        <v>90506</v>
      </c>
      <c r="G148" s="31">
        <v>240129</v>
      </c>
      <c r="H148" s="32">
        <v>0.377</v>
      </c>
      <c r="I148" s="32">
        <v>0.377</v>
      </c>
      <c r="J148" s="32">
        <v>0.377</v>
      </c>
      <c r="K148" s="32">
        <v>0</v>
      </c>
      <c r="L148" s="56">
        <f>Tabelle1[[#This Row],[Spalte12]]-Tabelle1[[#This Row],[Spalte11]]</f>
        <v>7.0000000000000007E-2</v>
      </c>
      <c r="M148" s="32">
        <v>7.0000000000000007E-2</v>
      </c>
      <c r="N148" s="32">
        <v>8.5000000000000006E-2</v>
      </c>
      <c r="O148" s="32">
        <v>0.105</v>
      </c>
      <c r="P148" s="32">
        <v>0.313</v>
      </c>
      <c r="Q148" s="31">
        <v>288748</v>
      </c>
      <c r="R148" s="37" t="s">
        <v>294</v>
      </c>
      <c r="S148" s="38" t="s">
        <v>294</v>
      </c>
      <c r="T148" s="38" t="s">
        <v>294</v>
      </c>
      <c r="U148" s="37" t="s">
        <v>294</v>
      </c>
      <c r="V148" s="38" t="s">
        <v>294</v>
      </c>
      <c r="W148" s="38" t="s">
        <v>294</v>
      </c>
      <c r="X148" s="37" t="s">
        <v>294</v>
      </c>
      <c r="Y148" s="38" t="s">
        <v>294</v>
      </c>
      <c r="Z148" s="38" t="s">
        <v>294</v>
      </c>
      <c r="AA148" s="37" t="s">
        <v>294</v>
      </c>
      <c r="AB148" s="38" t="s">
        <v>294</v>
      </c>
      <c r="AC148" s="38" t="s">
        <v>294</v>
      </c>
    </row>
    <row r="149" spans="1:29" ht="10.5" customHeight="1" x14ac:dyDescent="0.15">
      <c r="A149" s="30" t="s">
        <v>200</v>
      </c>
      <c r="B149" s="30">
        <v>5</v>
      </c>
      <c r="C149" s="31">
        <v>14298</v>
      </c>
      <c r="D149" s="31">
        <v>68087</v>
      </c>
      <c r="E149" s="31">
        <v>39037</v>
      </c>
      <c r="F149" s="31">
        <v>62537</v>
      </c>
      <c r="G149" s="31">
        <v>178728</v>
      </c>
      <c r="H149" s="32">
        <v>0.218</v>
      </c>
      <c r="I149" s="32">
        <v>0.35</v>
      </c>
      <c r="J149" s="32">
        <v>0.38100000000000001</v>
      </c>
      <c r="K149" s="32">
        <v>0</v>
      </c>
      <c r="L149" s="56">
        <f>Tabelle1[[#This Row],[Spalte12]]-Tabelle1[[#This Row],[Spalte11]]</f>
        <v>7.0000000000000007E-2</v>
      </c>
      <c r="M149" s="32">
        <v>7.0000000000000007E-2</v>
      </c>
      <c r="N149" s="32">
        <v>8.5000000000000006E-2</v>
      </c>
      <c r="O149" s="32">
        <v>0.105</v>
      </c>
      <c r="P149" s="32">
        <v>0.19500000000000001</v>
      </c>
      <c r="Q149" s="31">
        <v>320714</v>
      </c>
      <c r="R149" s="33">
        <v>2.67</v>
      </c>
      <c r="S149" s="34">
        <v>52044</v>
      </c>
      <c r="T149" s="34">
        <v>19508</v>
      </c>
      <c r="U149" s="33">
        <v>2.7</v>
      </c>
      <c r="V149" s="34">
        <v>54208</v>
      </c>
      <c r="W149" s="34">
        <v>20070</v>
      </c>
      <c r="X149" s="33">
        <v>2.85</v>
      </c>
      <c r="Y149" s="34">
        <v>54834</v>
      </c>
      <c r="Z149" s="34">
        <v>19221</v>
      </c>
      <c r="AA149" s="33">
        <v>2.61</v>
      </c>
      <c r="AB149" s="34">
        <v>41112</v>
      </c>
      <c r="AC149" s="34">
        <v>15760</v>
      </c>
    </row>
    <row r="150" spans="1:29" ht="10.5" customHeight="1" x14ac:dyDescent="0.15">
      <c r="A150" s="30" t="s">
        <v>166</v>
      </c>
      <c r="B150" s="30">
        <v>5</v>
      </c>
      <c r="C150" s="31">
        <v>1588</v>
      </c>
      <c r="D150" s="31">
        <v>6374</v>
      </c>
      <c r="E150" s="31">
        <v>6374</v>
      </c>
      <c r="F150" s="31">
        <v>6374</v>
      </c>
      <c r="G150" s="31">
        <v>19844</v>
      </c>
      <c r="H150" s="32">
        <v>0.32100000000000001</v>
      </c>
      <c r="I150" s="32">
        <v>0.32100000000000001</v>
      </c>
      <c r="J150" s="32">
        <v>0.32100000000000001</v>
      </c>
      <c r="K150" s="32">
        <v>0</v>
      </c>
      <c r="L150" s="56">
        <f>Tabelle1[[#This Row],[Spalte12]]-Tabelle1[[#This Row],[Spalte11]]</f>
        <v>7.0000000000000007E-2</v>
      </c>
      <c r="M150" s="32">
        <v>7.0000000000000007E-2</v>
      </c>
      <c r="N150" s="32">
        <v>8.5000000000000006E-2</v>
      </c>
      <c r="O150" s="32">
        <v>0.105</v>
      </c>
      <c r="P150" s="32">
        <v>0.215</v>
      </c>
      <c r="Q150" s="31">
        <v>29622</v>
      </c>
      <c r="R150" s="37" t="s">
        <v>294</v>
      </c>
      <c r="S150" s="38" t="s">
        <v>294</v>
      </c>
      <c r="T150" s="38" t="s">
        <v>294</v>
      </c>
      <c r="U150" s="37" t="s">
        <v>294</v>
      </c>
      <c r="V150" s="38" t="s">
        <v>294</v>
      </c>
      <c r="W150" s="38" t="s">
        <v>294</v>
      </c>
      <c r="X150" s="37" t="s">
        <v>294</v>
      </c>
      <c r="Y150" s="38" t="s">
        <v>294</v>
      </c>
      <c r="Z150" s="38" t="s">
        <v>294</v>
      </c>
      <c r="AA150" s="37" t="s">
        <v>294</v>
      </c>
      <c r="AB150" s="38" t="s">
        <v>294</v>
      </c>
      <c r="AC150" s="38" t="s">
        <v>294</v>
      </c>
    </row>
    <row r="151" spans="1:29" ht="10.5" customHeight="1" x14ac:dyDescent="0.15">
      <c r="A151" s="30" t="s">
        <v>169</v>
      </c>
      <c r="B151" s="30">
        <v>3</v>
      </c>
      <c r="C151" s="31">
        <v>438904</v>
      </c>
      <c r="D151" s="31">
        <v>1691734</v>
      </c>
      <c r="E151" s="31">
        <v>1450084</v>
      </c>
      <c r="F151" s="31">
        <v>1450084</v>
      </c>
      <c r="G151" s="31">
        <v>5486294</v>
      </c>
      <c r="H151" s="32">
        <v>0.26400000000000001</v>
      </c>
      <c r="I151" s="32">
        <v>0.26400000000000001</v>
      </c>
      <c r="J151" s="32">
        <v>0.308</v>
      </c>
      <c r="K151" s="32">
        <v>0</v>
      </c>
      <c r="L151" s="56">
        <f>Tabelle1[[#This Row],[Spalte12]]-Tabelle1[[#This Row],[Spalte11]]</f>
        <v>7.8E-2</v>
      </c>
      <c r="M151" s="32">
        <v>7.8E-2</v>
      </c>
      <c r="N151" s="32">
        <v>9.6000000000000002E-2</v>
      </c>
      <c r="O151" s="32">
        <v>0.12</v>
      </c>
      <c r="P151" s="32">
        <v>8.2000000000000003E-2</v>
      </c>
      <c r="Q151" s="31">
        <v>17667728</v>
      </c>
      <c r="R151" s="33">
        <v>2.95</v>
      </c>
      <c r="S151" s="34">
        <v>9029191</v>
      </c>
      <c r="T151" s="34">
        <v>3065849</v>
      </c>
      <c r="U151" s="33">
        <v>2.74</v>
      </c>
      <c r="V151" s="34">
        <v>8960734</v>
      </c>
      <c r="W151" s="34">
        <v>3269964</v>
      </c>
      <c r="X151" s="33">
        <v>2.09</v>
      </c>
      <c r="Y151" s="34">
        <v>7221970</v>
      </c>
      <c r="Z151" s="34">
        <v>3450557</v>
      </c>
      <c r="AA151" s="33">
        <v>2</v>
      </c>
      <c r="AB151" s="34">
        <v>6853966</v>
      </c>
      <c r="AC151" s="34">
        <v>3432324</v>
      </c>
    </row>
    <row r="152" spans="1:29" ht="10.5" customHeight="1" x14ac:dyDescent="0.15">
      <c r="A152" s="30" t="s">
        <v>121</v>
      </c>
      <c r="B152" s="30">
        <v>5</v>
      </c>
      <c r="C152" s="31">
        <v>14415</v>
      </c>
      <c r="D152" s="31">
        <v>56186</v>
      </c>
      <c r="E152" s="31">
        <v>56186</v>
      </c>
      <c r="F152" s="31">
        <v>56186</v>
      </c>
      <c r="G152" s="31">
        <v>180185</v>
      </c>
      <c r="H152" s="32">
        <v>0.312</v>
      </c>
      <c r="I152" s="32">
        <v>0.312</v>
      </c>
      <c r="J152" s="32">
        <v>0.312</v>
      </c>
      <c r="K152" s="32">
        <v>0</v>
      </c>
      <c r="L152" s="56">
        <f>Tabelle1[[#This Row],[Spalte12]]-Tabelle1[[#This Row],[Spalte11]]</f>
        <v>7.0000000000000007E-2</v>
      </c>
      <c r="M152" s="32">
        <v>7.0000000000000007E-2</v>
      </c>
      <c r="N152" s="32">
        <v>8.5000000000000006E-2</v>
      </c>
      <c r="O152" s="32">
        <v>0.105</v>
      </c>
      <c r="P152" s="32">
        <v>6.7000000000000004E-2</v>
      </c>
      <c r="Q152" s="31">
        <v>844305</v>
      </c>
      <c r="R152" s="33">
        <v>1.87</v>
      </c>
      <c r="S152" s="34">
        <v>95243</v>
      </c>
      <c r="T152" s="34">
        <v>50851</v>
      </c>
      <c r="U152" s="33">
        <v>1.6</v>
      </c>
      <c r="V152" s="34">
        <v>95310</v>
      </c>
      <c r="W152" s="34">
        <v>59620</v>
      </c>
      <c r="X152" s="33">
        <v>1.92</v>
      </c>
      <c r="Y152" s="34">
        <v>108461</v>
      </c>
      <c r="Z152" s="34">
        <v>56434</v>
      </c>
      <c r="AA152" s="33">
        <v>2.39</v>
      </c>
      <c r="AB152" s="34">
        <v>167055</v>
      </c>
      <c r="AC152" s="34">
        <v>69807</v>
      </c>
    </row>
    <row r="153" spans="1:29" ht="10.5" customHeight="1" x14ac:dyDescent="0.15">
      <c r="A153" s="30" t="s">
        <v>31</v>
      </c>
      <c r="B153" s="30">
        <v>4</v>
      </c>
      <c r="C153" s="35" t="s">
        <v>293</v>
      </c>
      <c r="D153" s="35" t="s">
        <v>293</v>
      </c>
      <c r="E153" s="35" t="s">
        <v>293</v>
      </c>
      <c r="F153" s="35" t="s">
        <v>293</v>
      </c>
      <c r="G153" s="35" t="s">
        <v>293</v>
      </c>
      <c r="H153" s="42" t="s">
        <v>293</v>
      </c>
      <c r="I153" s="42" t="s">
        <v>293</v>
      </c>
      <c r="J153" s="42" t="s">
        <v>293</v>
      </c>
      <c r="K153" s="42" t="s">
        <v>293</v>
      </c>
      <c r="L153" s="58" t="e">
        <f>Tabelle1[[#This Row],[Spalte12]]-Tabelle1[[#This Row],[Spalte11]]</f>
        <v>#VALUE!</v>
      </c>
      <c r="M153" s="42" t="s">
        <v>293</v>
      </c>
      <c r="N153" s="42" t="s">
        <v>293</v>
      </c>
      <c r="O153" s="42" t="s">
        <v>293</v>
      </c>
      <c r="P153" s="42" t="s">
        <v>293</v>
      </c>
      <c r="Q153" s="35" t="s">
        <v>293</v>
      </c>
      <c r="R153" s="37" t="s">
        <v>293</v>
      </c>
      <c r="S153" s="38" t="s">
        <v>293</v>
      </c>
      <c r="T153" s="38" t="s">
        <v>293</v>
      </c>
      <c r="U153" s="37" t="s">
        <v>293</v>
      </c>
      <c r="V153" s="38" t="s">
        <v>293</v>
      </c>
      <c r="W153" s="38" t="s">
        <v>293</v>
      </c>
      <c r="X153" s="37" t="s">
        <v>293</v>
      </c>
      <c r="Y153" s="38" t="s">
        <v>293</v>
      </c>
      <c r="Z153" s="38" t="s">
        <v>293</v>
      </c>
      <c r="AA153" s="37" t="s">
        <v>293</v>
      </c>
      <c r="AB153" s="38" t="s">
        <v>293</v>
      </c>
      <c r="AC153" s="38" t="s">
        <v>293</v>
      </c>
    </row>
    <row r="154" spans="1:29" ht="10.5" customHeight="1" x14ac:dyDescent="0.15">
      <c r="A154" s="30" t="s">
        <v>168</v>
      </c>
      <c r="B154" s="30">
        <v>5</v>
      </c>
      <c r="C154" s="35" t="s">
        <v>293</v>
      </c>
      <c r="D154" s="35" t="s">
        <v>293</v>
      </c>
      <c r="E154" s="35" t="s">
        <v>293</v>
      </c>
      <c r="F154" s="35" t="s">
        <v>293</v>
      </c>
      <c r="G154" s="35" t="s">
        <v>293</v>
      </c>
      <c r="H154" s="42" t="s">
        <v>293</v>
      </c>
      <c r="I154" s="42" t="s">
        <v>293</v>
      </c>
      <c r="J154" s="42" t="s">
        <v>293</v>
      </c>
      <c r="K154" s="42" t="s">
        <v>293</v>
      </c>
      <c r="L154" s="58" t="e">
        <f>Tabelle1[[#This Row],[Spalte12]]-Tabelle1[[#This Row],[Spalte11]]</f>
        <v>#VALUE!</v>
      </c>
      <c r="M154" s="42" t="s">
        <v>293</v>
      </c>
      <c r="N154" s="42" t="s">
        <v>293</v>
      </c>
      <c r="O154" s="42" t="s">
        <v>293</v>
      </c>
      <c r="P154" s="42" t="s">
        <v>293</v>
      </c>
      <c r="Q154" s="35" t="s">
        <v>293</v>
      </c>
      <c r="R154" s="37" t="s">
        <v>293</v>
      </c>
      <c r="S154" s="38" t="s">
        <v>293</v>
      </c>
      <c r="T154" s="38" t="s">
        <v>293</v>
      </c>
      <c r="U154" s="37" t="s">
        <v>293</v>
      </c>
      <c r="V154" s="38" t="s">
        <v>293</v>
      </c>
      <c r="W154" s="38" t="s">
        <v>293</v>
      </c>
      <c r="X154" s="37" t="s">
        <v>293</v>
      </c>
      <c r="Y154" s="38" t="s">
        <v>293</v>
      </c>
      <c r="Z154" s="38" t="s">
        <v>293</v>
      </c>
      <c r="AA154" s="37" t="s">
        <v>293</v>
      </c>
      <c r="AB154" s="38" t="s">
        <v>293</v>
      </c>
      <c r="AC154" s="38" t="s">
        <v>293</v>
      </c>
    </row>
    <row r="155" spans="1:29" ht="10.5" customHeight="1" x14ac:dyDescent="0.15">
      <c r="A155" s="30" t="s">
        <v>224</v>
      </c>
      <c r="B155" s="30">
        <v>5</v>
      </c>
      <c r="C155" s="31">
        <v>1742</v>
      </c>
      <c r="D155" s="31">
        <v>5433</v>
      </c>
      <c r="E155" s="31">
        <v>5433</v>
      </c>
      <c r="F155" s="31">
        <v>5433</v>
      </c>
      <c r="G155" s="31">
        <v>21781</v>
      </c>
      <c r="H155" s="32">
        <v>0.249</v>
      </c>
      <c r="I155" s="32">
        <v>0.249</v>
      </c>
      <c r="J155" s="32">
        <v>0.249</v>
      </c>
      <c r="K155" s="32">
        <v>0</v>
      </c>
      <c r="L155" s="56">
        <f>Tabelle1[[#This Row],[Spalte12]]-Tabelle1[[#This Row],[Spalte11]]</f>
        <v>7.0000000000000007E-2</v>
      </c>
      <c r="M155" s="32">
        <v>7.0000000000000007E-2</v>
      </c>
      <c r="N155" s="32">
        <v>8.5000000000000006E-2</v>
      </c>
      <c r="O155" s="32">
        <v>0.105</v>
      </c>
      <c r="P155" s="32">
        <v>0.32100000000000001</v>
      </c>
      <c r="Q155" s="31">
        <v>16922</v>
      </c>
      <c r="R155" s="37" t="s">
        <v>294</v>
      </c>
      <c r="S155" s="38" t="s">
        <v>294</v>
      </c>
      <c r="T155" s="38" t="s">
        <v>294</v>
      </c>
      <c r="U155" s="37" t="s">
        <v>294</v>
      </c>
      <c r="V155" s="38" t="s">
        <v>294</v>
      </c>
      <c r="W155" s="38" t="s">
        <v>294</v>
      </c>
      <c r="X155" s="37" t="s">
        <v>294</v>
      </c>
      <c r="Y155" s="38" t="s">
        <v>294</v>
      </c>
      <c r="Z155" s="38" t="s">
        <v>294</v>
      </c>
      <c r="AA155" s="37" t="s">
        <v>294</v>
      </c>
      <c r="AB155" s="38" t="s">
        <v>294</v>
      </c>
      <c r="AC155" s="38" t="s">
        <v>294</v>
      </c>
    </row>
    <row r="156" spans="1:29" ht="10.5" customHeight="1" x14ac:dyDescent="0.15">
      <c r="A156" s="30" t="s">
        <v>198</v>
      </c>
      <c r="B156" s="30">
        <v>5</v>
      </c>
      <c r="C156" s="31">
        <v>5167</v>
      </c>
      <c r="D156" s="31">
        <v>19328</v>
      </c>
      <c r="E156" s="31">
        <v>19328</v>
      </c>
      <c r="F156" s="31">
        <v>19328</v>
      </c>
      <c r="G156" s="31">
        <v>64587</v>
      </c>
      <c r="H156" s="32">
        <v>0.29899999999999999</v>
      </c>
      <c r="I156" s="32">
        <v>0.29899999999999999</v>
      </c>
      <c r="J156" s="32">
        <v>0.29899999999999999</v>
      </c>
      <c r="K156" s="32">
        <v>0</v>
      </c>
      <c r="L156" s="56">
        <f>Tabelle1[[#This Row],[Spalte12]]-Tabelle1[[#This Row],[Spalte11]]</f>
        <v>7.0000000000000007E-2</v>
      </c>
      <c r="M156" s="32">
        <v>7.0000000000000007E-2</v>
      </c>
      <c r="N156" s="32">
        <v>8.5000000000000006E-2</v>
      </c>
      <c r="O156" s="32">
        <v>0.105</v>
      </c>
      <c r="P156" s="32">
        <v>0.10100000000000001</v>
      </c>
      <c r="Q156" s="31">
        <v>192116</v>
      </c>
      <c r="R156" s="33">
        <v>1.26</v>
      </c>
      <c r="S156" s="34">
        <v>57736</v>
      </c>
      <c r="T156" s="34">
        <v>45849</v>
      </c>
      <c r="U156" s="33">
        <v>1.19</v>
      </c>
      <c r="V156" s="34">
        <v>90711</v>
      </c>
      <c r="W156" s="34">
        <v>76268</v>
      </c>
      <c r="X156" s="33">
        <v>1.1499999999999999</v>
      </c>
      <c r="Y156" s="34">
        <v>102058</v>
      </c>
      <c r="Z156" s="34">
        <v>88873</v>
      </c>
      <c r="AA156" s="33">
        <v>1.1499999999999999</v>
      </c>
      <c r="AB156" s="34">
        <v>66327</v>
      </c>
      <c r="AC156" s="34">
        <v>57443</v>
      </c>
    </row>
    <row r="157" spans="1:29" ht="10.5" customHeight="1" x14ac:dyDescent="0.15">
      <c r="A157" s="30" t="s">
        <v>234</v>
      </c>
      <c r="B157" s="30">
        <v>5</v>
      </c>
      <c r="C157" s="31">
        <v>21104</v>
      </c>
      <c r="D157" s="31">
        <v>185600</v>
      </c>
      <c r="E157" s="31">
        <v>185600</v>
      </c>
      <c r="F157" s="31">
        <v>185600</v>
      </c>
      <c r="G157" s="31">
        <v>263806</v>
      </c>
      <c r="H157" s="32">
        <v>0.70399999999999996</v>
      </c>
      <c r="I157" s="32">
        <v>0.70399999999999996</v>
      </c>
      <c r="J157" s="32">
        <v>0.70399999999999996</v>
      </c>
      <c r="K157" s="32">
        <v>0</v>
      </c>
      <c r="L157" s="56">
        <f>Tabelle1[[#This Row],[Spalte12]]-Tabelle1[[#This Row],[Spalte11]]</f>
        <v>7.0000000000000007E-2</v>
      </c>
      <c r="M157" s="32">
        <v>7.0000000000000007E-2</v>
      </c>
      <c r="N157" s="32">
        <v>8.5000000000000006E-2</v>
      </c>
      <c r="O157" s="32">
        <v>0.105</v>
      </c>
      <c r="P157" s="32">
        <v>0.2</v>
      </c>
      <c r="Q157" s="31">
        <v>928231</v>
      </c>
      <c r="R157" s="33">
        <v>3.5</v>
      </c>
      <c r="S157" s="34">
        <v>196341</v>
      </c>
      <c r="T157" s="34">
        <v>56165</v>
      </c>
      <c r="U157" s="33">
        <v>3.09</v>
      </c>
      <c r="V157" s="34">
        <v>212532</v>
      </c>
      <c r="W157" s="34">
        <v>68712</v>
      </c>
      <c r="X157" s="33">
        <v>2.97</v>
      </c>
      <c r="Y157" s="34">
        <v>236608</v>
      </c>
      <c r="Z157" s="34">
        <v>79680</v>
      </c>
      <c r="AA157" s="33">
        <v>2.8</v>
      </c>
      <c r="AB157" s="34">
        <v>221567</v>
      </c>
      <c r="AC157" s="34">
        <v>79219</v>
      </c>
    </row>
    <row r="158" spans="1:29" ht="10.5" customHeight="1" x14ac:dyDescent="0.15">
      <c r="A158" s="30" t="s">
        <v>225</v>
      </c>
      <c r="B158" s="30">
        <v>5</v>
      </c>
      <c r="C158" s="31">
        <v>2984</v>
      </c>
      <c r="D158" s="31">
        <v>4756</v>
      </c>
      <c r="E158" s="31">
        <v>4756</v>
      </c>
      <c r="F158" s="31">
        <v>4756</v>
      </c>
      <c r="G158" s="31">
        <v>37304</v>
      </c>
      <c r="H158" s="32">
        <v>0.127</v>
      </c>
      <c r="I158" s="32">
        <v>0.127</v>
      </c>
      <c r="J158" s="32">
        <v>0.127</v>
      </c>
      <c r="K158" s="32">
        <v>0</v>
      </c>
      <c r="L158" s="56">
        <f>Tabelle1[[#This Row],[Spalte12]]-Tabelle1[[#This Row],[Spalte11]]</f>
        <v>7.0000000000000007E-2</v>
      </c>
      <c r="M158" s="32">
        <v>7.0000000000000007E-2</v>
      </c>
      <c r="N158" s="32">
        <v>8.5000000000000006E-2</v>
      </c>
      <c r="O158" s="32">
        <v>0.105</v>
      </c>
      <c r="P158" s="32">
        <v>9.0999999999999998E-2</v>
      </c>
      <c r="Q158" s="31">
        <v>52381</v>
      </c>
      <c r="R158" s="37" t="s">
        <v>294</v>
      </c>
      <c r="S158" s="38" t="s">
        <v>294</v>
      </c>
      <c r="T158" s="38" t="s">
        <v>294</v>
      </c>
      <c r="U158" s="37" t="s">
        <v>294</v>
      </c>
      <c r="V158" s="38" t="s">
        <v>294</v>
      </c>
      <c r="W158" s="38" t="s">
        <v>294</v>
      </c>
      <c r="X158" s="37" t="s">
        <v>294</v>
      </c>
      <c r="Y158" s="38" t="s">
        <v>294</v>
      </c>
      <c r="Z158" s="38" t="s">
        <v>294</v>
      </c>
      <c r="AA158" s="37" t="s">
        <v>294</v>
      </c>
      <c r="AB158" s="38" t="s">
        <v>294</v>
      </c>
      <c r="AC158" s="38" t="s">
        <v>294</v>
      </c>
    </row>
    <row r="159" spans="1:29" ht="10.5" customHeight="1" x14ac:dyDescent="0.15">
      <c r="A159" s="30" t="s">
        <v>167</v>
      </c>
      <c r="B159" s="30">
        <v>5</v>
      </c>
      <c r="C159" s="31">
        <v>1561</v>
      </c>
      <c r="D159" s="31">
        <v>3467</v>
      </c>
      <c r="E159" s="31">
        <v>3117</v>
      </c>
      <c r="F159" s="31">
        <v>3117</v>
      </c>
      <c r="G159" s="31">
        <v>19509</v>
      </c>
      <c r="H159" s="32">
        <v>0.16</v>
      </c>
      <c r="I159" s="32">
        <v>0.16</v>
      </c>
      <c r="J159" s="32">
        <v>0.17799999999999999</v>
      </c>
      <c r="K159" s="32">
        <v>0</v>
      </c>
      <c r="L159" s="56">
        <f>Tabelle1[[#This Row],[Spalte12]]-Tabelle1[[#This Row],[Spalte11]]</f>
        <v>7.0000000000000007E-2</v>
      </c>
      <c r="M159" s="32">
        <v>7.0000000000000007E-2</v>
      </c>
      <c r="N159" s="32">
        <v>8.5000000000000006E-2</v>
      </c>
      <c r="O159" s="32">
        <v>0.105</v>
      </c>
      <c r="P159" s="32">
        <v>7.1999999999999995E-2</v>
      </c>
      <c r="Q159" s="31">
        <v>48053</v>
      </c>
      <c r="R159" s="37" t="s">
        <v>294</v>
      </c>
      <c r="S159" s="38" t="s">
        <v>294</v>
      </c>
      <c r="T159" s="38" t="s">
        <v>294</v>
      </c>
      <c r="U159" s="37" t="s">
        <v>294</v>
      </c>
      <c r="V159" s="38" t="s">
        <v>294</v>
      </c>
      <c r="W159" s="38" t="s">
        <v>294</v>
      </c>
      <c r="X159" s="37" t="s">
        <v>294</v>
      </c>
      <c r="Y159" s="38" t="s">
        <v>294</v>
      </c>
      <c r="Z159" s="38" t="s">
        <v>294</v>
      </c>
      <c r="AA159" s="37" t="s">
        <v>294</v>
      </c>
      <c r="AB159" s="38" t="s">
        <v>294</v>
      </c>
      <c r="AC159" s="38" t="s">
        <v>294</v>
      </c>
    </row>
    <row r="160" spans="1:29" ht="10.5" customHeight="1" x14ac:dyDescent="0.15">
      <c r="A160" s="30" t="s">
        <v>175</v>
      </c>
      <c r="B160" s="30">
        <v>3</v>
      </c>
      <c r="C160" s="31">
        <v>1268177</v>
      </c>
      <c r="D160" s="31">
        <v>4968913</v>
      </c>
      <c r="E160" s="31">
        <v>4968913</v>
      </c>
      <c r="F160" s="31">
        <v>4968913</v>
      </c>
      <c r="G160" s="31">
        <v>15852213</v>
      </c>
      <c r="H160" s="32">
        <v>0.313</v>
      </c>
      <c r="I160" s="32">
        <v>0.313</v>
      </c>
      <c r="J160" s="32">
        <v>0.313</v>
      </c>
      <c r="K160" s="32">
        <v>0</v>
      </c>
      <c r="L160" s="56">
        <f>Tabelle1[[#This Row],[Spalte12]]-Tabelle1[[#This Row],[Spalte11]]</f>
        <v>7.8E-2</v>
      </c>
      <c r="M160" s="32">
        <v>7.8E-2</v>
      </c>
      <c r="N160" s="32">
        <v>9.6000000000000002E-2</v>
      </c>
      <c r="O160" s="32">
        <v>0.12</v>
      </c>
      <c r="P160" s="32">
        <v>0.125</v>
      </c>
      <c r="Q160" s="31">
        <v>39640139</v>
      </c>
      <c r="R160" s="33">
        <v>1.36</v>
      </c>
      <c r="S160" s="34">
        <v>9466314</v>
      </c>
      <c r="T160" s="34">
        <v>6961406</v>
      </c>
      <c r="U160" s="33">
        <v>1.39</v>
      </c>
      <c r="V160" s="34">
        <v>10001431</v>
      </c>
      <c r="W160" s="34">
        <v>7179738</v>
      </c>
      <c r="X160" s="33">
        <v>1.4</v>
      </c>
      <c r="Y160" s="34">
        <v>11650906</v>
      </c>
      <c r="Z160" s="34">
        <v>8347346</v>
      </c>
      <c r="AA160" s="33">
        <v>1.44</v>
      </c>
      <c r="AB160" s="34">
        <v>10473728</v>
      </c>
      <c r="AC160" s="34">
        <v>7265460</v>
      </c>
    </row>
    <row r="161" spans="1:29" ht="10.5" customHeight="1" x14ac:dyDescent="0.15">
      <c r="A161" s="30" t="s">
        <v>69</v>
      </c>
      <c r="B161" s="30">
        <v>4</v>
      </c>
      <c r="C161" s="31">
        <v>382078</v>
      </c>
      <c r="D161" s="31">
        <v>1005942</v>
      </c>
      <c r="E161" s="31">
        <v>1005942</v>
      </c>
      <c r="F161" s="31">
        <v>1005942</v>
      </c>
      <c r="G161" s="31">
        <v>4775974</v>
      </c>
      <c r="H161" s="32">
        <v>0.21099999999999999</v>
      </c>
      <c r="I161" s="32">
        <v>0.21099999999999999</v>
      </c>
      <c r="J161" s="32">
        <v>0.21099999999999999</v>
      </c>
      <c r="K161" s="32">
        <v>0</v>
      </c>
      <c r="L161" s="56">
        <f>Tabelle1[[#This Row],[Spalte12]]-Tabelle1[[#This Row],[Spalte11]]</f>
        <v>7.3999999999999996E-2</v>
      </c>
      <c r="M161" s="32">
        <v>7.3999999999999996E-2</v>
      </c>
      <c r="N161" s="32">
        <v>0.09</v>
      </c>
      <c r="O161" s="32">
        <v>0.112</v>
      </c>
      <c r="P161" s="32">
        <v>0.10199999999999999</v>
      </c>
      <c r="Q161" s="31">
        <v>9823180</v>
      </c>
      <c r="R161" s="33">
        <v>1.62</v>
      </c>
      <c r="S161" s="34">
        <v>824233</v>
      </c>
      <c r="T161" s="34">
        <v>509169</v>
      </c>
      <c r="U161" s="33">
        <v>1.65</v>
      </c>
      <c r="V161" s="34">
        <v>869701</v>
      </c>
      <c r="W161" s="34">
        <v>526776</v>
      </c>
      <c r="X161" s="33">
        <v>1.83</v>
      </c>
      <c r="Y161" s="34">
        <v>982235</v>
      </c>
      <c r="Z161" s="34">
        <v>536751</v>
      </c>
      <c r="AA161" s="33">
        <v>1.87</v>
      </c>
      <c r="AB161" s="34">
        <v>1097907</v>
      </c>
      <c r="AC161" s="34">
        <v>585733</v>
      </c>
    </row>
    <row r="162" spans="1:29" ht="10.5" customHeight="1" x14ac:dyDescent="0.15">
      <c r="A162" s="30" t="s">
        <v>211</v>
      </c>
      <c r="B162" s="30">
        <v>5</v>
      </c>
      <c r="C162" s="31">
        <v>2378</v>
      </c>
      <c r="D162" s="31">
        <v>10098</v>
      </c>
      <c r="E162" s="31">
        <v>9748</v>
      </c>
      <c r="F162" s="31">
        <v>9748</v>
      </c>
      <c r="G162" s="31">
        <v>29730</v>
      </c>
      <c r="H162" s="32">
        <v>0.32800000000000001</v>
      </c>
      <c r="I162" s="32">
        <v>0.32800000000000001</v>
      </c>
      <c r="J162" s="32">
        <v>0.34</v>
      </c>
      <c r="K162" s="32">
        <v>0</v>
      </c>
      <c r="L162" s="56">
        <f>Tabelle1[[#This Row],[Spalte12]]-Tabelle1[[#This Row],[Spalte11]]</f>
        <v>7.0000000000000007E-2</v>
      </c>
      <c r="M162" s="32">
        <v>7.0000000000000007E-2</v>
      </c>
      <c r="N162" s="32">
        <v>8.5000000000000006E-2</v>
      </c>
      <c r="O162" s="32">
        <v>0.105</v>
      </c>
      <c r="P162" s="32">
        <v>9.7000000000000003E-2</v>
      </c>
      <c r="Q162" s="31">
        <v>100919</v>
      </c>
      <c r="R162" s="37" t="s">
        <v>294</v>
      </c>
      <c r="S162" s="38" t="s">
        <v>294</v>
      </c>
      <c r="T162" s="38" t="s">
        <v>294</v>
      </c>
      <c r="U162" s="37" t="s">
        <v>294</v>
      </c>
      <c r="V162" s="38" t="s">
        <v>294</v>
      </c>
      <c r="W162" s="38" t="s">
        <v>294</v>
      </c>
      <c r="X162" s="37" t="s">
        <v>294</v>
      </c>
      <c r="Y162" s="38" t="s">
        <v>294</v>
      </c>
      <c r="Z162" s="38" t="s">
        <v>294</v>
      </c>
      <c r="AA162" s="37" t="s">
        <v>294</v>
      </c>
      <c r="AB162" s="38" t="s">
        <v>294</v>
      </c>
      <c r="AC162" s="38" t="s">
        <v>294</v>
      </c>
    </row>
    <row r="163" spans="1:29" ht="10.5" customHeight="1" x14ac:dyDescent="0.15">
      <c r="A163" s="30" t="s">
        <v>212</v>
      </c>
      <c r="B163" s="30">
        <v>3</v>
      </c>
      <c r="C163" s="31">
        <v>1639568</v>
      </c>
      <c r="D163" s="31">
        <v>4521693</v>
      </c>
      <c r="E163" s="31">
        <v>2876724</v>
      </c>
      <c r="F163" s="31">
        <v>4420923</v>
      </c>
      <c r="G163" s="31">
        <v>20494594</v>
      </c>
      <c r="H163" s="32">
        <v>0.14000000000000001</v>
      </c>
      <c r="I163" s="32">
        <v>0.216</v>
      </c>
      <c r="J163" s="32">
        <v>0.221</v>
      </c>
      <c r="K163" s="32">
        <v>2E-3</v>
      </c>
      <c r="L163" s="56">
        <f>Tabelle1[[#This Row],[Spalte12]]-Tabelle1[[#This Row],[Spalte11]]</f>
        <v>7.8E-2</v>
      </c>
      <c r="M163" s="32">
        <v>0.08</v>
      </c>
      <c r="N163" s="32">
        <v>9.8000000000000004E-2</v>
      </c>
      <c r="O163" s="32">
        <v>0.122</v>
      </c>
      <c r="P163" s="32">
        <v>4.3999999999999997E-2</v>
      </c>
      <c r="Q163" s="31">
        <v>101002488</v>
      </c>
      <c r="R163" s="33">
        <v>1.66</v>
      </c>
      <c r="S163" s="34">
        <v>15645989</v>
      </c>
      <c r="T163" s="34">
        <v>9414928</v>
      </c>
      <c r="U163" s="33">
        <v>1.85</v>
      </c>
      <c r="V163" s="34">
        <v>15953286</v>
      </c>
      <c r="W163" s="34">
        <v>8602128</v>
      </c>
      <c r="X163" s="33">
        <v>1.7</v>
      </c>
      <c r="Y163" s="34">
        <v>14604403</v>
      </c>
      <c r="Z163" s="34">
        <v>8567158</v>
      </c>
      <c r="AA163" s="33">
        <v>1.74</v>
      </c>
      <c r="AB163" s="34">
        <v>14724307</v>
      </c>
      <c r="AC163" s="34">
        <v>8452672</v>
      </c>
    </row>
    <row r="164" spans="1:29" ht="10.5" customHeight="1" x14ac:dyDescent="0.15">
      <c r="A164" s="30" t="s">
        <v>235</v>
      </c>
      <c r="B164" s="30">
        <v>5</v>
      </c>
      <c r="C164" s="31">
        <v>6239</v>
      </c>
      <c r="D164" s="31">
        <v>24161</v>
      </c>
      <c r="E164" s="31">
        <v>24161</v>
      </c>
      <c r="F164" s="31">
        <v>24161</v>
      </c>
      <c r="G164" s="31">
        <v>77986</v>
      </c>
      <c r="H164" s="32">
        <v>0.31</v>
      </c>
      <c r="I164" s="32">
        <v>0.31</v>
      </c>
      <c r="J164" s="32">
        <v>0.31</v>
      </c>
      <c r="K164" s="32">
        <v>0</v>
      </c>
      <c r="L164" s="56">
        <f>Tabelle1[[#This Row],[Spalte12]]-Tabelle1[[#This Row],[Spalte11]]</f>
        <v>7.0000000000000007E-2</v>
      </c>
      <c r="M164" s="32">
        <v>7.0000000000000007E-2</v>
      </c>
      <c r="N164" s="32">
        <v>8.5000000000000006E-2</v>
      </c>
      <c r="O164" s="32">
        <v>0.105</v>
      </c>
      <c r="P164" s="32">
        <v>0.55100000000000005</v>
      </c>
      <c r="Q164" s="31">
        <v>43885</v>
      </c>
      <c r="R164" s="37" t="s">
        <v>294</v>
      </c>
      <c r="S164" s="38" t="s">
        <v>294</v>
      </c>
      <c r="T164" s="38" t="s">
        <v>294</v>
      </c>
      <c r="U164" s="37" t="s">
        <v>294</v>
      </c>
      <c r="V164" s="38" t="s">
        <v>294</v>
      </c>
      <c r="W164" s="38" t="s">
        <v>294</v>
      </c>
      <c r="X164" s="37" t="s">
        <v>294</v>
      </c>
      <c r="Y164" s="38" t="s">
        <v>294</v>
      </c>
      <c r="Z164" s="38" t="s">
        <v>294</v>
      </c>
      <c r="AA164" s="37" t="s">
        <v>294</v>
      </c>
      <c r="AB164" s="38" t="s">
        <v>294</v>
      </c>
      <c r="AC164" s="38" t="s">
        <v>294</v>
      </c>
    </row>
    <row r="165" spans="1:29" ht="10.5" customHeight="1" x14ac:dyDescent="0.15">
      <c r="A165" s="30" t="s">
        <v>112</v>
      </c>
      <c r="B165" s="30">
        <v>5</v>
      </c>
      <c r="C165" s="31">
        <v>8950</v>
      </c>
      <c r="D165" s="31">
        <v>41820</v>
      </c>
      <c r="E165" s="31">
        <v>41820</v>
      </c>
      <c r="F165" s="31">
        <v>41820</v>
      </c>
      <c r="G165" s="31">
        <v>111871</v>
      </c>
      <c r="H165" s="32">
        <v>0.374</v>
      </c>
      <c r="I165" s="32">
        <v>0.374</v>
      </c>
      <c r="J165" s="32">
        <v>0.374</v>
      </c>
      <c r="K165" s="32">
        <v>1E-3</v>
      </c>
      <c r="L165" s="56">
        <f>Tabelle1[[#This Row],[Spalte12]]-Tabelle1[[#This Row],[Spalte11]]</f>
        <v>6.9999999999999993E-2</v>
      </c>
      <c r="M165" s="32">
        <v>7.0999999999999994E-2</v>
      </c>
      <c r="N165" s="32">
        <v>8.5999999999999993E-2</v>
      </c>
      <c r="O165" s="32">
        <v>0.106</v>
      </c>
      <c r="P165" s="32">
        <v>0.107</v>
      </c>
      <c r="Q165" s="31">
        <v>389376</v>
      </c>
      <c r="R165" s="33">
        <v>3.06</v>
      </c>
      <c r="S165" s="34">
        <v>149492</v>
      </c>
      <c r="T165" s="34">
        <v>48813</v>
      </c>
      <c r="U165" s="33">
        <v>3.24</v>
      </c>
      <c r="V165" s="34">
        <v>158631</v>
      </c>
      <c r="W165" s="34">
        <v>48931</v>
      </c>
      <c r="X165" s="33">
        <v>3.31</v>
      </c>
      <c r="Y165" s="34">
        <v>156818</v>
      </c>
      <c r="Z165" s="34">
        <v>47325</v>
      </c>
      <c r="AA165" s="33">
        <v>3.1</v>
      </c>
      <c r="AB165" s="34">
        <v>132055</v>
      </c>
      <c r="AC165" s="34">
        <v>42618</v>
      </c>
    </row>
    <row r="166" spans="1:29" ht="10.5" customHeight="1" x14ac:dyDescent="0.15">
      <c r="A166" s="30" t="s">
        <v>83</v>
      </c>
      <c r="B166" s="30">
        <v>5</v>
      </c>
      <c r="C166" s="35" t="s">
        <v>293</v>
      </c>
      <c r="D166" s="35" t="s">
        <v>293</v>
      </c>
      <c r="E166" s="35" t="s">
        <v>293</v>
      </c>
      <c r="F166" s="35" t="s">
        <v>293</v>
      </c>
      <c r="G166" s="35" t="s">
        <v>293</v>
      </c>
      <c r="H166" s="42" t="s">
        <v>293</v>
      </c>
      <c r="I166" s="42" t="s">
        <v>293</v>
      </c>
      <c r="J166" s="42" t="s">
        <v>293</v>
      </c>
      <c r="K166" s="42" t="s">
        <v>293</v>
      </c>
      <c r="L166" s="58" t="e">
        <f>Tabelle1[[#This Row],[Spalte12]]-Tabelle1[[#This Row],[Spalte11]]</f>
        <v>#VALUE!</v>
      </c>
      <c r="M166" s="42" t="s">
        <v>293</v>
      </c>
      <c r="N166" s="42" t="s">
        <v>293</v>
      </c>
      <c r="O166" s="42" t="s">
        <v>293</v>
      </c>
      <c r="P166" s="42" t="s">
        <v>293</v>
      </c>
      <c r="Q166" s="35" t="s">
        <v>293</v>
      </c>
      <c r="R166" s="37" t="s">
        <v>293</v>
      </c>
      <c r="S166" s="38" t="s">
        <v>293</v>
      </c>
      <c r="T166" s="38" t="s">
        <v>293</v>
      </c>
      <c r="U166" s="37" t="s">
        <v>293</v>
      </c>
      <c r="V166" s="38" t="s">
        <v>293</v>
      </c>
      <c r="W166" s="38" t="s">
        <v>293</v>
      </c>
      <c r="X166" s="37" t="s">
        <v>293</v>
      </c>
      <c r="Y166" s="38" t="s">
        <v>293</v>
      </c>
      <c r="Z166" s="38" t="s">
        <v>293</v>
      </c>
      <c r="AA166" s="37" t="s">
        <v>293</v>
      </c>
      <c r="AB166" s="38" t="s">
        <v>293</v>
      </c>
      <c r="AC166" s="38" t="s">
        <v>293</v>
      </c>
    </row>
    <row r="167" spans="1:29" ht="10.5" customHeight="1" x14ac:dyDescent="0.15">
      <c r="A167" s="30" t="s">
        <v>203</v>
      </c>
      <c r="B167" s="30">
        <v>5</v>
      </c>
      <c r="C167" s="31">
        <v>245358</v>
      </c>
      <c r="D167" s="31">
        <v>648108</v>
      </c>
      <c r="E167" s="31">
        <v>647490</v>
      </c>
      <c r="F167" s="31">
        <v>647490</v>
      </c>
      <c r="G167" s="31">
        <v>3066972</v>
      </c>
      <c r="H167" s="32">
        <v>0.21099999999999999</v>
      </c>
      <c r="I167" s="32">
        <v>0.21099999999999999</v>
      </c>
      <c r="J167" s="32">
        <v>0.21099999999999999</v>
      </c>
      <c r="K167" s="32">
        <v>0</v>
      </c>
      <c r="L167" s="56">
        <f>Tabelle1[[#This Row],[Spalte12]]-Tabelle1[[#This Row],[Spalte11]]</f>
        <v>7.0000000000000007E-2</v>
      </c>
      <c r="M167" s="32">
        <v>7.0000000000000007E-2</v>
      </c>
      <c r="N167" s="32">
        <v>8.5000000000000006E-2</v>
      </c>
      <c r="O167" s="32">
        <v>0.105</v>
      </c>
      <c r="P167" s="32">
        <v>7.3999999999999996E-2</v>
      </c>
      <c r="Q167" s="31">
        <v>8794049</v>
      </c>
      <c r="R167" s="37" t="s">
        <v>294</v>
      </c>
      <c r="S167" s="38" t="s">
        <v>294</v>
      </c>
      <c r="T167" s="38" t="s">
        <v>294</v>
      </c>
      <c r="U167" s="37" t="s">
        <v>294</v>
      </c>
      <c r="V167" s="38" t="s">
        <v>294</v>
      </c>
      <c r="W167" s="38" t="s">
        <v>294</v>
      </c>
      <c r="X167" s="37" t="s">
        <v>294</v>
      </c>
      <c r="Y167" s="38" t="s">
        <v>294</v>
      </c>
      <c r="Z167" s="38" t="s">
        <v>294</v>
      </c>
      <c r="AA167" s="37" t="s">
        <v>294</v>
      </c>
      <c r="AB167" s="38" t="s">
        <v>294</v>
      </c>
      <c r="AC167" s="38" t="s">
        <v>294</v>
      </c>
    </row>
    <row r="168" spans="1:29" ht="10.5" customHeight="1" x14ac:dyDescent="0.15">
      <c r="A168" s="30" t="s">
        <v>202</v>
      </c>
      <c r="B168" s="30">
        <v>5</v>
      </c>
      <c r="C168" s="31">
        <v>227010</v>
      </c>
      <c r="D168" s="31">
        <v>634219</v>
      </c>
      <c r="E168" s="31">
        <v>507604</v>
      </c>
      <c r="F168" s="31">
        <v>607604</v>
      </c>
      <c r="G168" s="31">
        <v>2837621</v>
      </c>
      <c r="H168" s="32">
        <v>0.17899999999999999</v>
      </c>
      <c r="I168" s="32">
        <v>0.214</v>
      </c>
      <c r="J168" s="32">
        <v>0.224</v>
      </c>
      <c r="K168" s="32">
        <v>0</v>
      </c>
      <c r="L168" s="56">
        <f>Tabelle1[[#This Row],[Spalte12]]-Tabelle1[[#This Row],[Spalte11]]</f>
        <v>7.0000000000000007E-2</v>
      </c>
      <c r="M168" s="32">
        <v>7.0000000000000007E-2</v>
      </c>
      <c r="N168" s="32">
        <v>8.5000000000000006E-2</v>
      </c>
      <c r="O168" s="32">
        <v>0.105</v>
      </c>
      <c r="P168" s="32">
        <v>7.0000000000000007E-2</v>
      </c>
      <c r="Q168" s="31">
        <v>8690619</v>
      </c>
      <c r="R168" s="37" t="s">
        <v>294</v>
      </c>
      <c r="S168" s="38" t="s">
        <v>294</v>
      </c>
      <c r="T168" s="38" t="s">
        <v>294</v>
      </c>
      <c r="U168" s="37" t="s">
        <v>294</v>
      </c>
      <c r="V168" s="38" t="s">
        <v>294</v>
      </c>
      <c r="W168" s="38" t="s">
        <v>294</v>
      </c>
      <c r="X168" s="37" t="s">
        <v>294</v>
      </c>
      <c r="Y168" s="38" t="s">
        <v>294</v>
      </c>
      <c r="Z168" s="38" t="s">
        <v>294</v>
      </c>
      <c r="AA168" s="37" t="s">
        <v>294</v>
      </c>
      <c r="AB168" s="38" t="s">
        <v>294</v>
      </c>
      <c r="AC168" s="38" t="s">
        <v>294</v>
      </c>
    </row>
    <row r="169" spans="1:29" ht="10.5" customHeight="1" x14ac:dyDescent="0.15">
      <c r="A169" s="30" t="s">
        <v>70</v>
      </c>
      <c r="B169" s="30">
        <v>5</v>
      </c>
      <c r="C169" s="31">
        <v>3465</v>
      </c>
      <c r="D169" s="31">
        <v>33306</v>
      </c>
      <c r="E169" s="31">
        <v>33306</v>
      </c>
      <c r="F169" s="31">
        <v>33306</v>
      </c>
      <c r="G169" s="31">
        <v>43308</v>
      </c>
      <c r="H169" s="32">
        <v>0.76900000000000002</v>
      </c>
      <c r="I169" s="32">
        <v>0.76900000000000002</v>
      </c>
      <c r="J169" s="32">
        <v>0.76900000000000002</v>
      </c>
      <c r="K169" s="32">
        <v>0</v>
      </c>
      <c r="L169" s="56">
        <f>Tabelle1[[#This Row],[Spalte12]]-Tabelle1[[#This Row],[Spalte11]]</f>
        <v>7.0000000000000007E-2</v>
      </c>
      <c r="M169" s="32">
        <v>7.0000000000000007E-2</v>
      </c>
      <c r="N169" s="32">
        <v>8.5000000000000006E-2</v>
      </c>
      <c r="O169" s="32">
        <v>0.105</v>
      </c>
      <c r="P169" s="32">
        <v>0.19</v>
      </c>
      <c r="Q169" s="31">
        <v>175329</v>
      </c>
      <c r="R169" s="37" t="s">
        <v>294</v>
      </c>
      <c r="S169" s="38" t="s">
        <v>294</v>
      </c>
      <c r="T169" s="38" t="s">
        <v>294</v>
      </c>
      <c r="U169" s="37" t="s">
        <v>294</v>
      </c>
      <c r="V169" s="38" t="s">
        <v>294</v>
      </c>
      <c r="W169" s="38" t="s">
        <v>294</v>
      </c>
      <c r="X169" s="37" t="s">
        <v>294</v>
      </c>
      <c r="Y169" s="38" t="s">
        <v>294</v>
      </c>
      <c r="Z169" s="38" t="s">
        <v>294</v>
      </c>
      <c r="AA169" s="37" t="s">
        <v>294</v>
      </c>
      <c r="AB169" s="38" t="s">
        <v>294</v>
      </c>
      <c r="AC169" s="38" t="s">
        <v>294</v>
      </c>
    </row>
    <row r="170" spans="1:29" ht="10.5" customHeight="1" x14ac:dyDescent="0.15">
      <c r="A170" s="30" t="s">
        <v>180</v>
      </c>
      <c r="B170" s="30">
        <v>4</v>
      </c>
      <c r="C170" s="31">
        <v>230221</v>
      </c>
      <c r="D170" s="31">
        <v>631674</v>
      </c>
      <c r="E170" s="31">
        <v>631617</v>
      </c>
      <c r="F170" s="31">
        <v>631617</v>
      </c>
      <c r="G170" s="31">
        <v>2877757</v>
      </c>
      <c r="H170" s="32">
        <v>0.219</v>
      </c>
      <c r="I170" s="32">
        <v>0.219</v>
      </c>
      <c r="J170" s="32">
        <v>0.22</v>
      </c>
      <c r="K170" s="32">
        <v>3.0000000000000001E-3</v>
      </c>
      <c r="L170" s="56">
        <f>Tabelle1[[#This Row],[Spalte12]]-Tabelle1[[#This Row],[Spalte11]]</f>
        <v>7.3999999999999996E-2</v>
      </c>
      <c r="M170" s="32">
        <v>7.6999999999999999E-2</v>
      </c>
      <c r="N170" s="32">
        <v>9.2999999999999999E-2</v>
      </c>
      <c r="O170" s="32">
        <v>0.115</v>
      </c>
      <c r="P170" s="32">
        <v>6.6000000000000003E-2</v>
      </c>
      <c r="Q170" s="31">
        <v>9570135</v>
      </c>
      <c r="R170" s="33">
        <v>1.54</v>
      </c>
      <c r="S170" s="34">
        <v>729013</v>
      </c>
      <c r="T170" s="34">
        <v>473535</v>
      </c>
      <c r="U170" s="33">
        <v>1.45</v>
      </c>
      <c r="V170" s="34">
        <v>719318</v>
      </c>
      <c r="W170" s="34">
        <v>496017</v>
      </c>
      <c r="X170" s="33">
        <v>1.58</v>
      </c>
      <c r="Y170" s="34">
        <v>857210</v>
      </c>
      <c r="Z170" s="34">
        <v>543601</v>
      </c>
      <c r="AA170" s="33">
        <v>1.75</v>
      </c>
      <c r="AB170" s="34">
        <v>989486</v>
      </c>
      <c r="AC170" s="34">
        <v>565891</v>
      </c>
    </row>
    <row r="171" spans="1:29" ht="10.5" customHeight="1" x14ac:dyDescent="0.15">
      <c r="A171" s="30" t="s">
        <v>60</v>
      </c>
      <c r="B171" s="30">
        <v>5</v>
      </c>
      <c r="C171" s="31">
        <v>43616</v>
      </c>
      <c r="D171" s="31">
        <v>121053</v>
      </c>
      <c r="E171" s="31">
        <v>116093</v>
      </c>
      <c r="F171" s="31">
        <v>116093</v>
      </c>
      <c r="G171" s="31">
        <v>545203</v>
      </c>
      <c r="H171" s="32">
        <v>0.21299999999999999</v>
      </c>
      <c r="I171" s="32">
        <v>0.21299999999999999</v>
      </c>
      <c r="J171" s="32">
        <v>0.222</v>
      </c>
      <c r="K171" s="32">
        <v>7.0000000000000001E-3</v>
      </c>
      <c r="L171" s="56">
        <f>Tabelle1[[#This Row],[Spalte12]]-Tabelle1[[#This Row],[Spalte11]]</f>
        <v>6.9999999999999993E-2</v>
      </c>
      <c r="M171" s="32">
        <v>7.6999999999999999E-2</v>
      </c>
      <c r="N171" s="32">
        <v>9.1999999999999998E-2</v>
      </c>
      <c r="O171" s="32">
        <v>0.112</v>
      </c>
      <c r="P171" s="32">
        <v>0.113</v>
      </c>
      <c r="Q171" s="31">
        <v>1030774</v>
      </c>
      <c r="R171" s="33">
        <v>1.65</v>
      </c>
      <c r="S171" s="34">
        <v>136448</v>
      </c>
      <c r="T171" s="34">
        <v>82933</v>
      </c>
      <c r="U171" s="33">
        <v>1.8</v>
      </c>
      <c r="V171" s="34">
        <v>127031</v>
      </c>
      <c r="W171" s="34">
        <v>70754</v>
      </c>
      <c r="X171" s="33">
        <v>1.73</v>
      </c>
      <c r="Y171" s="34">
        <v>125956</v>
      </c>
      <c r="Z171" s="34">
        <v>72744</v>
      </c>
      <c r="AA171" s="33">
        <v>2.4</v>
      </c>
      <c r="AB171" s="34">
        <v>159628</v>
      </c>
      <c r="AC171" s="34">
        <v>66523</v>
      </c>
    </row>
    <row r="172" spans="1:29" ht="10.5" customHeight="1" x14ac:dyDescent="0.15">
      <c r="A172" s="30" t="s">
        <v>17</v>
      </c>
      <c r="B172" s="30">
        <v>3</v>
      </c>
      <c r="C172" s="31">
        <v>1583653</v>
      </c>
      <c r="D172" s="31">
        <v>3303877</v>
      </c>
      <c r="E172" s="31">
        <v>2758380</v>
      </c>
      <c r="F172" s="31">
        <v>3268380</v>
      </c>
      <c r="G172" s="31">
        <v>19795661</v>
      </c>
      <c r="H172" s="32">
        <v>0.13900000000000001</v>
      </c>
      <c r="I172" s="32">
        <v>0.16500000000000001</v>
      </c>
      <c r="J172" s="32">
        <v>0.16700000000000001</v>
      </c>
      <c r="K172" s="32">
        <v>8.9999999999999993E-3</v>
      </c>
      <c r="L172" s="56">
        <f>Tabelle1[[#This Row],[Spalte12]]-Tabelle1[[#This Row],[Spalte11]]</f>
        <v>7.8E-2</v>
      </c>
      <c r="M172" s="32">
        <v>8.6999999999999994E-2</v>
      </c>
      <c r="N172" s="32">
        <v>0.105</v>
      </c>
      <c r="O172" s="32">
        <v>0.129</v>
      </c>
      <c r="P172" s="32">
        <v>7.4999999999999997E-2</v>
      </c>
      <c r="Q172" s="31">
        <v>43859209</v>
      </c>
      <c r="R172" s="33">
        <v>1.3</v>
      </c>
      <c r="S172" s="34">
        <v>4334361</v>
      </c>
      <c r="T172" s="34">
        <v>3342525</v>
      </c>
      <c r="U172" s="33">
        <v>1.43</v>
      </c>
      <c r="V172" s="34">
        <v>4514429</v>
      </c>
      <c r="W172" s="34">
        <v>3163598</v>
      </c>
      <c r="X172" s="33">
        <v>1.36</v>
      </c>
      <c r="Y172" s="34">
        <v>4460606</v>
      </c>
      <c r="Z172" s="34">
        <v>3271399</v>
      </c>
      <c r="AA172" s="33">
        <v>1.51</v>
      </c>
      <c r="AB172" s="34">
        <v>5470765</v>
      </c>
      <c r="AC172" s="34">
        <v>3631969</v>
      </c>
    </row>
    <row r="173" spans="1:29" ht="10.5" customHeight="1" x14ac:dyDescent="0.15">
      <c r="A173" s="30" t="s">
        <v>92</v>
      </c>
      <c r="B173" s="30">
        <v>5</v>
      </c>
      <c r="C173" s="35" t="s">
        <v>293</v>
      </c>
      <c r="D173" s="35" t="s">
        <v>293</v>
      </c>
      <c r="E173" s="35" t="s">
        <v>293</v>
      </c>
      <c r="F173" s="35" t="s">
        <v>293</v>
      </c>
      <c r="G173" s="35" t="s">
        <v>293</v>
      </c>
      <c r="H173" s="42" t="s">
        <v>293</v>
      </c>
      <c r="I173" s="42" t="s">
        <v>293</v>
      </c>
      <c r="J173" s="42" t="s">
        <v>293</v>
      </c>
      <c r="K173" s="42" t="s">
        <v>293</v>
      </c>
      <c r="L173" s="58" t="e">
        <f>Tabelle1[[#This Row],[Spalte12]]-Tabelle1[[#This Row],[Spalte11]]</f>
        <v>#VALUE!</v>
      </c>
      <c r="M173" s="42" t="s">
        <v>293</v>
      </c>
      <c r="N173" s="42" t="s">
        <v>293</v>
      </c>
      <c r="O173" s="42" t="s">
        <v>293</v>
      </c>
      <c r="P173" s="42" t="s">
        <v>293</v>
      </c>
      <c r="Q173" s="35" t="s">
        <v>293</v>
      </c>
      <c r="R173" s="37" t="s">
        <v>293</v>
      </c>
      <c r="S173" s="38" t="s">
        <v>293</v>
      </c>
      <c r="T173" s="38" t="s">
        <v>293</v>
      </c>
      <c r="U173" s="37" t="s">
        <v>293</v>
      </c>
      <c r="V173" s="38" t="s">
        <v>293</v>
      </c>
      <c r="W173" s="38" t="s">
        <v>293</v>
      </c>
      <c r="X173" s="37" t="s">
        <v>293</v>
      </c>
      <c r="Y173" s="38" t="s">
        <v>293</v>
      </c>
      <c r="Z173" s="38" t="s">
        <v>293</v>
      </c>
      <c r="AA173" s="37" t="s">
        <v>293</v>
      </c>
      <c r="AB173" s="38" t="s">
        <v>293</v>
      </c>
      <c r="AC173" s="38" t="s">
        <v>293</v>
      </c>
    </row>
    <row r="174" spans="1:29" ht="10.5" customHeight="1" x14ac:dyDescent="0.15">
      <c r="A174" s="30" t="s">
        <v>236</v>
      </c>
      <c r="B174" s="30">
        <v>5</v>
      </c>
      <c r="C174" s="31">
        <v>323</v>
      </c>
      <c r="D174" s="31">
        <v>22010</v>
      </c>
      <c r="E174" s="31">
        <v>22010</v>
      </c>
      <c r="F174" s="31">
        <v>22010</v>
      </c>
      <c r="G174" s="31">
        <v>4032</v>
      </c>
      <c r="H174" s="32">
        <v>5.4589999999999996</v>
      </c>
      <c r="I174" s="32">
        <v>5.4589999999999996</v>
      </c>
      <c r="J174" s="32">
        <v>5.4589999999999996</v>
      </c>
      <c r="K174" s="32">
        <v>0</v>
      </c>
      <c r="L174" s="56">
        <f>Tabelle1[[#This Row],[Spalte12]]-Tabelle1[[#This Row],[Spalte11]]</f>
        <v>7.0000000000000007E-2</v>
      </c>
      <c r="M174" s="32">
        <v>7.0000000000000007E-2</v>
      </c>
      <c r="N174" s="32">
        <v>8.5000000000000006E-2</v>
      </c>
      <c r="O174" s="32">
        <v>0.105</v>
      </c>
      <c r="P174" s="32">
        <v>0.55500000000000005</v>
      </c>
      <c r="Q174" s="31">
        <v>39676</v>
      </c>
      <c r="R174" s="33">
        <v>1051.3599999999999</v>
      </c>
      <c r="S174" s="34">
        <v>15037</v>
      </c>
      <c r="T174" s="34">
        <v>14</v>
      </c>
      <c r="U174" s="33">
        <v>109.41</v>
      </c>
      <c r="V174" s="34">
        <v>18320</v>
      </c>
      <c r="W174" s="34">
        <v>167</v>
      </c>
      <c r="X174" s="33">
        <v>17.72</v>
      </c>
      <c r="Y174" s="34">
        <v>21162</v>
      </c>
      <c r="Z174" s="34">
        <v>1194</v>
      </c>
      <c r="AA174" s="33">
        <v>6.25</v>
      </c>
      <c r="AB174" s="34">
        <v>17667</v>
      </c>
      <c r="AC174" s="34">
        <v>2827</v>
      </c>
    </row>
    <row r="175" spans="1:29" ht="10.5" customHeight="1" x14ac:dyDescent="0.15">
      <c r="A175" s="30" t="s">
        <v>104</v>
      </c>
      <c r="B175" s="30">
        <v>5</v>
      </c>
      <c r="C175" s="31">
        <v>5172</v>
      </c>
      <c r="D175" s="31">
        <v>31946</v>
      </c>
      <c r="E175" s="31">
        <v>31946</v>
      </c>
      <c r="F175" s="31">
        <v>31946</v>
      </c>
      <c r="G175" s="31">
        <v>64650</v>
      </c>
      <c r="H175" s="32">
        <v>0.49399999999999999</v>
      </c>
      <c r="I175" s="32">
        <v>0.49399999999999999</v>
      </c>
      <c r="J175" s="32">
        <v>0.49399999999999999</v>
      </c>
      <c r="K175" s="32">
        <v>0</v>
      </c>
      <c r="L175" s="56">
        <f>Tabelle1[[#This Row],[Spalte12]]-Tabelle1[[#This Row],[Spalte11]]</f>
        <v>7.0000000000000007E-2</v>
      </c>
      <c r="M175" s="32">
        <v>7.0000000000000007E-2</v>
      </c>
      <c r="N175" s="32">
        <v>8.5000000000000006E-2</v>
      </c>
      <c r="O175" s="32">
        <v>0.105</v>
      </c>
      <c r="P175" s="32">
        <v>0.222</v>
      </c>
      <c r="Q175" s="31">
        <v>143605</v>
      </c>
      <c r="R175" s="33">
        <v>1.2</v>
      </c>
      <c r="S175" s="34">
        <v>20363</v>
      </c>
      <c r="T175" s="34">
        <v>16995</v>
      </c>
      <c r="U175" s="33">
        <v>1.47</v>
      </c>
      <c r="V175" s="34">
        <v>16874</v>
      </c>
      <c r="W175" s="34">
        <v>11472</v>
      </c>
      <c r="X175" s="33">
        <v>1.48</v>
      </c>
      <c r="Y175" s="34">
        <v>16554</v>
      </c>
      <c r="Z175" s="34">
        <v>11219</v>
      </c>
      <c r="AA175" s="33">
        <v>1.46</v>
      </c>
      <c r="AB175" s="34">
        <v>17044</v>
      </c>
      <c r="AC175" s="34">
        <v>11656</v>
      </c>
    </row>
    <row r="176" spans="1:29" ht="10.5" customHeight="1" x14ac:dyDescent="0.15">
      <c r="A176" s="30" t="s">
        <v>181</v>
      </c>
      <c r="B176" s="30">
        <v>5</v>
      </c>
      <c r="C176" s="31">
        <v>1643</v>
      </c>
      <c r="D176" s="31">
        <v>5377</v>
      </c>
      <c r="E176" s="31">
        <v>5377</v>
      </c>
      <c r="F176" s="31">
        <v>5377</v>
      </c>
      <c r="G176" s="31">
        <v>20543</v>
      </c>
      <c r="H176" s="32">
        <v>0.26200000000000001</v>
      </c>
      <c r="I176" s="32">
        <v>0.26200000000000001</v>
      </c>
      <c r="J176" s="32">
        <v>0.26200000000000001</v>
      </c>
      <c r="K176" s="32">
        <v>0</v>
      </c>
      <c r="L176" s="56">
        <f>Tabelle1[[#This Row],[Spalte12]]-Tabelle1[[#This Row],[Spalte11]]</f>
        <v>7.0000000000000007E-2</v>
      </c>
      <c r="M176" s="32">
        <v>7.0000000000000007E-2</v>
      </c>
      <c r="N176" s="32">
        <v>8.5000000000000006E-2</v>
      </c>
      <c r="O176" s="32">
        <v>0.105</v>
      </c>
      <c r="P176" s="32">
        <v>0.18099999999999999</v>
      </c>
      <c r="Q176" s="31">
        <v>29640</v>
      </c>
      <c r="R176" s="37" t="s">
        <v>294</v>
      </c>
      <c r="S176" s="38" t="s">
        <v>294</v>
      </c>
      <c r="T176" s="38" t="s">
        <v>294</v>
      </c>
      <c r="U176" s="37" t="s">
        <v>294</v>
      </c>
      <c r="V176" s="38" t="s">
        <v>294</v>
      </c>
      <c r="W176" s="38" t="s">
        <v>294</v>
      </c>
      <c r="X176" s="37" t="s">
        <v>294</v>
      </c>
      <c r="Y176" s="38" t="s">
        <v>294</v>
      </c>
      <c r="Z176" s="38" t="s">
        <v>294</v>
      </c>
      <c r="AA176" s="37" t="s">
        <v>294</v>
      </c>
      <c r="AB176" s="38" t="s">
        <v>294</v>
      </c>
      <c r="AC176" s="38" t="s">
        <v>294</v>
      </c>
    </row>
    <row r="177" spans="1:29" ht="10.5" customHeight="1" x14ac:dyDescent="0.15">
      <c r="A177" s="30" t="s">
        <v>107</v>
      </c>
      <c r="B177" s="30">
        <v>3</v>
      </c>
      <c r="C177" s="31">
        <v>1510119</v>
      </c>
      <c r="D177" s="31">
        <v>3998035</v>
      </c>
      <c r="E177" s="31">
        <v>2688112</v>
      </c>
      <c r="F177" s="31">
        <v>2688112</v>
      </c>
      <c r="G177" s="31">
        <v>18876484</v>
      </c>
      <c r="H177" s="32">
        <v>0.14199999999999999</v>
      </c>
      <c r="I177" s="32">
        <v>0.14199999999999999</v>
      </c>
      <c r="J177" s="32">
        <v>0.21199999999999999</v>
      </c>
      <c r="K177" s="32">
        <v>1.4E-2</v>
      </c>
      <c r="L177" s="56">
        <f>Tabelle1[[#This Row],[Spalte12]]-Tabelle1[[#This Row],[Spalte11]]</f>
        <v>7.8E-2</v>
      </c>
      <c r="M177" s="32">
        <v>9.1999999999999998E-2</v>
      </c>
      <c r="N177" s="32">
        <v>0.11</v>
      </c>
      <c r="O177" s="32">
        <v>0.13400000000000001</v>
      </c>
      <c r="P177" s="32">
        <v>5.6000000000000001E-2</v>
      </c>
      <c r="Q177" s="31">
        <v>47763189</v>
      </c>
      <c r="R177" s="33">
        <v>1.3</v>
      </c>
      <c r="S177" s="34">
        <v>4077183</v>
      </c>
      <c r="T177" s="34">
        <v>3146800</v>
      </c>
      <c r="U177" s="33">
        <v>1.27</v>
      </c>
      <c r="V177" s="34">
        <v>4199924</v>
      </c>
      <c r="W177" s="34">
        <v>3298988</v>
      </c>
      <c r="X177" s="33">
        <v>1.2</v>
      </c>
      <c r="Y177" s="34">
        <v>4348207</v>
      </c>
      <c r="Z177" s="34">
        <v>3629975</v>
      </c>
      <c r="AA177" s="33">
        <v>1.28</v>
      </c>
      <c r="AB177" s="34">
        <v>4806387</v>
      </c>
      <c r="AC177" s="34">
        <v>3756534</v>
      </c>
    </row>
    <row r="178" spans="1:29" ht="10.5" customHeight="1" x14ac:dyDescent="0.15">
      <c r="A178" s="30" t="s">
        <v>148</v>
      </c>
      <c r="B178" s="30">
        <v>5</v>
      </c>
      <c r="C178" s="35" t="s">
        <v>293</v>
      </c>
      <c r="D178" s="35" t="s">
        <v>293</v>
      </c>
      <c r="E178" s="35" t="s">
        <v>293</v>
      </c>
      <c r="F178" s="35" t="s">
        <v>293</v>
      </c>
      <c r="G178" s="35" t="s">
        <v>293</v>
      </c>
      <c r="H178" s="42" t="s">
        <v>293</v>
      </c>
      <c r="I178" s="42" t="s">
        <v>293</v>
      </c>
      <c r="J178" s="42" t="s">
        <v>293</v>
      </c>
      <c r="K178" s="42" t="s">
        <v>293</v>
      </c>
      <c r="L178" s="58" t="e">
        <f>Tabelle1[[#This Row],[Spalte12]]-Tabelle1[[#This Row],[Spalte11]]</f>
        <v>#VALUE!</v>
      </c>
      <c r="M178" s="42" t="s">
        <v>293</v>
      </c>
      <c r="N178" s="42" t="s">
        <v>293</v>
      </c>
      <c r="O178" s="42" t="s">
        <v>293</v>
      </c>
      <c r="P178" s="42" t="s">
        <v>293</v>
      </c>
      <c r="Q178" s="35" t="s">
        <v>293</v>
      </c>
      <c r="R178" s="37" t="s">
        <v>293</v>
      </c>
      <c r="S178" s="38" t="s">
        <v>293</v>
      </c>
      <c r="T178" s="38" t="s">
        <v>293</v>
      </c>
      <c r="U178" s="37" t="s">
        <v>293</v>
      </c>
      <c r="V178" s="38" t="s">
        <v>293</v>
      </c>
      <c r="W178" s="38" t="s">
        <v>293</v>
      </c>
      <c r="X178" s="37" t="s">
        <v>293</v>
      </c>
      <c r="Y178" s="38" t="s">
        <v>293</v>
      </c>
      <c r="Z178" s="38" t="s">
        <v>293</v>
      </c>
      <c r="AA178" s="37" t="s">
        <v>293</v>
      </c>
      <c r="AB178" s="38" t="s">
        <v>293</v>
      </c>
      <c r="AC178" s="38" t="s">
        <v>293</v>
      </c>
    </row>
    <row r="179" spans="1:29" ht="10.5" customHeight="1" x14ac:dyDescent="0.15">
      <c r="A179" s="30" t="s">
        <v>6</v>
      </c>
      <c r="B179" s="30">
        <v>3</v>
      </c>
      <c r="C179" s="31">
        <v>802544</v>
      </c>
      <c r="D179" s="31">
        <v>1514369</v>
      </c>
      <c r="E179" s="31">
        <v>1514369</v>
      </c>
      <c r="F179" s="31">
        <v>1514369</v>
      </c>
      <c r="G179" s="31">
        <v>10031801</v>
      </c>
      <c r="H179" s="32">
        <v>0.151</v>
      </c>
      <c r="I179" s="32">
        <v>0.151</v>
      </c>
      <c r="J179" s="32">
        <v>0.151</v>
      </c>
      <c r="K179" s="32">
        <v>0.01</v>
      </c>
      <c r="L179" s="56">
        <f>Tabelle1[[#This Row],[Spalte12]]-Tabelle1[[#This Row],[Spalte11]]</f>
        <v>7.8E-2</v>
      </c>
      <c r="M179" s="32">
        <v>8.7999999999999995E-2</v>
      </c>
      <c r="N179" s="32">
        <v>0.106</v>
      </c>
      <c r="O179" s="32">
        <v>0.13</v>
      </c>
      <c r="P179" s="32">
        <v>6.0999999999999999E-2</v>
      </c>
      <c r="Q179" s="31">
        <v>24641790</v>
      </c>
      <c r="R179" s="33">
        <v>1.1599999999999999</v>
      </c>
      <c r="S179" s="34">
        <v>2909838</v>
      </c>
      <c r="T179" s="34">
        <v>2515547</v>
      </c>
      <c r="U179" s="33">
        <v>1.1100000000000001</v>
      </c>
      <c r="V179" s="34">
        <v>2914037</v>
      </c>
      <c r="W179" s="34">
        <v>2632136</v>
      </c>
      <c r="X179" s="33">
        <v>1.1399999999999999</v>
      </c>
      <c r="Y179" s="34">
        <v>2917665</v>
      </c>
      <c r="Z179" s="34">
        <v>2555756</v>
      </c>
      <c r="AA179" s="33">
        <v>1.21</v>
      </c>
      <c r="AB179" s="34">
        <v>3103381</v>
      </c>
      <c r="AC179" s="34">
        <v>2555499</v>
      </c>
    </row>
    <row r="180" spans="1:29" ht="10.5" customHeight="1" x14ac:dyDescent="0.15">
      <c r="A180" s="30" t="s">
        <v>182</v>
      </c>
      <c r="B180" s="30">
        <v>5</v>
      </c>
      <c r="C180" s="31">
        <v>21847</v>
      </c>
      <c r="D180" s="31">
        <v>70010</v>
      </c>
      <c r="E180" s="31">
        <v>70010</v>
      </c>
      <c r="F180" s="31">
        <v>70010</v>
      </c>
      <c r="G180" s="31">
        <v>273087</v>
      </c>
      <c r="H180" s="32">
        <v>0.25600000000000001</v>
      </c>
      <c r="I180" s="32">
        <v>0.25600000000000001</v>
      </c>
      <c r="J180" s="32">
        <v>0.25600000000000001</v>
      </c>
      <c r="K180" s="32">
        <v>0</v>
      </c>
      <c r="L180" s="56">
        <f>Tabelle1[[#This Row],[Spalte12]]-Tabelle1[[#This Row],[Spalte11]]</f>
        <v>7.0000000000000007E-2</v>
      </c>
      <c r="M180" s="32">
        <v>7.0000000000000007E-2</v>
      </c>
      <c r="N180" s="32">
        <v>8.5000000000000006E-2</v>
      </c>
      <c r="O180" s="32">
        <v>0.105</v>
      </c>
      <c r="P180" s="32">
        <v>0.13300000000000001</v>
      </c>
      <c r="Q180" s="31">
        <v>525078</v>
      </c>
      <c r="R180" s="33">
        <v>1.33</v>
      </c>
      <c r="S180" s="34">
        <v>46118</v>
      </c>
      <c r="T180" s="34">
        <v>34691</v>
      </c>
      <c r="U180" s="33">
        <v>1.41</v>
      </c>
      <c r="V180" s="34">
        <v>51168</v>
      </c>
      <c r="W180" s="34">
        <v>36416</v>
      </c>
      <c r="X180" s="33">
        <v>1.46</v>
      </c>
      <c r="Y180" s="34">
        <v>56782</v>
      </c>
      <c r="Z180" s="34">
        <v>38775</v>
      </c>
      <c r="AA180" s="33">
        <v>1.54</v>
      </c>
      <c r="AB180" s="34">
        <v>57054</v>
      </c>
      <c r="AC180" s="34">
        <v>37038</v>
      </c>
    </row>
    <row r="181" spans="1:29" ht="10.5" customHeight="1" x14ac:dyDescent="0.15">
      <c r="A181" s="30" t="s">
        <v>21</v>
      </c>
      <c r="B181" s="30">
        <v>4</v>
      </c>
      <c r="C181" s="35" t="s">
        <v>293</v>
      </c>
      <c r="D181" s="35" t="s">
        <v>293</v>
      </c>
      <c r="E181" s="35" t="s">
        <v>293</v>
      </c>
      <c r="F181" s="35" t="s">
        <v>293</v>
      </c>
      <c r="G181" s="35" t="s">
        <v>293</v>
      </c>
      <c r="H181" s="42" t="s">
        <v>293</v>
      </c>
      <c r="I181" s="42" t="s">
        <v>293</v>
      </c>
      <c r="J181" s="42" t="s">
        <v>293</v>
      </c>
      <c r="K181" s="42" t="s">
        <v>293</v>
      </c>
      <c r="L181" s="58" t="e">
        <f>Tabelle1[[#This Row],[Spalte12]]-Tabelle1[[#This Row],[Spalte11]]</f>
        <v>#VALUE!</v>
      </c>
      <c r="M181" s="42" t="s">
        <v>293</v>
      </c>
      <c r="N181" s="42" t="s">
        <v>293</v>
      </c>
      <c r="O181" s="42" t="s">
        <v>293</v>
      </c>
      <c r="P181" s="42" t="s">
        <v>293</v>
      </c>
      <c r="Q181" s="35" t="s">
        <v>293</v>
      </c>
      <c r="R181" s="37" t="s">
        <v>293</v>
      </c>
      <c r="S181" s="38" t="s">
        <v>293</v>
      </c>
      <c r="T181" s="38" t="s">
        <v>293</v>
      </c>
      <c r="U181" s="37" t="s">
        <v>293</v>
      </c>
      <c r="V181" s="38" t="s">
        <v>293</v>
      </c>
      <c r="W181" s="38" t="s">
        <v>293</v>
      </c>
      <c r="X181" s="37" t="s">
        <v>293</v>
      </c>
      <c r="Y181" s="38" t="s">
        <v>293</v>
      </c>
      <c r="Z181" s="38" t="s">
        <v>293</v>
      </c>
      <c r="AA181" s="37" t="s">
        <v>293</v>
      </c>
      <c r="AB181" s="38" t="s">
        <v>293</v>
      </c>
      <c r="AC181" s="38" t="s">
        <v>293</v>
      </c>
    </row>
    <row r="182" spans="1:29" ht="10.5" customHeight="1" x14ac:dyDescent="0.15">
      <c r="A182" s="30" t="s">
        <v>179</v>
      </c>
      <c r="B182" s="30">
        <v>5</v>
      </c>
      <c r="C182" s="31">
        <v>8563</v>
      </c>
      <c r="D182" s="31">
        <v>27542</v>
      </c>
      <c r="E182" s="31">
        <v>27542</v>
      </c>
      <c r="F182" s="31">
        <v>27542</v>
      </c>
      <c r="G182" s="31">
        <v>107041</v>
      </c>
      <c r="H182" s="32">
        <v>0.25700000000000001</v>
      </c>
      <c r="I182" s="32">
        <v>0.25700000000000001</v>
      </c>
      <c r="J182" s="32">
        <v>0.25700000000000001</v>
      </c>
      <c r="K182" s="32">
        <v>0</v>
      </c>
      <c r="L182" s="56">
        <f>Tabelle1[[#This Row],[Spalte12]]-Tabelle1[[#This Row],[Spalte11]]</f>
        <v>7.0000000000000007E-2</v>
      </c>
      <c r="M182" s="32">
        <v>7.0000000000000007E-2</v>
      </c>
      <c r="N182" s="32">
        <v>8.5000000000000006E-2</v>
      </c>
      <c r="O182" s="32">
        <v>0.105</v>
      </c>
      <c r="P182" s="32">
        <v>0.28000000000000003</v>
      </c>
      <c r="Q182" s="31">
        <v>98467</v>
      </c>
      <c r="R182" s="33">
        <v>3.58</v>
      </c>
      <c r="S182" s="34">
        <v>21454</v>
      </c>
      <c r="T182" s="34">
        <v>5995</v>
      </c>
      <c r="U182" s="33">
        <v>4.34</v>
      </c>
      <c r="V182" s="34">
        <v>34157</v>
      </c>
      <c r="W182" s="34">
        <v>7874</v>
      </c>
      <c r="X182" s="33">
        <v>4.9800000000000004</v>
      </c>
      <c r="Y182" s="34">
        <v>31958</v>
      </c>
      <c r="Z182" s="34">
        <v>6411</v>
      </c>
      <c r="AA182" s="33">
        <v>5.6</v>
      </c>
      <c r="AB182" s="34">
        <v>27817</v>
      </c>
      <c r="AC182" s="34">
        <v>4971</v>
      </c>
    </row>
    <row r="183" spans="1:29" ht="10.5" customHeight="1" x14ac:dyDescent="0.15">
      <c r="A183" s="30" t="s">
        <v>38</v>
      </c>
      <c r="B183" s="30">
        <v>4</v>
      </c>
      <c r="C183" s="35" t="s">
        <v>293</v>
      </c>
      <c r="D183" s="35" t="s">
        <v>293</v>
      </c>
      <c r="E183" s="35" t="s">
        <v>293</v>
      </c>
      <c r="F183" s="35" t="s">
        <v>293</v>
      </c>
      <c r="G183" s="35" t="s">
        <v>293</v>
      </c>
      <c r="H183" s="42" t="s">
        <v>293</v>
      </c>
      <c r="I183" s="42" t="s">
        <v>293</v>
      </c>
      <c r="J183" s="42" t="s">
        <v>293</v>
      </c>
      <c r="K183" s="42" t="s">
        <v>293</v>
      </c>
      <c r="L183" s="58" t="e">
        <f>Tabelle1[[#This Row],[Spalte12]]-Tabelle1[[#This Row],[Spalte11]]</f>
        <v>#VALUE!</v>
      </c>
      <c r="M183" s="42" t="s">
        <v>293</v>
      </c>
      <c r="N183" s="42" t="s">
        <v>293</v>
      </c>
      <c r="O183" s="42" t="s">
        <v>293</v>
      </c>
      <c r="P183" s="42" t="s">
        <v>293</v>
      </c>
      <c r="Q183" s="35" t="s">
        <v>293</v>
      </c>
      <c r="R183" s="37" t="s">
        <v>293</v>
      </c>
      <c r="S183" s="38" t="s">
        <v>293</v>
      </c>
      <c r="T183" s="38" t="s">
        <v>293</v>
      </c>
      <c r="U183" s="37" t="s">
        <v>293</v>
      </c>
      <c r="V183" s="38" t="s">
        <v>293</v>
      </c>
      <c r="W183" s="38" t="s">
        <v>293</v>
      </c>
      <c r="X183" s="37" t="s">
        <v>293</v>
      </c>
      <c r="Y183" s="38" t="s">
        <v>293</v>
      </c>
      <c r="Z183" s="38" t="s">
        <v>293</v>
      </c>
      <c r="AA183" s="37" t="s">
        <v>293</v>
      </c>
      <c r="AB183" s="38" t="s">
        <v>293</v>
      </c>
      <c r="AC183" s="38" t="s">
        <v>293</v>
      </c>
    </row>
    <row r="184" spans="1:29" ht="10.5" customHeight="1" x14ac:dyDescent="0.15">
      <c r="A184" s="30" t="s">
        <v>74</v>
      </c>
      <c r="B184" s="30">
        <v>5</v>
      </c>
      <c r="C184" s="31">
        <v>7938</v>
      </c>
      <c r="D184" s="31">
        <v>22958</v>
      </c>
      <c r="E184" s="31">
        <v>22958</v>
      </c>
      <c r="F184" s="31">
        <v>22958</v>
      </c>
      <c r="G184" s="31">
        <v>99220</v>
      </c>
      <c r="H184" s="32">
        <v>0.23100000000000001</v>
      </c>
      <c r="I184" s="32">
        <v>0.23100000000000001</v>
      </c>
      <c r="J184" s="32">
        <v>0.23100000000000001</v>
      </c>
      <c r="K184" s="32">
        <v>0</v>
      </c>
      <c r="L184" s="56">
        <f>Tabelle1[[#This Row],[Spalte12]]-Tabelle1[[#This Row],[Spalte11]]</f>
        <v>7.0000000000000007E-2</v>
      </c>
      <c r="M184" s="32">
        <v>7.0000000000000007E-2</v>
      </c>
      <c r="N184" s="32">
        <v>8.5000000000000006E-2</v>
      </c>
      <c r="O184" s="32">
        <v>0.105</v>
      </c>
      <c r="P184" s="32">
        <v>7.4999999999999997E-2</v>
      </c>
      <c r="Q184" s="31">
        <v>305866</v>
      </c>
      <c r="R184" s="33">
        <v>1.82</v>
      </c>
      <c r="S184" s="34">
        <v>26401</v>
      </c>
      <c r="T184" s="34">
        <v>14491</v>
      </c>
      <c r="U184" s="33">
        <v>1.33</v>
      </c>
      <c r="V184" s="34">
        <v>32959</v>
      </c>
      <c r="W184" s="34">
        <v>24724</v>
      </c>
      <c r="X184" s="33">
        <v>1.84</v>
      </c>
      <c r="Y184" s="34">
        <v>39190</v>
      </c>
      <c r="Z184" s="34">
        <v>21243</v>
      </c>
      <c r="AA184" s="33">
        <v>2.16</v>
      </c>
      <c r="AB184" s="34">
        <v>37842</v>
      </c>
      <c r="AC184" s="34">
        <v>17487</v>
      </c>
    </row>
    <row r="185" spans="1:29" ht="10.5" customHeight="1" x14ac:dyDescent="0.15">
      <c r="A185" s="30" t="s">
        <v>237</v>
      </c>
      <c r="B185" s="30">
        <v>5</v>
      </c>
      <c r="C185" s="31">
        <v>8334</v>
      </c>
      <c r="D185" s="31">
        <v>21757</v>
      </c>
      <c r="E185" s="31">
        <v>21757</v>
      </c>
      <c r="F185" s="31">
        <v>21757</v>
      </c>
      <c r="G185" s="31">
        <v>104178</v>
      </c>
      <c r="H185" s="32">
        <v>0.20899999999999999</v>
      </c>
      <c r="I185" s="32">
        <v>0.20899999999999999</v>
      </c>
      <c r="J185" s="32">
        <v>0.20899999999999999</v>
      </c>
      <c r="K185" s="32">
        <v>0</v>
      </c>
      <c r="L185" s="56">
        <f>Tabelle1[[#This Row],[Spalte12]]-Tabelle1[[#This Row],[Spalte11]]</f>
        <v>7.0000000000000007E-2</v>
      </c>
      <c r="M185" s="32">
        <v>7.0000000000000007E-2</v>
      </c>
      <c r="N185" s="32">
        <v>8.5000000000000006E-2</v>
      </c>
      <c r="O185" s="32">
        <v>0.105</v>
      </c>
      <c r="P185" s="32">
        <v>6.2E-2</v>
      </c>
      <c r="Q185" s="31">
        <v>353460</v>
      </c>
      <c r="R185" s="33">
        <v>4.12</v>
      </c>
      <c r="S185" s="34">
        <v>79479</v>
      </c>
      <c r="T185" s="34">
        <v>19287</v>
      </c>
      <c r="U185" s="33">
        <v>4.4800000000000004</v>
      </c>
      <c r="V185" s="34">
        <v>97613</v>
      </c>
      <c r="W185" s="34">
        <v>21777</v>
      </c>
      <c r="X185" s="33">
        <v>5.78</v>
      </c>
      <c r="Y185" s="34">
        <v>123798</v>
      </c>
      <c r="Z185" s="34">
        <v>21405</v>
      </c>
      <c r="AA185" s="33">
        <v>6.41</v>
      </c>
      <c r="AB185" s="34">
        <v>137489</v>
      </c>
      <c r="AC185" s="34">
        <v>21440</v>
      </c>
    </row>
    <row r="186" spans="1:29" ht="10.5" customHeight="1" x14ac:dyDescent="0.15">
      <c r="A186" s="30" t="s">
        <v>165</v>
      </c>
      <c r="B186" s="30">
        <v>5</v>
      </c>
      <c r="C186" s="35" t="s">
        <v>293</v>
      </c>
      <c r="D186" s="35" t="s">
        <v>293</v>
      </c>
      <c r="E186" s="35" t="s">
        <v>293</v>
      </c>
      <c r="F186" s="35" t="s">
        <v>293</v>
      </c>
      <c r="G186" s="35" t="s">
        <v>293</v>
      </c>
      <c r="H186" s="42" t="s">
        <v>293</v>
      </c>
      <c r="I186" s="42" t="s">
        <v>293</v>
      </c>
      <c r="J186" s="42" t="s">
        <v>293</v>
      </c>
      <c r="K186" s="42" t="s">
        <v>293</v>
      </c>
      <c r="L186" s="58" t="e">
        <f>Tabelle1[[#This Row],[Spalte12]]-Tabelle1[[#This Row],[Spalte11]]</f>
        <v>#VALUE!</v>
      </c>
      <c r="M186" s="42" t="s">
        <v>293</v>
      </c>
      <c r="N186" s="42" t="s">
        <v>293</v>
      </c>
      <c r="O186" s="42" t="s">
        <v>293</v>
      </c>
      <c r="P186" s="42" t="s">
        <v>293</v>
      </c>
      <c r="Q186" s="35" t="s">
        <v>293</v>
      </c>
      <c r="R186" s="37" t="s">
        <v>293</v>
      </c>
      <c r="S186" s="38" t="s">
        <v>293</v>
      </c>
      <c r="T186" s="38" t="s">
        <v>293</v>
      </c>
      <c r="U186" s="37" t="s">
        <v>293</v>
      </c>
      <c r="V186" s="38" t="s">
        <v>293</v>
      </c>
      <c r="W186" s="38" t="s">
        <v>293</v>
      </c>
      <c r="X186" s="37" t="s">
        <v>293</v>
      </c>
      <c r="Y186" s="38" t="s">
        <v>293</v>
      </c>
      <c r="Z186" s="38" t="s">
        <v>293</v>
      </c>
      <c r="AA186" s="37" t="s">
        <v>293</v>
      </c>
      <c r="AB186" s="38" t="s">
        <v>293</v>
      </c>
      <c r="AC186" s="38" t="s">
        <v>293</v>
      </c>
    </row>
    <row r="187" spans="1:29" ht="10.5" customHeight="1" x14ac:dyDescent="0.15">
      <c r="A187" s="30" t="s">
        <v>219</v>
      </c>
      <c r="B187" s="30">
        <v>5</v>
      </c>
      <c r="C187" s="31">
        <v>4078</v>
      </c>
      <c r="D187" s="31">
        <v>14565</v>
      </c>
      <c r="E187" s="31">
        <v>14565</v>
      </c>
      <c r="F187" s="31">
        <v>14565</v>
      </c>
      <c r="G187" s="31">
        <v>50971</v>
      </c>
      <c r="H187" s="32">
        <v>0.28599999999999998</v>
      </c>
      <c r="I187" s="32">
        <v>0.28599999999999998</v>
      </c>
      <c r="J187" s="32">
        <v>0.28599999999999998</v>
      </c>
      <c r="K187" s="32">
        <v>0</v>
      </c>
      <c r="L187" s="56">
        <f>Tabelle1[[#This Row],[Spalte12]]-Tabelle1[[#This Row],[Spalte11]]</f>
        <v>7.0000000000000007E-2</v>
      </c>
      <c r="M187" s="32">
        <v>7.0000000000000007E-2</v>
      </c>
      <c r="N187" s="32">
        <v>8.5000000000000006E-2</v>
      </c>
      <c r="O187" s="32">
        <v>0.105</v>
      </c>
      <c r="P187" s="32">
        <v>0.35899999999999999</v>
      </c>
      <c r="Q187" s="31">
        <v>40537</v>
      </c>
      <c r="R187" s="37" t="s">
        <v>294</v>
      </c>
      <c r="S187" s="38" t="s">
        <v>294</v>
      </c>
      <c r="T187" s="38" t="s">
        <v>294</v>
      </c>
      <c r="U187" s="37" t="s">
        <v>294</v>
      </c>
      <c r="V187" s="38" t="s">
        <v>294</v>
      </c>
      <c r="W187" s="38" t="s">
        <v>294</v>
      </c>
      <c r="X187" s="37" t="s">
        <v>294</v>
      </c>
      <c r="Y187" s="38" t="s">
        <v>294</v>
      </c>
      <c r="Z187" s="38" t="s">
        <v>294</v>
      </c>
      <c r="AA187" s="37" t="s">
        <v>294</v>
      </c>
      <c r="AB187" s="38" t="s">
        <v>294</v>
      </c>
      <c r="AC187" s="38" t="s">
        <v>294</v>
      </c>
    </row>
    <row r="188" spans="1:29" ht="10.5" customHeight="1" x14ac:dyDescent="0.15">
      <c r="A188" s="30" t="s">
        <v>77</v>
      </c>
      <c r="B188" s="30">
        <v>4</v>
      </c>
      <c r="C188" s="31">
        <v>30643</v>
      </c>
      <c r="D188" s="31">
        <v>60914</v>
      </c>
      <c r="E188" s="31">
        <v>60914</v>
      </c>
      <c r="F188" s="31">
        <v>60914</v>
      </c>
      <c r="G188" s="31">
        <v>383033</v>
      </c>
      <c r="H188" s="32">
        <v>0.159</v>
      </c>
      <c r="I188" s="32">
        <v>0.159</v>
      </c>
      <c r="J188" s="32">
        <v>0.159</v>
      </c>
      <c r="K188" s="32">
        <v>8.9999999999999993E-3</v>
      </c>
      <c r="L188" s="56">
        <f>Tabelle1[[#This Row],[Spalte12]]-Tabelle1[[#This Row],[Spalte11]]</f>
        <v>7.400000000000001E-2</v>
      </c>
      <c r="M188" s="32">
        <v>8.3000000000000004E-2</v>
      </c>
      <c r="N188" s="32">
        <v>9.9000000000000005E-2</v>
      </c>
      <c r="O188" s="32">
        <v>0.121</v>
      </c>
      <c r="P188" s="32">
        <v>5.8000000000000003E-2</v>
      </c>
      <c r="Q188" s="31">
        <v>1043126</v>
      </c>
      <c r="R188" s="33">
        <v>1.55</v>
      </c>
      <c r="S188" s="34">
        <v>178221</v>
      </c>
      <c r="T188" s="34">
        <v>115108</v>
      </c>
      <c r="U188" s="33">
        <v>1.63</v>
      </c>
      <c r="V188" s="34">
        <v>179176</v>
      </c>
      <c r="W188" s="34">
        <v>110083</v>
      </c>
      <c r="X188" s="33">
        <v>2.0499999999999998</v>
      </c>
      <c r="Y188" s="34">
        <v>185213</v>
      </c>
      <c r="Z188" s="34">
        <v>90128</v>
      </c>
      <c r="AA188" s="33">
        <v>1.77</v>
      </c>
      <c r="AB188" s="34">
        <v>232238</v>
      </c>
      <c r="AC188" s="34">
        <v>131492</v>
      </c>
    </row>
    <row r="189" spans="1:29" ht="10.5" customHeight="1" x14ac:dyDescent="0.15">
      <c r="A189" s="30" t="s">
        <v>80</v>
      </c>
      <c r="B189" s="30">
        <v>4</v>
      </c>
      <c r="C189" s="31">
        <v>128788</v>
      </c>
      <c r="D189" s="31">
        <v>397894</v>
      </c>
      <c r="E189" s="31">
        <v>397894</v>
      </c>
      <c r="F189" s="31">
        <v>397894</v>
      </c>
      <c r="G189" s="31">
        <v>1609852</v>
      </c>
      <c r="H189" s="32">
        <v>0.247</v>
      </c>
      <c r="I189" s="32">
        <v>0.247</v>
      </c>
      <c r="J189" s="32">
        <v>0.247</v>
      </c>
      <c r="K189" s="32">
        <v>2E-3</v>
      </c>
      <c r="L189" s="56">
        <f>Tabelle1[[#This Row],[Spalte12]]-Tabelle1[[#This Row],[Spalte11]]</f>
        <v>7.3999999999999996E-2</v>
      </c>
      <c r="M189" s="32">
        <v>7.5999999999999998E-2</v>
      </c>
      <c r="N189" s="32">
        <v>9.1999999999999998E-2</v>
      </c>
      <c r="O189" s="32">
        <v>0.114</v>
      </c>
      <c r="P189" s="32">
        <v>0.11</v>
      </c>
      <c r="Q189" s="31">
        <v>3613373</v>
      </c>
      <c r="R189" s="33">
        <v>1.69</v>
      </c>
      <c r="S189" s="34">
        <v>759572</v>
      </c>
      <c r="T189" s="34">
        <v>449786</v>
      </c>
      <c r="U189" s="33">
        <v>1.53</v>
      </c>
      <c r="V189" s="34">
        <v>725572</v>
      </c>
      <c r="W189" s="34">
        <v>475053</v>
      </c>
      <c r="X189" s="33">
        <v>1.44</v>
      </c>
      <c r="Y189" s="34">
        <v>635456</v>
      </c>
      <c r="Z189" s="34">
        <v>441584</v>
      </c>
      <c r="AA189" s="33">
        <v>1.78</v>
      </c>
      <c r="AB189" s="34">
        <v>833322</v>
      </c>
      <c r="AC189" s="34">
        <v>467920</v>
      </c>
    </row>
    <row r="190" spans="1:29" ht="10.5" customHeight="1" x14ac:dyDescent="0.15">
      <c r="A190" s="30" t="s">
        <v>101</v>
      </c>
      <c r="B190" s="30">
        <v>5</v>
      </c>
      <c r="C190" s="35" t="s">
        <v>293</v>
      </c>
      <c r="D190" s="35" t="s">
        <v>293</v>
      </c>
      <c r="E190" s="35" t="s">
        <v>293</v>
      </c>
      <c r="F190" s="35" t="s">
        <v>293</v>
      </c>
      <c r="G190" s="35" t="s">
        <v>293</v>
      </c>
      <c r="H190" s="42" t="s">
        <v>293</v>
      </c>
      <c r="I190" s="42" t="s">
        <v>293</v>
      </c>
      <c r="J190" s="42" t="s">
        <v>293</v>
      </c>
      <c r="K190" s="42" t="s">
        <v>293</v>
      </c>
      <c r="L190" s="58" t="e">
        <f>Tabelle1[[#This Row],[Spalte12]]-Tabelle1[[#This Row],[Spalte11]]</f>
        <v>#VALUE!</v>
      </c>
      <c r="M190" s="42" t="s">
        <v>293</v>
      </c>
      <c r="N190" s="42" t="s">
        <v>293</v>
      </c>
      <c r="O190" s="42" t="s">
        <v>293</v>
      </c>
      <c r="P190" s="42" t="s">
        <v>293</v>
      </c>
      <c r="Q190" s="35" t="s">
        <v>293</v>
      </c>
      <c r="R190" s="37" t="s">
        <v>293</v>
      </c>
      <c r="S190" s="38" t="s">
        <v>293</v>
      </c>
      <c r="T190" s="38" t="s">
        <v>293</v>
      </c>
      <c r="U190" s="37" t="s">
        <v>293</v>
      </c>
      <c r="V190" s="38" t="s">
        <v>293</v>
      </c>
      <c r="W190" s="38" t="s">
        <v>293</v>
      </c>
      <c r="X190" s="37" t="s">
        <v>293</v>
      </c>
      <c r="Y190" s="38" t="s">
        <v>293</v>
      </c>
      <c r="Z190" s="38" t="s">
        <v>293</v>
      </c>
      <c r="AA190" s="37" t="s">
        <v>293</v>
      </c>
      <c r="AB190" s="38" t="s">
        <v>293</v>
      </c>
      <c r="AC190" s="38" t="s">
        <v>293</v>
      </c>
    </row>
    <row r="191" spans="1:29" ht="10.5" customHeight="1" x14ac:dyDescent="0.15">
      <c r="A191" s="30" t="s">
        <v>56</v>
      </c>
      <c r="B191" s="30">
        <v>4</v>
      </c>
      <c r="C191" s="31">
        <v>46337</v>
      </c>
      <c r="D191" s="31">
        <v>148505</v>
      </c>
      <c r="E191" s="31">
        <v>148505</v>
      </c>
      <c r="F191" s="31">
        <v>148505</v>
      </c>
      <c r="G191" s="31">
        <v>579215</v>
      </c>
      <c r="H191" s="32">
        <v>0.25600000000000001</v>
      </c>
      <c r="I191" s="32">
        <v>0.25600000000000001</v>
      </c>
      <c r="J191" s="32">
        <v>0.25600000000000001</v>
      </c>
      <c r="K191" s="32">
        <v>4.0000000000000001E-3</v>
      </c>
      <c r="L191" s="56">
        <f>Tabelle1[[#This Row],[Spalte12]]-Tabelle1[[#This Row],[Spalte11]]</f>
        <v>7.3999999999999996E-2</v>
      </c>
      <c r="M191" s="32">
        <v>7.8E-2</v>
      </c>
      <c r="N191" s="32">
        <v>9.4E-2</v>
      </c>
      <c r="O191" s="32">
        <v>0.11600000000000001</v>
      </c>
      <c r="P191" s="32">
        <v>8.8999999999999996E-2</v>
      </c>
      <c r="Q191" s="31">
        <v>1669026</v>
      </c>
      <c r="R191" s="33">
        <v>1.3</v>
      </c>
      <c r="S191" s="34">
        <v>598256</v>
      </c>
      <c r="T191" s="34">
        <v>461624</v>
      </c>
      <c r="U191" s="33">
        <v>1.36</v>
      </c>
      <c r="V191" s="34">
        <v>526449</v>
      </c>
      <c r="W191" s="34">
        <v>387071</v>
      </c>
      <c r="X191" s="33">
        <v>1.43</v>
      </c>
      <c r="Y191" s="34">
        <v>543389</v>
      </c>
      <c r="Z191" s="34">
        <v>378937</v>
      </c>
      <c r="AA191" s="33">
        <v>1.4</v>
      </c>
      <c r="AB191" s="34">
        <v>532715</v>
      </c>
      <c r="AC191" s="34">
        <v>380989</v>
      </c>
    </row>
    <row r="192" spans="1:29" ht="10.5" customHeight="1" x14ac:dyDescent="0.15">
      <c r="A192" s="30" t="s">
        <v>103</v>
      </c>
      <c r="B192" s="30">
        <v>5</v>
      </c>
      <c r="C192" s="35" t="s">
        <v>293</v>
      </c>
      <c r="D192" s="35" t="s">
        <v>293</v>
      </c>
      <c r="E192" s="35" t="s">
        <v>293</v>
      </c>
      <c r="F192" s="35" t="s">
        <v>293</v>
      </c>
      <c r="G192" s="35" t="s">
        <v>293</v>
      </c>
      <c r="H192" s="42" t="s">
        <v>293</v>
      </c>
      <c r="I192" s="42" t="s">
        <v>293</v>
      </c>
      <c r="J192" s="42" t="s">
        <v>293</v>
      </c>
      <c r="K192" s="42" t="s">
        <v>293</v>
      </c>
      <c r="L192" s="58" t="e">
        <f>Tabelle1[[#This Row],[Spalte12]]-Tabelle1[[#This Row],[Spalte11]]</f>
        <v>#VALUE!</v>
      </c>
      <c r="M192" s="42" t="s">
        <v>293</v>
      </c>
      <c r="N192" s="42" t="s">
        <v>293</v>
      </c>
      <c r="O192" s="42" t="s">
        <v>293</v>
      </c>
      <c r="P192" s="42" t="s">
        <v>293</v>
      </c>
      <c r="Q192" s="35" t="s">
        <v>293</v>
      </c>
      <c r="R192" s="37" t="s">
        <v>293</v>
      </c>
      <c r="S192" s="38" t="s">
        <v>293</v>
      </c>
      <c r="T192" s="38" t="s">
        <v>293</v>
      </c>
      <c r="U192" s="37" t="s">
        <v>293</v>
      </c>
      <c r="V192" s="38" t="s">
        <v>293</v>
      </c>
      <c r="W192" s="38" t="s">
        <v>293</v>
      </c>
      <c r="X192" s="37" t="s">
        <v>293</v>
      </c>
      <c r="Y192" s="38" t="s">
        <v>293</v>
      </c>
      <c r="Z192" s="38" t="s">
        <v>293</v>
      </c>
      <c r="AA192" s="37" t="s">
        <v>293</v>
      </c>
      <c r="AB192" s="38" t="s">
        <v>293</v>
      </c>
      <c r="AC192" s="38" t="s">
        <v>293</v>
      </c>
    </row>
    <row r="193" spans="1:29" ht="10.5" customHeight="1" x14ac:dyDescent="0.15">
      <c r="A193" s="30" t="s">
        <v>157</v>
      </c>
      <c r="B193" s="30">
        <v>5</v>
      </c>
      <c r="C193" s="31">
        <v>12283</v>
      </c>
      <c r="D193" s="31">
        <v>52918</v>
      </c>
      <c r="E193" s="31">
        <v>52918</v>
      </c>
      <c r="F193" s="31">
        <v>52918</v>
      </c>
      <c r="G193" s="31">
        <v>153532</v>
      </c>
      <c r="H193" s="32">
        <v>0.34499999999999997</v>
      </c>
      <c r="I193" s="32">
        <v>0.34499999999999997</v>
      </c>
      <c r="J193" s="32">
        <v>0.34499999999999997</v>
      </c>
      <c r="K193" s="32">
        <v>0</v>
      </c>
      <c r="L193" s="56">
        <f>Tabelle1[[#This Row],[Spalte12]]-Tabelle1[[#This Row],[Spalte11]]</f>
        <v>7.0000000000000007E-2</v>
      </c>
      <c r="M193" s="32">
        <v>7.0000000000000007E-2</v>
      </c>
      <c r="N193" s="32">
        <v>8.5000000000000006E-2</v>
      </c>
      <c r="O193" s="32">
        <v>0.105</v>
      </c>
      <c r="P193" s="32">
        <v>0.76600000000000001</v>
      </c>
      <c r="Q193" s="31">
        <v>69127</v>
      </c>
      <c r="R193" s="33" t="s">
        <v>229</v>
      </c>
      <c r="S193" s="34">
        <v>7504</v>
      </c>
      <c r="T193" s="34">
        <v>0</v>
      </c>
      <c r="U193" s="33">
        <v>153.12</v>
      </c>
      <c r="V193" s="34">
        <v>7503</v>
      </c>
      <c r="W193" s="34">
        <v>49</v>
      </c>
      <c r="X193" s="33" t="s">
        <v>229</v>
      </c>
      <c r="Y193" s="34">
        <v>7503</v>
      </c>
      <c r="Z193" s="34">
        <v>0</v>
      </c>
      <c r="AA193" s="33" t="s">
        <v>229</v>
      </c>
      <c r="AB193" s="34">
        <v>9501</v>
      </c>
      <c r="AC193" s="34">
        <v>0</v>
      </c>
    </row>
    <row r="194" spans="1:29" ht="10.5" customHeight="1" x14ac:dyDescent="0.15">
      <c r="A194" s="30" t="s">
        <v>187</v>
      </c>
      <c r="B194" s="30">
        <v>5</v>
      </c>
      <c r="C194" s="31">
        <v>4131</v>
      </c>
      <c r="D194" s="31">
        <v>14409</v>
      </c>
      <c r="E194" s="31">
        <v>14409</v>
      </c>
      <c r="F194" s="31">
        <v>14409</v>
      </c>
      <c r="G194" s="31">
        <v>51632</v>
      </c>
      <c r="H194" s="32">
        <v>0.27900000000000003</v>
      </c>
      <c r="I194" s="32">
        <v>0.27900000000000003</v>
      </c>
      <c r="J194" s="32">
        <v>0.27900000000000003</v>
      </c>
      <c r="K194" s="32">
        <v>0</v>
      </c>
      <c r="L194" s="56">
        <f>Tabelle1[[#This Row],[Spalte12]]-Tabelle1[[#This Row],[Spalte11]]</f>
        <v>7.0000000000000007E-2</v>
      </c>
      <c r="M194" s="32">
        <v>7.0000000000000007E-2</v>
      </c>
      <c r="N194" s="32">
        <v>8.5000000000000006E-2</v>
      </c>
      <c r="O194" s="32">
        <v>0.105</v>
      </c>
      <c r="P194" s="32">
        <v>0.91</v>
      </c>
      <c r="Q194" s="31">
        <v>15829</v>
      </c>
      <c r="R194" s="33" t="s">
        <v>229</v>
      </c>
      <c r="S194" s="34">
        <v>100</v>
      </c>
      <c r="T194" s="34">
        <v>0</v>
      </c>
      <c r="U194" s="33" t="s">
        <v>229</v>
      </c>
      <c r="V194" s="34">
        <v>100</v>
      </c>
      <c r="W194" s="34">
        <v>0</v>
      </c>
      <c r="X194" s="33" t="s">
        <v>229</v>
      </c>
      <c r="Y194" s="34">
        <v>100</v>
      </c>
      <c r="Z194" s="34">
        <v>0</v>
      </c>
      <c r="AA194" s="33" t="s">
        <v>229</v>
      </c>
      <c r="AB194" s="34">
        <v>100</v>
      </c>
      <c r="AC194" s="34">
        <v>0</v>
      </c>
    </row>
    <row r="195" spans="1:29" ht="10.5" customHeight="1" x14ac:dyDescent="0.15">
      <c r="A195" s="30" t="s">
        <v>205</v>
      </c>
      <c r="B195" s="30">
        <v>5</v>
      </c>
      <c r="C195" s="31">
        <v>43282</v>
      </c>
      <c r="D195" s="31">
        <v>171497</v>
      </c>
      <c r="E195" s="31">
        <v>146497</v>
      </c>
      <c r="F195" s="31">
        <v>146497</v>
      </c>
      <c r="G195" s="31">
        <v>541027</v>
      </c>
      <c r="H195" s="32">
        <v>0.27100000000000002</v>
      </c>
      <c r="I195" s="32">
        <v>0.27100000000000002</v>
      </c>
      <c r="J195" s="32">
        <v>0.317</v>
      </c>
      <c r="K195" s="32">
        <v>0</v>
      </c>
      <c r="L195" s="56">
        <f>Tabelle1[[#This Row],[Spalte12]]-Tabelle1[[#This Row],[Spalte11]]</f>
        <v>7.0000000000000007E-2</v>
      </c>
      <c r="M195" s="32">
        <v>7.0000000000000007E-2</v>
      </c>
      <c r="N195" s="32">
        <v>8.5000000000000006E-2</v>
      </c>
      <c r="O195" s="32">
        <v>0.105</v>
      </c>
      <c r="P195" s="32">
        <v>0.13400000000000001</v>
      </c>
      <c r="Q195" s="31">
        <v>1095724</v>
      </c>
      <c r="R195" s="33">
        <v>1.78</v>
      </c>
      <c r="S195" s="34">
        <v>29794</v>
      </c>
      <c r="T195" s="34">
        <v>16756</v>
      </c>
      <c r="U195" s="33">
        <v>2.08</v>
      </c>
      <c r="V195" s="34">
        <v>35650</v>
      </c>
      <c r="W195" s="34">
        <v>17162</v>
      </c>
      <c r="X195" s="33">
        <v>5.31</v>
      </c>
      <c r="Y195" s="34">
        <v>50183</v>
      </c>
      <c r="Z195" s="34">
        <v>9446</v>
      </c>
      <c r="AA195" s="33">
        <v>5.18</v>
      </c>
      <c r="AB195" s="34">
        <v>56041</v>
      </c>
      <c r="AC195" s="34">
        <v>10821</v>
      </c>
    </row>
    <row r="196" spans="1:29" ht="10.5" customHeight="1" x14ac:dyDescent="0.15">
      <c r="A196" s="30" t="s">
        <v>150</v>
      </c>
      <c r="B196" s="30">
        <v>5</v>
      </c>
      <c r="C196" s="31">
        <v>775</v>
      </c>
      <c r="D196" s="31">
        <v>2811</v>
      </c>
      <c r="E196" s="31">
        <v>2811</v>
      </c>
      <c r="F196" s="31">
        <v>2811</v>
      </c>
      <c r="G196" s="31">
        <v>9683</v>
      </c>
      <c r="H196" s="32">
        <v>0.28999999999999998</v>
      </c>
      <c r="I196" s="32">
        <v>0.28999999999999998</v>
      </c>
      <c r="J196" s="32">
        <v>0.28999999999999998</v>
      </c>
      <c r="K196" s="32">
        <v>1E-3</v>
      </c>
      <c r="L196" s="56">
        <f>Tabelle1[[#This Row],[Spalte12]]-Tabelle1[[#This Row],[Spalte11]]</f>
        <v>6.9999999999999993E-2</v>
      </c>
      <c r="M196" s="32">
        <v>7.0999999999999994E-2</v>
      </c>
      <c r="N196" s="32">
        <v>8.5999999999999993E-2</v>
      </c>
      <c r="O196" s="32">
        <v>0.106</v>
      </c>
      <c r="P196" s="32">
        <v>0.245</v>
      </c>
      <c r="Q196" s="31">
        <v>11486</v>
      </c>
      <c r="R196" s="37" t="s">
        <v>294</v>
      </c>
      <c r="S196" s="38" t="s">
        <v>294</v>
      </c>
      <c r="T196" s="38" t="s">
        <v>294</v>
      </c>
      <c r="U196" s="37" t="s">
        <v>294</v>
      </c>
      <c r="V196" s="38" t="s">
        <v>294</v>
      </c>
      <c r="W196" s="38" t="s">
        <v>294</v>
      </c>
      <c r="X196" s="37" t="s">
        <v>294</v>
      </c>
      <c r="Y196" s="38" t="s">
        <v>294</v>
      </c>
      <c r="Z196" s="38" t="s">
        <v>294</v>
      </c>
      <c r="AA196" s="37" t="s">
        <v>294</v>
      </c>
      <c r="AB196" s="38" t="s">
        <v>294</v>
      </c>
      <c r="AC196" s="38" t="s">
        <v>294</v>
      </c>
    </row>
    <row r="197" spans="1:29" ht="10.5" customHeight="1" x14ac:dyDescent="0.15">
      <c r="A197" s="30" t="s">
        <v>156</v>
      </c>
      <c r="B197" s="30">
        <v>5</v>
      </c>
      <c r="C197" s="31">
        <v>10713</v>
      </c>
      <c r="D197" s="31">
        <v>49219</v>
      </c>
      <c r="E197" s="31">
        <v>49219</v>
      </c>
      <c r="F197" s="31">
        <v>49219</v>
      </c>
      <c r="G197" s="31">
        <v>133915</v>
      </c>
      <c r="H197" s="32">
        <v>0.36799999999999999</v>
      </c>
      <c r="I197" s="32">
        <v>0.36799999999999999</v>
      </c>
      <c r="J197" s="32">
        <v>0.36799999999999999</v>
      </c>
      <c r="K197" s="32">
        <v>0</v>
      </c>
      <c r="L197" s="56">
        <f>Tabelle1[[#This Row],[Spalte12]]-Tabelle1[[#This Row],[Spalte11]]</f>
        <v>7.0000000000000007E-2</v>
      </c>
      <c r="M197" s="32">
        <v>7.0000000000000007E-2</v>
      </c>
      <c r="N197" s="32">
        <v>8.5000000000000006E-2</v>
      </c>
      <c r="O197" s="32">
        <v>0.105</v>
      </c>
      <c r="P197" s="32">
        <v>0.114</v>
      </c>
      <c r="Q197" s="31">
        <v>430609</v>
      </c>
      <c r="R197" s="33">
        <v>2.52</v>
      </c>
      <c r="S197" s="34">
        <v>67965</v>
      </c>
      <c r="T197" s="34">
        <v>27000</v>
      </c>
      <c r="U197" s="33">
        <v>3.45</v>
      </c>
      <c r="V197" s="34">
        <v>98964</v>
      </c>
      <c r="W197" s="34">
        <v>28710</v>
      </c>
      <c r="X197" s="33">
        <v>2.94</v>
      </c>
      <c r="Y197" s="34">
        <v>86288</v>
      </c>
      <c r="Z197" s="34">
        <v>29351</v>
      </c>
      <c r="AA197" s="33">
        <v>2.91</v>
      </c>
      <c r="AB197" s="34">
        <v>104571</v>
      </c>
      <c r="AC197" s="34">
        <v>35968</v>
      </c>
    </row>
    <row r="198" spans="1:29" ht="10.5" customHeight="1" x14ac:dyDescent="0.15">
      <c r="A198" s="30" t="s">
        <v>32</v>
      </c>
      <c r="B198" s="30">
        <v>5</v>
      </c>
      <c r="C198" s="31">
        <v>13692</v>
      </c>
      <c r="D198" s="31">
        <v>42509</v>
      </c>
      <c r="E198" s="31">
        <v>32860</v>
      </c>
      <c r="F198" s="31">
        <v>32860</v>
      </c>
      <c r="G198" s="31">
        <v>171147</v>
      </c>
      <c r="H198" s="32">
        <v>0.192</v>
      </c>
      <c r="I198" s="32">
        <v>0.192</v>
      </c>
      <c r="J198" s="32">
        <v>0.248</v>
      </c>
      <c r="K198" s="32">
        <v>1.2999999999999999E-2</v>
      </c>
      <c r="L198" s="56">
        <f>Tabelle1[[#This Row],[Spalte12]]-Tabelle1[[#This Row],[Spalte11]]</f>
        <v>7.0000000000000007E-2</v>
      </c>
      <c r="M198" s="32">
        <v>8.3000000000000004E-2</v>
      </c>
      <c r="N198" s="32">
        <v>9.8000000000000004E-2</v>
      </c>
      <c r="O198" s="32">
        <v>0.11799999999999999</v>
      </c>
      <c r="P198" s="32">
        <v>8.4000000000000005E-2</v>
      </c>
      <c r="Q198" s="31">
        <v>389146</v>
      </c>
      <c r="R198" s="33">
        <v>1.25</v>
      </c>
      <c r="S198" s="34">
        <v>24517</v>
      </c>
      <c r="T198" s="34">
        <v>19561</v>
      </c>
      <c r="U198" s="33">
        <v>1.75</v>
      </c>
      <c r="V198" s="34">
        <v>26426</v>
      </c>
      <c r="W198" s="34">
        <v>15142</v>
      </c>
      <c r="X198" s="33">
        <v>2.2200000000000002</v>
      </c>
      <c r="Y198" s="34">
        <v>30173</v>
      </c>
      <c r="Z198" s="34">
        <v>13610</v>
      </c>
      <c r="AA198" s="33">
        <v>2.1</v>
      </c>
      <c r="AB198" s="34">
        <v>35670</v>
      </c>
      <c r="AC198" s="34">
        <v>16982</v>
      </c>
    </row>
    <row r="199" spans="1:29" ht="10.5" customHeight="1" x14ac:dyDescent="0.15">
      <c r="A199" s="30" t="s">
        <v>50</v>
      </c>
      <c r="B199" s="30">
        <v>4</v>
      </c>
      <c r="C199" s="35" t="s">
        <v>293</v>
      </c>
      <c r="D199" s="35" t="s">
        <v>293</v>
      </c>
      <c r="E199" s="35" t="s">
        <v>293</v>
      </c>
      <c r="F199" s="35" t="s">
        <v>293</v>
      </c>
      <c r="G199" s="35" t="s">
        <v>293</v>
      </c>
      <c r="H199" s="42" t="s">
        <v>293</v>
      </c>
      <c r="I199" s="42" t="s">
        <v>293</v>
      </c>
      <c r="J199" s="42" t="s">
        <v>293</v>
      </c>
      <c r="K199" s="42" t="s">
        <v>293</v>
      </c>
      <c r="L199" s="58" t="e">
        <f>Tabelle1[[#This Row],[Spalte12]]-Tabelle1[[#This Row],[Spalte11]]</f>
        <v>#VALUE!</v>
      </c>
      <c r="M199" s="42" t="s">
        <v>293</v>
      </c>
      <c r="N199" s="42" t="s">
        <v>293</v>
      </c>
      <c r="O199" s="42" t="s">
        <v>293</v>
      </c>
      <c r="P199" s="42" t="s">
        <v>293</v>
      </c>
      <c r="Q199" s="35" t="s">
        <v>293</v>
      </c>
      <c r="R199" s="37" t="s">
        <v>293</v>
      </c>
      <c r="S199" s="38" t="s">
        <v>293</v>
      </c>
      <c r="T199" s="38" t="s">
        <v>293</v>
      </c>
      <c r="U199" s="37" t="s">
        <v>293</v>
      </c>
      <c r="V199" s="38" t="s">
        <v>293</v>
      </c>
      <c r="W199" s="38" t="s">
        <v>293</v>
      </c>
      <c r="X199" s="37" t="s">
        <v>293</v>
      </c>
      <c r="Y199" s="38" t="s">
        <v>293</v>
      </c>
      <c r="Z199" s="38" t="s">
        <v>293</v>
      </c>
      <c r="AA199" s="37" t="s">
        <v>293</v>
      </c>
      <c r="AB199" s="38" t="s">
        <v>293</v>
      </c>
      <c r="AC199" s="38" t="s">
        <v>293</v>
      </c>
    </row>
    <row r="200" spans="1:29" ht="10.5" customHeight="1" x14ac:dyDescent="0.15">
      <c r="A200" s="30" t="s">
        <v>163</v>
      </c>
      <c r="B200" s="30">
        <v>4</v>
      </c>
      <c r="C200" s="35" t="s">
        <v>293</v>
      </c>
      <c r="D200" s="35" t="s">
        <v>293</v>
      </c>
      <c r="E200" s="35" t="s">
        <v>293</v>
      </c>
      <c r="F200" s="35" t="s">
        <v>293</v>
      </c>
      <c r="G200" s="35" t="s">
        <v>293</v>
      </c>
      <c r="H200" s="42" t="s">
        <v>293</v>
      </c>
      <c r="I200" s="42" t="s">
        <v>293</v>
      </c>
      <c r="J200" s="42" t="s">
        <v>293</v>
      </c>
      <c r="K200" s="42" t="s">
        <v>293</v>
      </c>
      <c r="L200" s="58" t="e">
        <f>Tabelle1[[#This Row],[Spalte12]]-Tabelle1[[#This Row],[Spalte11]]</f>
        <v>#VALUE!</v>
      </c>
      <c r="M200" s="42" t="s">
        <v>293</v>
      </c>
      <c r="N200" s="42" t="s">
        <v>293</v>
      </c>
      <c r="O200" s="42" t="s">
        <v>293</v>
      </c>
      <c r="P200" s="42" t="s">
        <v>293</v>
      </c>
      <c r="Q200" s="35" t="s">
        <v>293</v>
      </c>
      <c r="R200" s="37" t="s">
        <v>293</v>
      </c>
      <c r="S200" s="38" t="s">
        <v>293</v>
      </c>
      <c r="T200" s="38" t="s">
        <v>293</v>
      </c>
      <c r="U200" s="37" t="s">
        <v>293</v>
      </c>
      <c r="V200" s="38" t="s">
        <v>293</v>
      </c>
      <c r="W200" s="38" t="s">
        <v>293</v>
      </c>
      <c r="X200" s="37" t="s">
        <v>293</v>
      </c>
      <c r="Y200" s="38" t="s">
        <v>293</v>
      </c>
      <c r="Z200" s="38" t="s">
        <v>293</v>
      </c>
      <c r="AA200" s="37" t="s">
        <v>293</v>
      </c>
      <c r="AB200" s="38" t="s">
        <v>293</v>
      </c>
      <c r="AC200" s="38" t="s">
        <v>293</v>
      </c>
    </row>
    <row r="201" spans="1:29" ht="10.5" customHeight="1" x14ac:dyDescent="0.15">
      <c r="A201" s="30" t="s">
        <v>238</v>
      </c>
      <c r="B201" s="30">
        <v>5</v>
      </c>
      <c r="C201" s="31">
        <v>1197</v>
      </c>
      <c r="D201" s="31">
        <v>3790</v>
      </c>
      <c r="E201" s="31">
        <v>3790</v>
      </c>
      <c r="F201" s="31">
        <v>3790</v>
      </c>
      <c r="G201" s="31">
        <v>14962</v>
      </c>
      <c r="H201" s="32">
        <v>0.253</v>
      </c>
      <c r="I201" s="32">
        <v>0.253</v>
      </c>
      <c r="J201" s="32">
        <v>0.253</v>
      </c>
      <c r="K201" s="32">
        <v>0</v>
      </c>
      <c r="L201" s="56">
        <f>Tabelle1[[#This Row],[Spalte12]]-Tabelle1[[#This Row],[Spalte11]]</f>
        <v>7.0000000000000007E-2</v>
      </c>
      <c r="M201" s="32">
        <v>7.0000000000000007E-2</v>
      </c>
      <c r="N201" s="32">
        <v>8.5000000000000006E-2</v>
      </c>
      <c r="O201" s="32">
        <v>0.105</v>
      </c>
      <c r="P201" s="32">
        <v>9.6000000000000002E-2</v>
      </c>
      <c r="Q201" s="31">
        <v>39543</v>
      </c>
      <c r="R201" s="37" t="s">
        <v>294</v>
      </c>
      <c r="S201" s="38" t="s">
        <v>294</v>
      </c>
      <c r="T201" s="38" t="s">
        <v>294</v>
      </c>
      <c r="U201" s="37" t="s">
        <v>294</v>
      </c>
      <c r="V201" s="38" t="s">
        <v>294</v>
      </c>
      <c r="W201" s="38" t="s">
        <v>294</v>
      </c>
      <c r="X201" s="37" t="s">
        <v>294</v>
      </c>
      <c r="Y201" s="38" t="s">
        <v>294</v>
      </c>
      <c r="Z201" s="38" t="s">
        <v>294</v>
      </c>
      <c r="AA201" s="37" t="s">
        <v>294</v>
      </c>
      <c r="AB201" s="38" t="s">
        <v>294</v>
      </c>
      <c r="AC201" s="38" t="s">
        <v>294</v>
      </c>
    </row>
    <row r="202" spans="1:29" ht="10.5" customHeight="1" x14ac:dyDescent="0.15">
      <c r="A202" s="30" t="s">
        <v>216</v>
      </c>
      <c r="B202" s="30">
        <v>5</v>
      </c>
      <c r="C202" s="31">
        <v>1784</v>
      </c>
      <c r="D202" s="31">
        <v>3280</v>
      </c>
      <c r="E202" s="31">
        <v>3260</v>
      </c>
      <c r="F202" s="31">
        <v>3260</v>
      </c>
      <c r="G202" s="31">
        <v>22294</v>
      </c>
      <c r="H202" s="32">
        <v>0.14599999999999999</v>
      </c>
      <c r="I202" s="32">
        <v>0.14599999999999999</v>
      </c>
      <c r="J202" s="32">
        <v>0.14699999999999999</v>
      </c>
      <c r="K202" s="32">
        <v>0</v>
      </c>
      <c r="L202" s="56">
        <f>Tabelle1[[#This Row],[Spalte12]]-Tabelle1[[#This Row],[Spalte11]]</f>
        <v>7.0000000000000007E-2</v>
      </c>
      <c r="M202" s="32">
        <v>7.0000000000000007E-2</v>
      </c>
      <c r="N202" s="32">
        <v>8.5000000000000006E-2</v>
      </c>
      <c r="O202" s="32">
        <v>0.105</v>
      </c>
      <c r="P202" s="32">
        <v>0.49099999999999999</v>
      </c>
      <c r="Q202" s="31">
        <v>6638</v>
      </c>
      <c r="R202" s="37" t="s">
        <v>294</v>
      </c>
      <c r="S202" s="38" t="s">
        <v>294</v>
      </c>
      <c r="T202" s="38" t="s">
        <v>294</v>
      </c>
      <c r="U202" s="37" t="s">
        <v>294</v>
      </c>
      <c r="V202" s="38" t="s">
        <v>294</v>
      </c>
      <c r="W202" s="38" t="s">
        <v>294</v>
      </c>
      <c r="X202" s="37" t="s">
        <v>294</v>
      </c>
      <c r="Y202" s="38" t="s">
        <v>294</v>
      </c>
      <c r="Z202" s="38" t="s">
        <v>294</v>
      </c>
      <c r="AA202" s="37" t="s">
        <v>294</v>
      </c>
      <c r="AB202" s="38" t="s">
        <v>294</v>
      </c>
      <c r="AC202" s="38" t="s">
        <v>294</v>
      </c>
    </row>
    <row r="203" spans="1:29" ht="10.5" customHeight="1" x14ac:dyDescent="0.15">
      <c r="A203" s="30" t="s">
        <v>221</v>
      </c>
      <c r="B203" s="30">
        <v>5</v>
      </c>
      <c r="C203" s="31">
        <v>5028</v>
      </c>
      <c r="D203" s="31">
        <v>11029</v>
      </c>
      <c r="E203" s="31">
        <v>6207</v>
      </c>
      <c r="F203" s="31">
        <v>6207</v>
      </c>
      <c r="G203" s="31">
        <v>62848</v>
      </c>
      <c r="H203" s="32">
        <v>9.9000000000000005E-2</v>
      </c>
      <c r="I203" s="32">
        <v>9.9000000000000005E-2</v>
      </c>
      <c r="J203" s="32">
        <v>0.17499999999999999</v>
      </c>
      <c r="K203" s="32">
        <v>0</v>
      </c>
      <c r="L203" s="56">
        <f>Tabelle1[[#This Row],[Spalte12]]-Tabelle1[[#This Row],[Spalte11]]</f>
        <v>7.0000000000000007E-2</v>
      </c>
      <c r="M203" s="32">
        <v>7.0000000000000007E-2</v>
      </c>
      <c r="N203" s="32">
        <v>8.5000000000000006E-2</v>
      </c>
      <c r="O203" s="32">
        <v>0.105</v>
      </c>
      <c r="P203" s="32">
        <v>0.17599999999999999</v>
      </c>
      <c r="Q203" s="31">
        <v>35294</v>
      </c>
      <c r="R203" s="37" t="s">
        <v>294</v>
      </c>
      <c r="S203" s="38" t="s">
        <v>294</v>
      </c>
      <c r="T203" s="38" t="s">
        <v>294</v>
      </c>
      <c r="U203" s="37" t="s">
        <v>294</v>
      </c>
      <c r="V203" s="38" t="s">
        <v>294</v>
      </c>
      <c r="W203" s="38" t="s">
        <v>294</v>
      </c>
      <c r="X203" s="37" t="s">
        <v>294</v>
      </c>
      <c r="Y203" s="38" t="s">
        <v>294</v>
      </c>
      <c r="Z203" s="38" t="s">
        <v>294</v>
      </c>
      <c r="AA203" s="37" t="s">
        <v>294</v>
      </c>
      <c r="AB203" s="38" t="s">
        <v>294</v>
      </c>
      <c r="AC203" s="38" t="s">
        <v>294</v>
      </c>
    </row>
    <row r="204" spans="1:29" ht="10.5" customHeight="1" x14ac:dyDescent="0.15">
      <c r="A204" s="30" t="s">
        <v>89</v>
      </c>
      <c r="B204" s="30">
        <v>5</v>
      </c>
      <c r="C204" s="31">
        <v>34637</v>
      </c>
      <c r="D204" s="31">
        <v>93674</v>
      </c>
      <c r="E204" s="31">
        <v>69224</v>
      </c>
      <c r="F204" s="31">
        <v>93334</v>
      </c>
      <c r="G204" s="31">
        <v>432961</v>
      </c>
      <c r="H204" s="32">
        <v>0.16</v>
      </c>
      <c r="I204" s="32">
        <v>0.216</v>
      </c>
      <c r="J204" s="32">
        <v>0.216</v>
      </c>
      <c r="K204" s="32">
        <v>1E-3</v>
      </c>
      <c r="L204" s="56">
        <f>Tabelle1[[#This Row],[Spalte12]]-Tabelle1[[#This Row],[Spalte11]]</f>
        <v>6.9999999999999993E-2</v>
      </c>
      <c r="M204" s="32">
        <v>7.0999999999999994E-2</v>
      </c>
      <c r="N204" s="32">
        <v>8.5999999999999993E-2</v>
      </c>
      <c r="O204" s="32">
        <v>0.106</v>
      </c>
      <c r="P204" s="32">
        <v>5.5E-2</v>
      </c>
      <c r="Q204" s="31">
        <v>1686749</v>
      </c>
      <c r="R204" s="33">
        <v>1.67</v>
      </c>
      <c r="S204" s="34">
        <v>209527</v>
      </c>
      <c r="T204" s="34">
        <v>125732</v>
      </c>
      <c r="U204" s="33">
        <v>1.54</v>
      </c>
      <c r="V204" s="34">
        <v>209366</v>
      </c>
      <c r="W204" s="34">
        <v>135717</v>
      </c>
      <c r="X204" s="33">
        <v>1.49</v>
      </c>
      <c r="Y204" s="34">
        <v>209619</v>
      </c>
      <c r="Z204" s="34">
        <v>140916</v>
      </c>
      <c r="AA204" s="33">
        <v>1.43</v>
      </c>
      <c r="AB204" s="34">
        <v>207343</v>
      </c>
      <c r="AC204" s="34">
        <v>145173</v>
      </c>
    </row>
    <row r="205" spans="1:29" ht="10.5" customHeight="1" x14ac:dyDescent="0.15">
      <c r="A205" s="30" t="s">
        <v>81</v>
      </c>
      <c r="B205" s="30">
        <v>4</v>
      </c>
      <c r="C205" s="31">
        <v>76456</v>
      </c>
      <c r="D205" s="31">
        <v>233370</v>
      </c>
      <c r="E205" s="31">
        <v>233370</v>
      </c>
      <c r="F205" s="31">
        <v>233370</v>
      </c>
      <c r="G205" s="31">
        <v>955700</v>
      </c>
      <c r="H205" s="32">
        <v>0.24399999999999999</v>
      </c>
      <c r="I205" s="32">
        <v>0.24399999999999999</v>
      </c>
      <c r="J205" s="32">
        <v>0.24399999999999999</v>
      </c>
      <c r="K205" s="32">
        <v>0</v>
      </c>
      <c r="L205" s="56">
        <f>Tabelle1[[#This Row],[Spalte12]]-Tabelle1[[#This Row],[Spalte11]]</f>
        <v>7.3999999999999996E-2</v>
      </c>
      <c r="M205" s="32">
        <v>7.3999999999999996E-2</v>
      </c>
      <c r="N205" s="32">
        <v>0.09</v>
      </c>
      <c r="O205" s="32">
        <v>0.112</v>
      </c>
      <c r="P205" s="32">
        <v>5.1999999999999998E-2</v>
      </c>
      <c r="Q205" s="31">
        <v>4508752</v>
      </c>
      <c r="R205" s="33">
        <v>1.38</v>
      </c>
      <c r="S205" s="34">
        <v>3315612</v>
      </c>
      <c r="T205" s="34">
        <v>2406335</v>
      </c>
      <c r="U205" s="33">
        <v>1.4</v>
      </c>
      <c r="V205" s="34">
        <v>3331765</v>
      </c>
      <c r="W205" s="34">
        <v>2378568</v>
      </c>
      <c r="X205" s="33">
        <v>1.45</v>
      </c>
      <c r="Y205" s="34">
        <v>2851024</v>
      </c>
      <c r="Z205" s="34">
        <v>1965861</v>
      </c>
      <c r="AA205" s="33">
        <v>1.4</v>
      </c>
      <c r="AB205" s="34">
        <v>2582909</v>
      </c>
      <c r="AC205" s="34">
        <v>1849064</v>
      </c>
    </row>
    <row r="206" spans="1:29" ht="10.5" customHeight="1" x14ac:dyDescent="0.15">
      <c r="A206" s="30" t="s">
        <v>124</v>
      </c>
      <c r="B206" s="30">
        <v>5</v>
      </c>
      <c r="C206" s="31">
        <v>17963</v>
      </c>
      <c r="D206" s="31">
        <v>60016</v>
      </c>
      <c r="E206" s="31">
        <v>60016</v>
      </c>
      <c r="F206" s="31">
        <v>60016</v>
      </c>
      <c r="G206" s="31">
        <v>224535</v>
      </c>
      <c r="H206" s="32">
        <v>0.26700000000000002</v>
      </c>
      <c r="I206" s="32">
        <v>0.26700000000000002</v>
      </c>
      <c r="J206" s="32">
        <v>0.26700000000000002</v>
      </c>
      <c r="K206" s="32">
        <v>0</v>
      </c>
      <c r="L206" s="56">
        <f>Tabelle1[[#This Row],[Spalte12]]-Tabelle1[[#This Row],[Spalte11]]</f>
        <v>7.0000000000000007E-2</v>
      </c>
      <c r="M206" s="32">
        <v>7.0000000000000007E-2</v>
      </c>
      <c r="N206" s="32">
        <v>8.5000000000000006E-2</v>
      </c>
      <c r="O206" s="32">
        <v>0.105</v>
      </c>
      <c r="P206" s="32">
        <v>8.3000000000000004E-2</v>
      </c>
      <c r="Q206" s="31">
        <v>725457</v>
      </c>
      <c r="R206" s="33">
        <v>1.64</v>
      </c>
      <c r="S206" s="34">
        <v>341356</v>
      </c>
      <c r="T206" s="34">
        <v>208124</v>
      </c>
      <c r="U206" s="33">
        <v>1.64</v>
      </c>
      <c r="V206" s="34">
        <v>354239</v>
      </c>
      <c r="W206" s="34">
        <v>216215</v>
      </c>
      <c r="X206" s="33">
        <v>1.85</v>
      </c>
      <c r="Y206" s="34">
        <v>360635</v>
      </c>
      <c r="Z206" s="34">
        <v>194746</v>
      </c>
      <c r="AA206" s="33">
        <v>1.47</v>
      </c>
      <c r="AB206" s="34">
        <v>466002</v>
      </c>
      <c r="AC206" s="34">
        <v>316549</v>
      </c>
    </row>
    <row r="207" spans="1:29" ht="10.5" customHeight="1" x14ac:dyDescent="0.15">
      <c r="A207" s="30" t="s">
        <v>85</v>
      </c>
      <c r="B207" s="30">
        <v>5</v>
      </c>
      <c r="C207" s="31">
        <v>47829</v>
      </c>
      <c r="D207" s="31">
        <v>113141</v>
      </c>
      <c r="E207" s="31">
        <v>113141</v>
      </c>
      <c r="F207" s="31">
        <v>113141</v>
      </c>
      <c r="G207" s="31">
        <v>597858</v>
      </c>
      <c r="H207" s="32">
        <v>0.189</v>
      </c>
      <c r="I207" s="32">
        <v>0.189</v>
      </c>
      <c r="J207" s="32">
        <v>0.189</v>
      </c>
      <c r="K207" s="32">
        <v>1.0999999999999999E-2</v>
      </c>
      <c r="L207" s="56">
        <f>Tabelle1[[#This Row],[Spalte12]]-Tabelle1[[#This Row],[Spalte11]]</f>
        <v>7.0000000000000007E-2</v>
      </c>
      <c r="M207" s="32">
        <v>8.1000000000000003E-2</v>
      </c>
      <c r="N207" s="32">
        <v>9.6000000000000002E-2</v>
      </c>
      <c r="O207" s="32">
        <v>0.11600000000000001</v>
      </c>
      <c r="P207" s="32">
        <v>0.08</v>
      </c>
      <c r="Q207" s="31">
        <v>1414399</v>
      </c>
      <c r="R207" s="33">
        <v>1.23</v>
      </c>
      <c r="S207" s="34">
        <v>191023</v>
      </c>
      <c r="T207" s="34">
        <v>155170</v>
      </c>
      <c r="U207" s="33">
        <v>1.23</v>
      </c>
      <c r="V207" s="34">
        <v>202787</v>
      </c>
      <c r="W207" s="34">
        <v>164736</v>
      </c>
      <c r="X207" s="33">
        <v>1.23</v>
      </c>
      <c r="Y207" s="34">
        <v>186974</v>
      </c>
      <c r="Z207" s="34">
        <v>151490</v>
      </c>
      <c r="AA207" s="33">
        <v>1.1599999999999999</v>
      </c>
      <c r="AB207" s="34">
        <v>179960</v>
      </c>
      <c r="AC207" s="34">
        <v>155796</v>
      </c>
    </row>
    <row r="208" spans="1:29" ht="10.5" customHeight="1" x14ac:dyDescent="0.15">
      <c r="A208" s="30" t="s">
        <v>143</v>
      </c>
      <c r="B208" s="30">
        <v>5</v>
      </c>
      <c r="C208" s="31">
        <v>144139</v>
      </c>
      <c r="D208" s="31">
        <v>555432</v>
      </c>
      <c r="E208" s="31">
        <v>555432</v>
      </c>
      <c r="F208" s="31">
        <v>555432</v>
      </c>
      <c r="G208" s="31">
        <v>1801733</v>
      </c>
      <c r="H208" s="32">
        <v>0.308</v>
      </c>
      <c r="I208" s="32">
        <v>0.308</v>
      </c>
      <c r="J208" s="32">
        <v>0.308</v>
      </c>
      <c r="K208" s="32">
        <v>0</v>
      </c>
      <c r="L208" s="56">
        <f>Tabelle1[[#This Row],[Spalte12]]-Tabelle1[[#This Row],[Spalte11]]</f>
        <v>7.0000000000000007E-2</v>
      </c>
      <c r="M208" s="32">
        <v>7.0000000000000007E-2</v>
      </c>
      <c r="N208" s="32">
        <v>8.5000000000000006E-2</v>
      </c>
      <c r="O208" s="32">
        <v>0.105</v>
      </c>
      <c r="P208" s="32">
        <v>0.246</v>
      </c>
      <c r="Q208" s="31">
        <v>2261367</v>
      </c>
      <c r="R208" s="33">
        <v>2.95</v>
      </c>
      <c r="S208" s="34">
        <v>866289</v>
      </c>
      <c r="T208" s="34">
        <v>293778</v>
      </c>
      <c r="U208" s="33">
        <v>1.88</v>
      </c>
      <c r="V208" s="34">
        <v>1009153</v>
      </c>
      <c r="W208" s="34">
        <v>538026</v>
      </c>
      <c r="X208" s="33">
        <v>1.51</v>
      </c>
      <c r="Y208" s="34">
        <v>1068219</v>
      </c>
      <c r="Z208" s="34">
        <v>709329</v>
      </c>
      <c r="AA208" s="33">
        <v>1.41</v>
      </c>
      <c r="AB208" s="34">
        <v>802886</v>
      </c>
      <c r="AC208" s="34">
        <v>570156</v>
      </c>
    </row>
    <row r="209" spans="1:29" ht="10.5" customHeight="1" x14ac:dyDescent="0.15">
      <c r="A209" s="30" t="s">
        <v>39</v>
      </c>
      <c r="B209" s="30">
        <v>4</v>
      </c>
      <c r="C209" s="31">
        <v>317802</v>
      </c>
      <c r="D209" s="31">
        <v>1011020</v>
      </c>
      <c r="E209" s="31">
        <v>993951</v>
      </c>
      <c r="F209" s="31">
        <v>993951</v>
      </c>
      <c r="G209" s="31">
        <v>3972521</v>
      </c>
      <c r="H209" s="32">
        <v>0.25</v>
      </c>
      <c r="I209" s="32">
        <v>0.25</v>
      </c>
      <c r="J209" s="32">
        <v>0.255</v>
      </c>
      <c r="K209" s="32">
        <v>0.01</v>
      </c>
      <c r="L209" s="56">
        <f>Tabelle1[[#This Row],[Spalte12]]-Tabelle1[[#This Row],[Spalte11]]</f>
        <v>7.400000000000001E-2</v>
      </c>
      <c r="M209" s="32">
        <v>8.4000000000000005E-2</v>
      </c>
      <c r="N209" s="32">
        <v>0.1</v>
      </c>
      <c r="O209" s="32">
        <v>0.122</v>
      </c>
      <c r="P209" s="32">
        <v>0.11600000000000001</v>
      </c>
      <c r="Q209" s="31">
        <v>8579208</v>
      </c>
      <c r="R209" s="33">
        <v>1.0900000000000001</v>
      </c>
      <c r="S209" s="34">
        <v>957002</v>
      </c>
      <c r="T209" s="34">
        <v>878458</v>
      </c>
      <c r="U209" s="33">
        <v>1.1000000000000001</v>
      </c>
      <c r="V209" s="34">
        <v>909483</v>
      </c>
      <c r="W209" s="34">
        <v>827251</v>
      </c>
      <c r="X209" s="33">
        <v>1.1299999999999999</v>
      </c>
      <c r="Y209" s="34">
        <v>874436</v>
      </c>
      <c r="Z209" s="34">
        <v>773090</v>
      </c>
      <c r="AA209" s="33">
        <v>1.39</v>
      </c>
      <c r="AB209" s="34">
        <v>1154445</v>
      </c>
      <c r="AC209" s="34">
        <v>829013</v>
      </c>
    </row>
    <row r="210" spans="1:29" ht="10.5" customHeight="1" x14ac:dyDescent="0.15">
      <c r="A210" s="30" t="s">
        <v>117</v>
      </c>
      <c r="B210" s="30">
        <v>5</v>
      </c>
      <c r="C210" s="31">
        <v>32033</v>
      </c>
      <c r="D210" s="31">
        <v>148826</v>
      </c>
      <c r="E210" s="31">
        <v>148826</v>
      </c>
      <c r="F210" s="31">
        <v>148826</v>
      </c>
      <c r="G210" s="31">
        <v>400414</v>
      </c>
      <c r="H210" s="32">
        <v>0.372</v>
      </c>
      <c r="I210" s="32">
        <v>0.372</v>
      </c>
      <c r="J210" s="32">
        <v>0.372</v>
      </c>
      <c r="K210" s="32">
        <v>0</v>
      </c>
      <c r="L210" s="56">
        <f>Tabelle1[[#This Row],[Spalte12]]-Tabelle1[[#This Row],[Spalte11]]</f>
        <v>7.0000000000000007E-2</v>
      </c>
      <c r="M210" s="32">
        <v>7.0000000000000007E-2</v>
      </c>
      <c r="N210" s="32">
        <v>8.5000000000000006E-2</v>
      </c>
      <c r="O210" s="32">
        <v>0.105</v>
      </c>
      <c r="P210" s="32">
        <v>0.17399999999999999</v>
      </c>
      <c r="Q210" s="31">
        <v>855999</v>
      </c>
      <c r="R210" s="33">
        <v>3.09</v>
      </c>
      <c r="S210" s="34">
        <v>385772</v>
      </c>
      <c r="T210" s="34">
        <v>124837</v>
      </c>
      <c r="U210" s="33">
        <v>4.33</v>
      </c>
      <c r="V210" s="34">
        <v>536195</v>
      </c>
      <c r="W210" s="34">
        <v>123717</v>
      </c>
      <c r="X210" s="33">
        <v>5.59</v>
      </c>
      <c r="Y210" s="34">
        <v>518815</v>
      </c>
      <c r="Z210" s="34">
        <v>92754</v>
      </c>
      <c r="AA210" s="33">
        <v>3.9</v>
      </c>
      <c r="AB210" s="34">
        <v>475487</v>
      </c>
      <c r="AC210" s="34">
        <v>121952</v>
      </c>
    </row>
    <row r="211" spans="1:29" ht="10.5" customHeight="1" x14ac:dyDescent="0.15">
      <c r="A211" s="30" t="s">
        <v>40</v>
      </c>
      <c r="B211" s="30">
        <v>3</v>
      </c>
      <c r="C211" s="31">
        <v>712705</v>
      </c>
      <c r="D211" s="31">
        <v>1987321</v>
      </c>
      <c r="E211" s="31">
        <v>1884443</v>
      </c>
      <c r="F211" s="31">
        <v>1884443</v>
      </c>
      <c r="G211" s="31">
        <v>8908816</v>
      </c>
      <c r="H211" s="32">
        <v>0.21199999999999999</v>
      </c>
      <c r="I211" s="32">
        <v>0.21199999999999999</v>
      </c>
      <c r="J211" s="32">
        <v>0.223</v>
      </c>
      <c r="K211" s="32">
        <v>0.01</v>
      </c>
      <c r="L211" s="56">
        <f>Tabelle1[[#This Row],[Spalte12]]-Tabelle1[[#This Row],[Spalte11]]</f>
        <v>7.8E-2</v>
      </c>
      <c r="M211" s="32">
        <v>8.7999999999999995E-2</v>
      </c>
      <c r="N211" s="32">
        <v>0.106</v>
      </c>
      <c r="O211" s="32">
        <v>0.13</v>
      </c>
      <c r="P211" s="32">
        <v>9.0999999999999998E-2</v>
      </c>
      <c r="Q211" s="31">
        <v>20755403</v>
      </c>
      <c r="R211" s="33">
        <v>1.28</v>
      </c>
      <c r="S211" s="34">
        <v>2500584</v>
      </c>
      <c r="T211" s="34">
        <v>1955929</v>
      </c>
      <c r="U211" s="33">
        <v>1.26</v>
      </c>
      <c r="V211" s="34">
        <v>2589167</v>
      </c>
      <c r="W211" s="34">
        <v>2059236</v>
      </c>
      <c r="X211" s="33">
        <v>1.31</v>
      </c>
      <c r="Y211" s="34">
        <v>2586795</v>
      </c>
      <c r="Z211" s="34">
        <v>1967165</v>
      </c>
      <c r="AA211" s="33">
        <v>1.45</v>
      </c>
      <c r="AB211" s="34">
        <v>2712708</v>
      </c>
      <c r="AC211" s="34">
        <v>1874668</v>
      </c>
    </row>
    <row r="212" spans="1:29" ht="10.5" customHeight="1" x14ac:dyDescent="0.15">
      <c r="A212" s="30" t="s">
        <v>136</v>
      </c>
      <c r="B212" s="30">
        <v>5</v>
      </c>
      <c r="C212" s="35" t="s">
        <v>293</v>
      </c>
      <c r="D212" s="35" t="s">
        <v>293</v>
      </c>
      <c r="E212" s="35" t="s">
        <v>293</v>
      </c>
      <c r="F212" s="35" t="s">
        <v>293</v>
      </c>
      <c r="G212" s="35" t="s">
        <v>293</v>
      </c>
      <c r="H212" s="42" t="s">
        <v>293</v>
      </c>
      <c r="I212" s="42" t="s">
        <v>293</v>
      </c>
      <c r="J212" s="42" t="s">
        <v>293</v>
      </c>
      <c r="K212" s="42" t="s">
        <v>293</v>
      </c>
      <c r="L212" s="58" t="e">
        <f>Tabelle1[[#This Row],[Spalte12]]-Tabelle1[[#This Row],[Spalte11]]</f>
        <v>#VALUE!</v>
      </c>
      <c r="M212" s="42" t="s">
        <v>293</v>
      </c>
      <c r="N212" s="42" t="s">
        <v>293</v>
      </c>
      <c r="O212" s="42" t="s">
        <v>293</v>
      </c>
      <c r="P212" s="42" t="s">
        <v>293</v>
      </c>
      <c r="Q212" s="35" t="s">
        <v>293</v>
      </c>
      <c r="R212" s="37" t="s">
        <v>293</v>
      </c>
      <c r="S212" s="38" t="s">
        <v>293</v>
      </c>
      <c r="T212" s="38" t="s">
        <v>293</v>
      </c>
      <c r="U212" s="37" t="s">
        <v>293</v>
      </c>
      <c r="V212" s="38" t="s">
        <v>293</v>
      </c>
      <c r="W212" s="38" t="s">
        <v>293</v>
      </c>
      <c r="X212" s="37" t="s">
        <v>293</v>
      </c>
      <c r="Y212" s="38" t="s">
        <v>293</v>
      </c>
      <c r="Z212" s="38" t="s">
        <v>293</v>
      </c>
      <c r="AA212" s="37" t="s">
        <v>293</v>
      </c>
      <c r="AB212" s="38" t="s">
        <v>293</v>
      </c>
      <c r="AC212" s="38" t="s">
        <v>293</v>
      </c>
    </row>
    <row r="213" spans="1:29" ht="10.5" customHeight="1" x14ac:dyDescent="0.15">
      <c r="A213" s="30" t="s">
        <v>239</v>
      </c>
      <c r="B213" s="30">
        <v>5</v>
      </c>
      <c r="C213" s="31">
        <v>10000</v>
      </c>
      <c r="D213" s="31">
        <v>68977</v>
      </c>
      <c r="E213" s="31">
        <v>68977</v>
      </c>
      <c r="F213" s="31">
        <v>68977</v>
      </c>
      <c r="G213" s="31">
        <v>43543</v>
      </c>
      <c r="H213" s="32">
        <v>1.5840000000000001</v>
      </c>
      <c r="I213" s="32">
        <v>1.5840000000000001</v>
      </c>
      <c r="J213" s="32">
        <v>1.5840000000000001</v>
      </c>
      <c r="K213" s="32">
        <v>0</v>
      </c>
      <c r="L213" s="56">
        <f>Tabelle1[[#This Row],[Spalte12]]-Tabelle1[[#This Row],[Spalte11]]</f>
        <v>7.0000000000000007E-2</v>
      </c>
      <c r="M213" s="32">
        <v>7.0000000000000007E-2</v>
      </c>
      <c r="N213" s="32">
        <v>8.5000000000000006E-2</v>
      </c>
      <c r="O213" s="32">
        <v>0.105</v>
      </c>
      <c r="P213" s="32">
        <v>0.86699999999999999</v>
      </c>
      <c r="Q213" s="31">
        <v>79529</v>
      </c>
      <c r="R213" s="33" t="s">
        <v>229</v>
      </c>
      <c r="S213" s="34">
        <v>0</v>
      </c>
      <c r="T213" s="34">
        <v>0</v>
      </c>
      <c r="U213" s="33" t="s">
        <v>229</v>
      </c>
      <c r="V213" s="34">
        <v>0</v>
      </c>
      <c r="W213" s="34">
        <v>0</v>
      </c>
      <c r="X213" s="33" t="s">
        <v>229</v>
      </c>
      <c r="Y213" s="34">
        <v>38074</v>
      </c>
      <c r="Z213" s="34">
        <v>0</v>
      </c>
      <c r="AA213" s="33">
        <v>107.88</v>
      </c>
      <c r="AB213" s="34">
        <v>47795</v>
      </c>
      <c r="AC213" s="34">
        <v>443</v>
      </c>
    </row>
    <row r="214" spans="1:29" ht="10.5" customHeight="1" x14ac:dyDescent="0.15">
      <c r="A214" s="30" t="s">
        <v>177</v>
      </c>
      <c r="B214" s="30">
        <v>5</v>
      </c>
      <c r="C214" s="31">
        <v>40650</v>
      </c>
      <c r="D214" s="31">
        <v>90657</v>
      </c>
      <c r="E214" s="31">
        <v>89636</v>
      </c>
      <c r="F214" s="31">
        <v>89636</v>
      </c>
      <c r="G214" s="31">
        <v>508125</v>
      </c>
      <c r="H214" s="32">
        <v>0.17599999999999999</v>
      </c>
      <c r="I214" s="32">
        <v>0.17599999999999999</v>
      </c>
      <c r="J214" s="32">
        <v>0.17799999999999999</v>
      </c>
      <c r="K214" s="32">
        <v>1.4E-2</v>
      </c>
      <c r="L214" s="56">
        <f>Tabelle1[[#This Row],[Spalte12]]-Tabelle1[[#This Row],[Spalte11]]</f>
        <v>7.0000000000000007E-2</v>
      </c>
      <c r="M214" s="32">
        <v>8.4000000000000005E-2</v>
      </c>
      <c r="N214" s="32">
        <v>9.9000000000000005E-2</v>
      </c>
      <c r="O214" s="32">
        <v>0.11899999999999999</v>
      </c>
      <c r="P214" s="32">
        <v>7.2999999999999995E-2</v>
      </c>
      <c r="Q214" s="31">
        <v>1234507</v>
      </c>
      <c r="R214" s="37" t="s">
        <v>294</v>
      </c>
      <c r="S214" s="38" t="s">
        <v>294</v>
      </c>
      <c r="T214" s="38" t="s">
        <v>294</v>
      </c>
      <c r="U214" s="37" t="s">
        <v>294</v>
      </c>
      <c r="V214" s="38" t="s">
        <v>294</v>
      </c>
      <c r="W214" s="38" t="s">
        <v>294</v>
      </c>
      <c r="X214" s="37" t="s">
        <v>294</v>
      </c>
      <c r="Y214" s="38" t="s">
        <v>294</v>
      </c>
      <c r="Z214" s="38" t="s">
        <v>294</v>
      </c>
      <c r="AA214" s="37" t="s">
        <v>294</v>
      </c>
      <c r="AB214" s="38" t="s">
        <v>294</v>
      </c>
      <c r="AC214" s="38" t="s">
        <v>294</v>
      </c>
    </row>
    <row r="215" spans="1:29" ht="10.5" customHeight="1" x14ac:dyDescent="0.15">
      <c r="A215" s="30" t="s">
        <v>88</v>
      </c>
      <c r="B215" s="30">
        <v>5</v>
      </c>
      <c r="C215" s="31">
        <v>989</v>
      </c>
      <c r="D215" s="31">
        <v>2385</v>
      </c>
      <c r="E215" s="31">
        <v>2385</v>
      </c>
      <c r="F215" s="31">
        <v>2385</v>
      </c>
      <c r="G215" s="31">
        <v>12365</v>
      </c>
      <c r="H215" s="32">
        <v>0.193</v>
      </c>
      <c r="I215" s="32">
        <v>0.193</v>
      </c>
      <c r="J215" s="32">
        <v>0.193</v>
      </c>
      <c r="K215" s="32">
        <v>0</v>
      </c>
      <c r="L215" s="56">
        <f>Tabelle1[[#This Row],[Spalte12]]-Tabelle1[[#This Row],[Spalte11]]</f>
        <v>7.0000000000000007E-2</v>
      </c>
      <c r="M215" s="32">
        <v>7.0000000000000007E-2</v>
      </c>
      <c r="N215" s="32">
        <v>8.5000000000000006E-2</v>
      </c>
      <c r="O215" s="32">
        <v>0.105</v>
      </c>
      <c r="P215" s="32">
        <v>5.5E-2</v>
      </c>
      <c r="Q215" s="31">
        <v>43651</v>
      </c>
      <c r="R215" s="37" t="s">
        <v>294</v>
      </c>
      <c r="S215" s="38" t="s">
        <v>294</v>
      </c>
      <c r="T215" s="38" t="s">
        <v>294</v>
      </c>
      <c r="U215" s="37" t="s">
        <v>294</v>
      </c>
      <c r="V215" s="38" t="s">
        <v>294</v>
      </c>
      <c r="W215" s="38" t="s">
        <v>294</v>
      </c>
      <c r="X215" s="37" t="s">
        <v>294</v>
      </c>
      <c r="Y215" s="38" t="s">
        <v>294</v>
      </c>
      <c r="Z215" s="38" t="s">
        <v>294</v>
      </c>
      <c r="AA215" s="37" t="s">
        <v>294</v>
      </c>
      <c r="AB215" s="38" t="s">
        <v>294</v>
      </c>
      <c r="AC215" s="38" t="s">
        <v>294</v>
      </c>
    </row>
    <row r="216" spans="1:29" ht="10.5" customHeight="1" x14ac:dyDescent="0.15">
      <c r="A216" s="30" t="s">
        <v>226</v>
      </c>
      <c r="B216" s="30">
        <v>5</v>
      </c>
      <c r="C216" s="31">
        <v>6148</v>
      </c>
      <c r="D216" s="31">
        <v>12878</v>
      </c>
      <c r="E216" s="31">
        <v>12878</v>
      </c>
      <c r="F216" s="31">
        <v>12878</v>
      </c>
      <c r="G216" s="31">
        <v>76848</v>
      </c>
      <c r="H216" s="32">
        <v>0.16800000000000001</v>
      </c>
      <c r="I216" s="32">
        <v>0.16800000000000001</v>
      </c>
      <c r="J216" s="32">
        <v>0.16800000000000001</v>
      </c>
      <c r="K216" s="32">
        <v>0</v>
      </c>
      <c r="L216" s="56">
        <f>Tabelle1[[#This Row],[Spalte12]]-Tabelle1[[#This Row],[Spalte11]]</f>
        <v>7.0000000000000007E-2</v>
      </c>
      <c r="M216" s="32">
        <v>7.0000000000000007E-2</v>
      </c>
      <c r="N216" s="32">
        <v>8.5000000000000006E-2</v>
      </c>
      <c r="O216" s="32">
        <v>0.105</v>
      </c>
      <c r="P216" s="32">
        <v>6.6000000000000003E-2</v>
      </c>
      <c r="Q216" s="31">
        <v>195083</v>
      </c>
      <c r="R216" s="37" t="s">
        <v>294</v>
      </c>
      <c r="S216" s="38" t="s">
        <v>294</v>
      </c>
      <c r="T216" s="38" t="s">
        <v>294</v>
      </c>
      <c r="U216" s="37" t="s">
        <v>294</v>
      </c>
      <c r="V216" s="38" t="s">
        <v>294</v>
      </c>
      <c r="W216" s="38" t="s">
        <v>294</v>
      </c>
      <c r="X216" s="37" t="s">
        <v>294</v>
      </c>
      <c r="Y216" s="38" t="s">
        <v>294</v>
      </c>
      <c r="Z216" s="38" t="s">
        <v>294</v>
      </c>
      <c r="AA216" s="37" t="s">
        <v>294</v>
      </c>
      <c r="AB216" s="38" t="s">
        <v>294</v>
      </c>
      <c r="AC216" s="38" t="s">
        <v>294</v>
      </c>
    </row>
    <row r="217" spans="1:29" ht="10.5" customHeight="1" x14ac:dyDescent="0.15">
      <c r="A217" s="30" t="s">
        <v>62</v>
      </c>
      <c r="B217" s="30">
        <v>5</v>
      </c>
      <c r="C217" s="35" t="s">
        <v>293</v>
      </c>
      <c r="D217" s="35" t="s">
        <v>293</v>
      </c>
      <c r="E217" s="35" t="s">
        <v>293</v>
      </c>
      <c r="F217" s="35" t="s">
        <v>293</v>
      </c>
      <c r="G217" s="35" t="s">
        <v>293</v>
      </c>
      <c r="H217" s="42" t="s">
        <v>293</v>
      </c>
      <c r="I217" s="42" t="s">
        <v>293</v>
      </c>
      <c r="J217" s="42" t="s">
        <v>293</v>
      </c>
      <c r="K217" s="42" t="s">
        <v>293</v>
      </c>
      <c r="L217" s="58" t="e">
        <f>Tabelle1[[#This Row],[Spalte12]]-Tabelle1[[#This Row],[Spalte11]]</f>
        <v>#VALUE!</v>
      </c>
      <c r="M217" s="42" t="s">
        <v>293</v>
      </c>
      <c r="N217" s="42" t="s">
        <v>293</v>
      </c>
      <c r="O217" s="42" t="s">
        <v>293</v>
      </c>
      <c r="P217" s="42" t="s">
        <v>293</v>
      </c>
      <c r="Q217" s="35" t="s">
        <v>293</v>
      </c>
      <c r="R217" s="37" t="s">
        <v>293</v>
      </c>
      <c r="S217" s="38" t="s">
        <v>293</v>
      </c>
      <c r="T217" s="38" t="s">
        <v>293</v>
      </c>
      <c r="U217" s="37" t="s">
        <v>293</v>
      </c>
      <c r="V217" s="38" t="s">
        <v>293</v>
      </c>
      <c r="W217" s="38" t="s">
        <v>293</v>
      </c>
      <c r="X217" s="37" t="s">
        <v>293</v>
      </c>
      <c r="Y217" s="38" t="s">
        <v>293</v>
      </c>
      <c r="Z217" s="38" t="s">
        <v>293</v>
      </c>
      <c r="AA217" s="37" t="s">
        <v>293</v>
      </c>
      <c r="AB217" s="38" t="s">
        <v>293</v>
      </c>
      <c r="AC217" s="38" t="s">
        <v>293</v>
      </c>
    </row>
    <row r="218" spans="1:29" ht="10.5" customHeight="1" x14ac:dyDescent="0.15">
      <c r="A218" s="30" t="s">
        <v>137</v>
      </c>
      <c r="B218" s="30">
        <v>4</v>
      </c>
      <c r="C218" s="31">
        <v>181269</v>
      </c>
      <c r="D218" s="31">
        <v>476693</v>
      </c>
      <c r="E218" s="31">
        <v>476693</v>
      </c>
      <c r="F218" s="31">
        <v>476693</v>
      </c>
      <c r="G218" s="31">
        <v>2265858</v>
      </c>
      <c r="H218" s="32">
        <v>0.21</v>
      </c>
      <c r="I218" s="32">
        <v>0.21</v>
      </c>
      <c r="J218" s="32">
        <v>0.21</v>
      </c>
      <c r="K218" s="32">
        <v>1E-3</v>
      </c>
      <c r="L218" s="56">
        <f>Tabelle1[[#This Row],[Spalte12]]-Tabelle1[[#This Row],[Spalte11]]</f>
        <v>7.3999999999999996E-2</v>
      </c>
      <c r="M218" s="32">
        <v>7.4999999999999997E-2</v>
      </c>
      <c r="N218" s="32">
        <v>9.0999999999999998E-2</v>
      </c>
      <c r="O218" s="32">
        <v>0.113</v>
      </c>
      <c r="P218" s="32">
        <v>6.7000000000000004E-2</v>
      </c>
      <c r="Q218" s="31">
        <v>7126002</v>
      </c>
      <c r="R218" s="33">
        <v>1.1299999999999999</v>
      </c>
      <c r="S218" s="34">
        <v>746866</v>
      </c>
      <c r="T218" s="34">
        <v>661967</v>
      </c>
      <c r="U218" s="33">
        <v>1.38</v>
      </c>
      <c r="V218" s="34">
        <v>842355</v>
      </c>
      <c r="W218" s="34">
        <v>610950</v>
      </c>
      <c r="X218" s="33">
        <v>1.41</v>
      </c>
      <c r="Y218" s="34">
        <v>858476</v>
      </c>
      <c r="Z218" s="34">
        <v>610828</v>
      </c>
      <c r="AA218" s="33">
        <v>1.42</v>
      </c>
      <c r="AB218" s="34">
        <v>787344</v>
      </c>
      <c r="AC218" s="34">
        <v>554760</v>
      </c>
    </row>
    <row r="219" spans="1:29" ht="10.5" customHeight="1" x14ac:dyDescent="0.15">
      <c r="A219" s="30" t="s">
        <v>46</v>
      </c>
      <c r="B219" s="30">
        <v>5</v>
      </c>
      <c r="C219" s="35" t="s">
        <v>293</v>
      </c>
      <c r="D219" s="35" t="s">
        <v>293</v>
      </c>
      <c r="E219" s="35" t="s">
        <v>293</v>
      </c>
      <c r="F219" s="35" t="s">
        <v>293</v>
      </c>
      <c r="G219" s="35" t="s">
        <v>293</v>
      </c>
      <c r="H219" s="42" t="s">
        <v>293</v>
      </c>
      <c r="I219" s="42" t="s">
        <v>293</v>
      </c>
      <c r="J219" s="42" t="s">
        <v>293</v>
      </c>
      <c r="K219" s="42" t="s">
        <v>293</v>
      </c>
      <c r="L219" s="58" t="e">
        <f>Tabelle1[[#This Row],[Spalte12]]-Tabelle1[[#This Row],[Spalte11]]</f>
        <v>#VALUE!</v>
      </c>
      <c r="M219" s="42" t="s">
        <v>293</v>
      </c>
      <c r="N219" s="42" t="s">
        <v>293</v>
      </c>
      <c r="O219" s="42" t="s">
        <v>293</v>
      </c>
      <c r="P219" s="42" t="s">
        <v>293</v>
      </c>
      <c r="Q219" s="35" t="s">
        <v>293</v>
      </c>
      <c r="R219" s="37" t="s">
        <v>293</v>
      </c>
      <c r="S219" s="38" t="s">
        <v>293</v>
      </c>
      <c r="T219" s="38" t="s">
        <v>293</v>
      </c>
      <c r="U219" s="37" t="s">
        <v>293</v>
      </c>
      <c r="V219" s="38" t="s">
        <v>293</v>
      </c>
      <c r="W219" s="38" t="s">
        <v>293</v>
      </c>
      <c r="X219" s="37" t="s">
        <v>293</v>
      </c>
      <c r="Y219" s="38" t="s">
        <v>293</v>
      </c>
      <c r="Z219" s="38" t="s">
        <v>293</v>
      </c>
      <c r="AA219" s="37" t="s">
        <v>293</v>
      </c>
      <c r="AB219" s="38" t="s">
        <v>293</v>
      </c>
      <c r="AC219" s="38" t="s">
        <v>293</v>
      </c>
    </row>
    <row r="220" spans="1:29" ht="10.5" customHeight="1" x14ac:dyDescent="0.15">
      <c r="A220" s="30" t="s">
        <v>45</v>
      </c>
      <c r="B220" s="30">
        <v>5</v>
      </c>
      <c r="C220" s="35" t="s">
        <v>293</v>
      </c>
      <c r="D220" s="35" t="s">
        <v>293</v>
      </c>
      <c r="E220" s="35" t="s">
        <v>293</v>
      </c>
      <c r="F220" s="35" t="s">
        <v>293</v>
      </c>
      <c r="G220" s="35" t="s">
        <v>293</v>
      </c>
      <c r="H220" s="42" t="s">
        <v>293</v>
      </c>
      <c r="I220" s="42" t="s">
        <v>293</v>
      </c>
      <c r="J220" s="42" t="s">
        <v>293</v>
      </c>
      <c r="K220" s="42" t="s">
        <v>293</v>
      </c>
      <c r="L220" s="58" t="e">
        <f>Tabelle1[[#This Row],[Spalte12]]-Tabelle1[[#This Row],[Spalte11]]</f>
        <v>#VALUE!</v>
      </c>
      <c r="M220" s="42" t="s">
        <v>293</v>
      </c>
      <c r="N220" s="42" t="s">
        <v>293</v>
      </c>
      <c r="O220" s="42" t="s">
        <v>293</v>
      </c>
      <c r="P220" s="42" t="s">
        <v>293</v>
      </c>
      <c r="Q220" s="35" t="s">
        <v>293</v>
      </c>
      <c r="R220" s="37" t="s">
        <v>293</v>
      </c>
      <c r="S220" s="38" t="s">
        <v>293</v>
      </c>
      <c r="T220" s="38" t="s">
        <v>293</v>
      </c>
      <c r="U220" s="37" t="s">
        <v>293</v>
      </c>
      <c r="V220" s="38" t="s">
        <v>293</v>
      </c>
      <c r="W220" s="38" t="s">
        <v>293</v>
      </c>
      <c r="X220" s="37" t="s">
        <v>293</v>
      </c>
      <c r="Y220" s="38" t="s">
        <v>293</v>
      </c>
      <c r="Z220" s="38" t="s">
        <v>293</v>
      </c>
      <c r="AA220" s="37" t="s">
        <v>293</v>
      </c>
      <c r="AB220" s="38" t="s">
        <v>293</v>
      </c>
      <c r="AC220" s="38" t="s">
        <v>293</v>
      </c>
    </row>
    <row r="221" spans="1:29" ht="10.5" customHeight="1" x14ac:dyDescent="0.15">
      <c r="A221" s="30" t="s">
        <v>23</v>
      </c>
      <c r="B221" s="30">
        <v>4</v>
      </c>
      <c r="C221" s="31">
        <v>58969</v>
      </c>
      <c r="D221" s="31">
        <v>143318</v>
      </c>
      <c r="E221" s="31">
        <v>140505</v>
      </c>
      <c r="F221" s="31">
        <v>140505</v>
      </c>
      <c r="G221" s="31">
        <v>737116</v>
      </c>
      <c r="H221" s="32">
        <v>0.191</v>
      </c>
      <c r="I221" s="32">
        <v>0.191</v>
      </c>
      <c r="J221" s="32">
        <v>0.19400000000000001</v>
      </c>
      <c r="K221" s="32">
        <v>1.0999999999999999E-2</v>
      </c>
      <c r="L221" s="56">
        <f>Tabelle1[[#This Row],[Spalte12]]-Tabelle1[[#This Row],[Spalte11]]</f>
        <v>7.400000000000001E-2</v>
      </c>
      <c r="M221" s="32">
        <v>8.5000000000000006E-2</v>
      </c>
      <c r="N221" s="32">
        <v>0.10100000000000001</v>
      </c>
      <c r="O221" s="32">
        <v>0.123</v>
      </c>
      <c r="P221" s="32">
        <v>8.6999999999999994E-2</v>
      </c>
      <c r="Q221" s="31">
        <v>1615343</v>
      </c>
      <c r="R221" s="33">
        <v>1.1399999999999999</v>
      </c>
      <c r="S221" s="34">
        <v>121645</v>
      </c>
      <c r="T221" s="34">
        <v>106698</v>
      </c>
      <c r="U221" s="33">
        <v>1.17</v>
      </c>
      <c r="V221" s="34">
        <v>117122</v>
      </c>
      <c r="W221" s="34">
        <v>100398</v>
      </c>
      <c r="X221" s="33">
        <v>1.28</v>
      </c>
      <c r="Y221" s="34">
        <v>119366</v>
      </c>
      <c r="Z221" s="34">
        <v>93151</v>
      </c>
      <c r="AA221" s="33">
        <v>1.34</v>
      </c>
      <c r="AB221" s="34">
        <v>154536</v>
      </c>
      <c r="AC221" s="34">
        <v>115538</v>
      </c>
    </row>
    <row r="222" spans="1:29" ht="10.5" customHeight="1" x14ac:dyDescent="0.15">
      <c r="A222" s="30" t="s">
        <v>58</v>
      </c>
      <c r="B222" s="30">
        <v>5</v>
      </c>
      <c r="C222" s="35" t="s">
        <v>293</v>
      </c>
      <c r="D222" s="35" t="s">
        <v>293</v>
      </c>
      <c r="E222" s="35" t="s">
        <v>293</v>
      </c>
      <c r="F222" s="35" t="s">
        <v>293</v>
      </c>
      <c r="G222" s="35" t="s">
        <v>293</v>
      </c>
      <c r="H222" s="42" t="s">
        <v>293</v>
      </c>
      <c r="I222" s="42" t="s">
        <v>293</v>
      </c>
      <c r="J222" s="42" t="s">
        <v>293</v>
      </c>
      <c r="K222" s="42" t="s">
        <v>293</v>
      </c>
      <c r="L222" s="58" t="e">
        <f>Tabelle1[[#This Row],[Spalte12]]-Tabelle1[[#This Row],[Spalte11]]</f>
        <v>#VALUE!</v>
      </c>
      <c r="M222" s="42" t="s">
        <v>293</v>
      </c>
      <c r="N222" s="42" t="s">
        <v>293</v>
      </c>
      <c r="O222" s="42" t="s">
        <v>293</v>
      </c>
      <c r="P222" s="42" t="s">
        <v>293</v>
      </c>
      <c r="Q222" s="35" t="s">
        <v>293</v>
      </c>
      <c r="R222" s="37" t="s">
        <v>293</v>
      </c>
      <c r="S222" s="38" t="s">
        <v>293</v>
      </c>
      <c r="T222" s="38" t="s">
        <v>293</v>
      </c>
      <c r="U222" s="37" t="s">
        <v>293</v>
      </c>
      <c r="V222" s="38" t="s">
        <v>293</v>
      </c>
      <c r="W222" s="38" t="s">
        <v>293</v>
      </c>
      <c r="X222" s="37" t="s">
        <v>293</v>
      </c>
      <c r="Y222" s="38" t="s">
        <v>293</v>
      </c>
      <c r="Z222" s="38" t="s">
        <v>293</v>
      </c>
      <c r="AA222" s="37" t="s">
        <v>293</v>
      </c>
      <c r="AB222" s="38" t="s">
        <v>293</v>
      </c>
      <c r="AC222" s="38" t="s">
        <v>293</v>
      </c>
    </row>
    <row r="223" spans="1:29" ht="10.5" customHeight="1" x14ac:dyDescent="0.15">
      <c r="A223" s="30" t="s">
        <v>27</v>
      </c>
      <c r="B223" s="30">
        <v>5</v>
      </c>
      <c r="C223" s="31">
        <v>21651</v>
      </c>
      <c r="D223" s="31">
        <v>56320</v>
      </c>
      <c r="E223" s="31">
        <v>56320</v>
      </c>
      <c r="F223" s="31">
        <v>56320</v>
      </c>
      <c r="G223" s="31">
        <v>270634</v>
      </c>
      <c r="H223" s="32">
        <v>0.20799999999999999</v>
      </c>
      <c r="I223" s="32">
        <v>0.20799999999999999</v>
      </c>
      <c r="J223" s="32">
        <v>0.20799999999999999</v>
      </c>
      <c r="K223" s="32">
        <v>0.01</v>
      </c>
      <c r="L223" s="56">
        <f>Tabelle1[[#This Row],[Spalte12]]-Tabelle1[[#This Row],[Spalte11]]</f>
        <v>7.0000000000000007E-2</v>
      </c>
      <c r="M223" s="32">
        <v>0.08</v>
      </c>
      <c r="N223" s="32">
        <v>9.5000000000000001E-2</v>
      </c>
      <c r="O223" s="32">
        <v>0.115</v>
      </c>
      <c r="P223" s="32">
        <v>0.1</v>
      </c>
      <c r="Q223" s="31">
        <v>562242</v>
      </c>
      <c r="R223" s="33">
        <v>1.48</v>
      </c>
      <c r="S223" s="34">
        <v>47333</v>
      </c>
      <c r="T223" s="34">
        <v>31875</v>
      </c>
      <c r="U223" s="33">
        <v>1.66</v>
      </c>
      <c r="V223" s="34">
        <v>54748</v>
      </c>
      <c r="W223" s="34">
        <v>32975</v>
      </c>
      <c r="X223" s="33">
        <v>1.81</v>
      </c>
      <c r="Y223" s="34">
        <v>55955</v>
      </c>
      <c r="Z223" s="34">
        <v>30895</v>
      </c>
      <c r="AA223" s="33">
        <v>1.79</v>
      </c>
      <c r="AB223" s="34">
        <v>56625</v>
      </c>
      <c r="AC223" s="34">
        <v>31602</v>
      </c>
    </row>
    <row r="224" spans="1:29" ht="10.5" customHeight="1" x14ac:dyDescent="0.15">
      <c r="A224" s="30" t="s">
        <v>49</v>
      </c>
      <c r="B224" s="30">
        <v>4</v>
      </c>
      <c r="C224" s="35" t="s">
        <v>293</v>
      </c>
      <c r="D224" s="35" t="s">
        <v>293</v>
      </c>
      <c r="E224" s="35" t="s">
        <v>293</v>
      </c>
      <c r="F224" s="35" t="s">
        <v>293</v>
      </c>
      <c r="G224" s="35" t="s">
        <v>293</v>
      </c>
      <c r="H224" s="42" t="s">
        <v>293</v>
      </c>
      <c r="I224" s="42" t="s">
        <v>293</v>
      </c>
      <c r="J224" s="42" t="s">
        <v>293</v>
      </c>
      <c r="K224" s="42" t="s">
        <v>293</v>
      </c>
      <c r="L224" s="58" t="e">
        <f>Tabelle1[[#This Row],[Spalte12]]-Tabelle1[[#This Row],[Spalte11]]</f>
        <v>#VALUE!</v>
      </c>
      <c r="M224" s="42" t="s">
        <v>293</v>
      </c>
      <c r="N224" s="42" t="s">
        <v>293</v>
      </c>
      <c r="O224" s="42" t="s">
        <v>293</v>
      </c>
      <c r="P224" s="42" t="s">
        <v>293</v>
      </c>
      <c r="Q224" s="35" t="s">
        <v>293</v>
      </c>
      <c r="R224" s="37" t="s">
        <v>293</v>
      </c>
      <c r="S224" s="38" t="s">
        <v>293</v>
      </c>
      <c r="T224" s="38" t="s">
        <v>293</v>
      </c>
      <c r="U224" s="37" t="s">
        <v>293</v>
      </c>
      <c r="V224" s="38" t="s">
        <v>293</v>
      </c>
      <c r="W224" s="38" t="s">
        <v>293</v>
      </c>
      <c r="X224" s="37" t="s">
        <v>293</v>
      </c>
      <c r="Y224" s="38" t="s">
        <v>293</v>
      </c>
      <c r="Z224" s="38" t="s">
        <v>293</v>
      </c>
      <c r="AA224" s="37" t="s">
        <v>293</v>
      </c>
      <c r="AB224" s="38" t="s">
        <v>293</v>
      </c>
      <c r="AC224" s="38" t="s">
        <v>293</v>
      </c>
    </row>
    <row r="225" spans="1:29" ht="10.5" customHeight="1" x14ac:dyDescent="0.15">
      <c r="A225" s="30" t="s">
        <v>37</v>
      </c>
      <c r="B225" s="30">
        <v>3</v>
      </c>
      <c r="C225" s="31">
        <v>1211541</v>
      </c>
      <c r="D225" s="31">
        <v>2691483</v>
      </c>
      <c r="E225" s="31">
        <v>2451483</v>
      </c>
      <c r="F225" s="31">
        <v>2551483</v>
      </c>
      <c r="G225" s="31">
        <v>15144263</v>
      </c>
      <c r="H225" s="32">
        <v>0.16200000000000001</v>
      </c>
      <c r="I225" s="32">
        <v>0.16800000000000001</v>
      </c>
      <c r="J225" s="32">
        <v>0.17799999999999999</v>
      </c>
      <c r="K225" s="32">
        <v>0.01</v>
      </c>
      <c r="L225" s="56">
        <f>Tabelle1[[#This Row],[Spalte12]]-Tabelle1[[#This Row],[Spalte11]]</f>
        <v>7.8E-2</v>
      </c>
      <c r="M225" s="32">
        <v>8.7999999999999995E-2</v>
      </c>
      <c r="N225" s="32">
        <v>0.106</v>
      </c>
      <c r="O225" s="32">
        <v>0.13</v>
      </c>
      <c r="P225" s="32">
        <v>7.0000000000000007E-2</v>
      </c>
      <c r="Q225" s="31">
        <v>36574259</v>
      </c>
      <c r="R225" s="33">
        <v>1.2</v>
      </c>
      <c r="S225" s="34">
        <v>4793256</v>
      </c>
      <c r="T225" s="34">
        <v>4001662</v>
      </c>
      <c r="U225" s="33">
        <v>1.27</v>
      </c>
      <c r="V225" s="34">
        <v>5164919</v>
      </c>
      <c r="W225" s="34">
        <v>4080382</v>
      </c>
      <c r="X225" s="33">
        <v>1.36</v>
      </c>
      <c r="Y225" s="34">
        <v>5707538</v>
      </c>
      <c r="Z225" s="34">
        <v>4206533</v>
      </c>
      <c r="AA225" s="33">
        <v>1.49</v>
      </c>
      <c r="AB225" s="34">
        <v>6453622</v>
      </c>
      <c r="AC225" s="34">
        <v>4321747</v>
      </c>
    </row>
    <row r="226" spans="1:29" ht="10.5" customHeight="1" x14ac:dyDescent="0.15">
      <c r="A226" s="30" t="s">
        <v>209</v>
      </c>
      <c r="B226" s="30">
        <v>5</v>
      </c>
      <c r="C226" s="35" t="s">
        <v>293</v>
      </c>
      <c r="D226" s="35" t="s">
        <v>293</v>
      </c>
      <c r="E226" s="35" t="s">
        <v>293</v>
      </c>
      <c r="F226" s="35" t="s">
        <v>293</v>
      </c>
      <c r="G226" s="35" t="s">
        <v>293</v>
      </c>
      <c r="H226" s="42" t="s">
        <v>293</v>
      </c>
      <c r="I226" s="42" t="s">
        <v>293</v>
      </c>
      <c r="J226" s="42" t="s">
        <v>293</v>
      </c>
      <c r="K226" s="42" t="s">
        <v>293</v>
      </c>
      <c r="L226" s="58" t="e">
        <f>Tabelle1[[#This Row],[Spalte12]]-Tabelle1[[#This Row],[Spalte11]]</f>
        <v>#VALUE!</v>
      </c>
      <c r="M226" s="42" t="s">
        <v>293</v>
      </c>
      <c r="N226" s="42" t="s">
        <v>293</v>
      </c>
      <c r="O226" s="42" t="s">
        <v>293</v>
      </c>
      <c r="P226" s="42" t="s">
        <v>293</v>
      </c>
      <c r="Q226" s="35" t="s">
        <v>293</v>
      </c>
      <c r="R226" s="37" t="s">
        <v>293</v>
      </c>
      <c r="S226" s="38" t="s">
        <v>293</v>
      </c>
      <c r="T226" s="38" t="s">
        <v>293</v>
      </c>
      <c r="U226" s="37" t="s">
        <v>293</v>
      </c>
      <c r="V226" s="38" t="s">
        <v>293</v>
      </c>
      <c r="W226" s="38" t="s">
        <v>293</v>
      </c>
      <c r="X226" s="37" t="s">
        <v>293</v>
      </c>
      <c r="Y226" s="38" t="s">
        <v>293</v>
      </c>
      <c r="Z226" s="38" t="s">
        <v>293</v>
      </c>
      <c r="AA226" s="37" t="s">
        <v>293</v>
      </c>
      <c r="AB226" s="38" t="s">
        <v>293</v>
      </c>
      <c r="AC226" s="38" t="s">
        <v>293</v>
      </c>
    </row>
    <row r="227" spans="1:29" ht="10.5" customHeight="1" x14ac:dyDescent="0.15">
      <c r="A227" s="30" t="s">
        <v>173</v>
      </c>
      <c r="B227" s="30">
        <v>4</v>
      </c>
      <c r="C227" s="31">
        <v>99354</v>
      </c>
      <c r="D227" s="31">
        <v>280180</v>
      </c>
      <c r="E227" s="31">
        <v>280123</v>
      </c>
      <c r="F227" s="31">
        <v>280123</v>
      </c>
      <c r="G227" s="31">
        <v>1241921</v>
      </c>
      <c r="H227" s="32">
        <v>0.22600000000000001</v>
      </c>
      <c r="I227" s="32">
        <v>0.22600000000000001</v>
      </c>
      <c r="J227" s="32">
        <v>0.22600000000000001</v>
      </c>
      <c r="K227" s="32">
        <v>0</v>
      </c>
      <c r="L227" s="56">
        <f>Tabelle1[[#This Row],[Spalte12]]-Tabelle1[[#This Row],[Spalte11]]</f>
        <v>7.3999999999999996E-2</v>
      </c>
      <c r="M227" s="32">
        <v>7.3999999999999996E-2</v>
      </c>
      <c r="N227" s="32">
        <v>0.09</v>
      </c>
      <c r="O227" s="32">
        <v>0.112</v>
      </c>
      <c r="P227" s="32">
        <v>4.7E-2</v>
      </c>
      <c r="Q227" s="31">
        <v>6018649</v>
      </c>
      <c r="R227" s="33">
        <v>3.24</v>
      </c>
      <c r="S227" s="34">
        <v>3683788</v>
      </c>
      <c r="T227" s="34">
        <v>1137653</v>
      </c>
      <c r="U227" s="33">
        <v>3.37</v>
      </c>
      <c r="V227" s="34">
        <v>3815686</v>
      </c>
      <c r="W227" s="34">
        <v>1132510</v>
      </c>
      <c r="X227" s="33">
        <v>3.57</v>
      </c>
      <c r="Y227" s="34">
        <v>3634706</v>
      </c>
      <c r="Z227" s="34">
        <v>1017401</v>
      </c>
      <c r="AA227" s="33">
        <v>3.29</v>
      </c>
      <c r="AB227" s="34">
        <v>3378129</v>
      </c>
      <c r="AC227" s="34">
        <v>1025449</v>
      </c>
    </row>
    <row r="228" spans="1:29" ht="10.5" customHeight="1" x14ac:dyDescent="0.15">
      <c r="A228" s="30" t="s">
        <v>176</v>
      </c>
      <c r="B228" s="30">
        <v>4</v>
      </c>
      <c r="C228" s="31">
        <v>119824</v>
      </c>
      <c r="D228" s="31">
        <v>325302</v>
      </c>
      <c r="E228" s="31">
        <v>325245</v>
      </c>
      <c r="F228" s="31">
        <v>325245</v>
      </c>
      <c r="G228" s="31">
        <v>1497798</v>
      </c>
      <c r="H228" s="32">
        <v>0.217</v>
      </c>
      <c r="I228" s="32">
        <v>0.217</v>
      </c>
      <c r="J228" s="32">
        <v>0.217</v>
      </c>
      <c r="K228" s="32">
        <v>0</v>
      </c>
      <c r="L228" s="56">
        <f>Tabelle1[[#This Row],[Spalte12]]-Tabelle1[[#This Row],[Spalte11]]</f>
        <v>7.3999999999999996E-2</v>
      </c>
      <c r="M228" s="32">
        <v>7.3999999999999996E-2</v>
      </c>
      <c r="N228" s="32">
        <v>0.09</v>
      </c>
      <c r="O228" s="32">
        <v>0.112</v>
      </c>
      <c r="P228" s="32">
        <v>0.05</v>
      </c>
      <c r="Q228" s="31">
        <v>6539523</v>
      </c>
      <c r="R228" s="37" t="s">
        <v>294</v>
      </c>
      <c r="S228" s="38" t="s">
        <v>294</v>
      </c>
      <c r="T228" s="38" t="s">
        <v>294</v>
      </c>
      <c r="U228" s="37" t="s">
        <v>294</v>
      </c>
      <c r="V228" s="38" t="s">
        <v>294</v>
      </c>
      <c r="W228" s="38" t="s">
        <v>294</v>
      </c>
      <c r="X228" s="37" t="s">
        <v>294</v>
      </c>
      <c r="Y228" s="38" t="s">
        <v>294</v>
      </c>
      <c r="Z228" s="38" t="s">
        <v>294</v>
      </c>
      <c r="AA228" s="37" t="s">
        <v>294</v>
      </c>
      <c r="AB228" s="38" t="s">
        <v>294</v>
      </c>
      <c r="AC228" s="38" t="s">
        <v>294</v>
      </c>
    </row>
    <row r="229" spans="1:29" ht="10.5" customHeight="1" x14ac:dyDescent="0.15">
      <c r="A229" s="30" t="s">
        <v>240</v>
      </c>
      <c r="B229" s="30">
        <v>5</v>
      </c>
      <c r="C229" s="31">
        <v>1432</v>
      </c>
      <c r="D229" s="31">
        <v>35007</v>
      </c>
      <c r="E229" s="31">
        <v>35007</v>
      </c>
      <c r="F229" s="31">
        <v>35007</v>
      </c>
      <c r="G229" s="31">
        <v>17906</v>
      </c>
      <c r="H229" s="32">
        <v>1.9550000000000001</v>
      </c>
      <c r="I229" s="32">
        <v>1.9550000000000001</v>
      </c>
      <c r="J229" s="32">
        <v>1.9550000000000001</v>
      </c>
      <c r="K229" s="32">
        <v>0</v>
      </c>
      <c r="L229" s="56">
        <f>Tabelle1[[#This Row],[Spalte12]]-Tabelle1[[#This Row],[Spalte11]]</f>
        <v>7.0000000000000007E-2</v>
      </c>
      <c r="M229" s="32">
        <v>7.0000000000000007E-2</v>
      </c>
      <c r="N229" s="32">
        <v>8.5000000000000006E-2</v>
      </c>
      <c r="O229" s="32">
        <v>0.105</v>
      </c>
      <c r="P229" s="32">
        <v>0.92300000000000004</v>
      </c>
      <c r="Q229" s="31">
        <v>37924</v>
      </c>
      <c r="R229" s="33" t="s">
        <v>229</v>
      </c>
      <c r="S229" s="34">
        <v>0</v>
      </c>
      <c r="T229" s="34">
        <v>0</v>
      </c>
      <c r="U229" s="33" t="s">
        <v>229</v>
      </c>
      <c r="V229" s="34">
        <v>0</v>
      </c>
      <c r="W229" s="34">
        <v>0</v>
      </c>
      <c r="X229" s="33">
        <v>1.53</v>
      </c>
      <c r="Y229" s="34">
        <v>699</v>
      </c>
      <c r="Z229" s="34">
        <v>458</v>
      </c>
      <c r="AA229" s="33">
        <v>16.54</v>
      </c>
      <c r="AB229" s="34">
        <v>16625</v>
      </c>
      <c r="AC229" s="34">
        <v>1005</v>
      </c>
    </row>
    <row r="230" spans="1:29" ht="10.5" customHeight="1" x14ac:dyDescent="0.15">
      <c r="A230" s="30" t="s">
        <v>153</v>
      </c>
      <c r="B230" s="30">
        <v>5</v>
      </c>
      <c r="C230" s="31">
        <v>15938</v>
      </c>
      <c r="D230" s="31">
        <v>32092</v>
      </c>
      <c r="E230" s="31">
        <v>32092</v>
      </c>
      <c r="F230" s="31">
        <v>32092</v>
      </c>
      <c r="G230" s="31">
        <v>199227</v>
      </c>
      <c r="H230" s="32">
        <v>0.161</v>
      </c>
      <c r="I230" s="32">
        <v>0.161</v>
      </c>
      <c r="J230" s="32">
        <v>0.161</v>
      </c>
      <c r="K230" s="32">
        <v>2E-3</v>
      </c>
      <c r="L230" s="56">
        <f>Tabelle1[[#This Row],[Spalte12]]-Tabelle1[[#This Row],[Spalte11]]</f>
        <v>6.9999999999999993E-2</v>
      </c>
      <c r="M230" s="32">
        <v>7.1999999999999995E-2</v>
      </c>
      <c r="N230" s="32">
        <v>8.6999999999999994E-2</v>
      </c>
      <c r="O230" s="32">
        <v>0.107</v>
      </c>
      <c r="P230" s="32">
        <v>0.16700000000000001</v>
      </c>
      <c r="Q230" s="31">
        <v>191829</v>
      </c>
      <c r="R230" s="33">
        <v>2.76</v>
      </c>
      <c r="S230" s="34">
        <v>19458</v>
      </c>
      <c r="T230" s="34">
        <v>7057</v>
      </c>
      <c r="U230" s="33">
        <v>2.79</v>
      </c>
      <c r="V230" s="34">
        <v>19380</v>
      </c>
      <c r="W230" s="34">
        <v>6940</v>
      </c>
      <c r="X230" s="33">
        <v>3.1</v>
      </c>
      <c r="Y230" s="34">
        <v>21182</v>
      </c>
      <c r="Z230" s="34">
        <v>6840</v>
      </c>
      <c r="AA230" s="33">
        <v>2.5499999999999998</v>
      </c>
      <c r="AB230" s="34">
        <v>23229</v>
      </c>
      <c r="AC230" s="34">
        <v>9105</v>
      </c>
    </row>
    <row r="231" spans="1:29" ht="10.5" customHeight="1" x14ac:dyDescent="0.15">
      <c r="A231" s="30" t="s">
        <v>241</v>
      </c>
      <c r="B231" s="30">
        <v>5</v>
      </c>
      <c r="C231" s="31">
        <v>316</v>
      </c>
      <c r="D231" s="31">
        <v>1953</v>
      </c>
      <c r="E231" s="31">
        <v>1953</v>
      </c>
      <c r="F231" s="31">
        <v>1953</v>
      </c>
      <c r="G231" s="31">
        <v>3955</v>
      </c>
      <c r="H231" s="32">
        <v>0.49399999999999999</v>
      </c>
      <c r="I231" s="32">
        <v>0.49399999999999999</v>
      </c>
      <c r="J231" s="32">
        <v>0.49399999999999999</v>
      </c>
      <c r="K231" s="32">
        <v>0</v>
      </c>
      <c r="L231" s="56">
        <f>Tabelle1[[#This Row],[Spalte12]]-Tabelle1[[#This Row],[Spalte11]]</f>
        <v>7.0000000000000007E-2</v>
      </c>
      <c r="M231" s="32">
        <v>7.0000000000000007E-2</v>
      </c>
      <c r="N231" s="32">
        <v>8.5000000000000006E-2</v>
      </c>
      <c r="O231" s="32">
        <v>0.105</v>
      </c>
      <c r="P231" s="32">
        <v>0.54300000000000004</v>
      </c>
      <c r="Q231" s="31">
        <v>3597</v>
      </c>
      <c r="R231" s="37" t="s">
        <v>294</v>
      </c>
      <c r="S231" s="38" t="s">
        <v>294</v>
      </c>
      <c r="T231" s="38" t="s">
        <v>294</v>
      </c>
      <c r="U231" s="37" t="s">
        <v>294</v>
      </c>
      <c r="V231" s="38" t="s">
        <v>294</v>
      </c>
      <c r="W231" s="38" t="s">
        <v>294</v>
      </c>
      <c r="X231" s="37" t="s">
        <v>294</v>
      </c>
      <c r="Y231" s="38" t="s">
        <v>294</v>
      </c>
      <c r="Z231" s="38" t="s">
        <v>294</v>
      </c>
      <c r="AA231" s="37" t="s">
        <v>294</v>
      </c>
      <c r="AB231" s="38" t="s">
        <v>294</v>
      </c>
      <c r="AC231" s="38" t="s">
        <v>294</v>
      </c>
    </row>
    <row r="232" spans="1:29" ht="10.5" customHeight="1" x14ac:dyDescent="0.15">
      <c r="A232" s="30" t="s">
        <v>22</v>
      </c>
      <c r="B232" s="30">
        <v>3</v>
      </c>
      <c r="C232" s="31">
        <v>948699</v>
      </c>
      <c r="D232" s="31">
        <v>2211246</v>
      </c>
      <c r="E232" s="31">
        <v>2208543</v>
      </c>
      <c r="F232" s="31">
        <v>2208543</v>
      </c>
      <c r="G232" s="31">
        <v>11858732</v>
      </c>
      <c r="H232" s="32">
        <v>0.186</v>
      </c>
      <c r="I232" s="32">
        <v>0.186</v>
      </c>
      <c r="J232" s="32">
        <v>0.186</v>
      </c>
      <c r="K232" s="32">
        <v>0.01</v>
      </c>
      <c r="L232" s="56">
        <f>Tabelle1[[#This Row],[Spalte12]]-Tabelle1[[#This Row],[Spalte11]]</f>
        <v>7.8E-2</v>
      </c>
      <c r="M232" s="32">
        <v>8.7999999999999995E-2</v>
      </c>
      <c r="N232" s="32">
        <v>0.106</v>
      </c>
      <c r="O232" s="32">
        <v>0.13</v>
      </c>
      <c r="P232" s="32">
        <v>8.4000000000000005E-2</v>
      </c>
      <c r="Q232" s="31">
        <v>26423156</v>
      </c>
      <c r="R232" s="33">
        <v>1.19</v>
      </c>
      <c r="S232" s="34">
        <v>2693189</v>
      </c>
      <c r="T232" s="34">
        <v>2257893</v>
      </c>
      <c r="U232" s="33">
        <v>1.1200000000000001</v>
      </c>
      <c r="V232" s="34">
        <v>2851067</v>
      </c>
      <c r="W232" s="34">
        <v>2554897</v>
      </c>
      <c r="X232" s="33">
        <v>1.21</v>
      </c>
      <c r="Y232" s="34">
        <v>3020521</v>
      </c>
      <c r="Z232" s="34">
        <v>2503608</v>
      </c>
      <c r="AA232" s="33">
        <v>1.36</v>
      </c>
      <c r="AB232" s="34">
        <v>3565464</v>
      </c>
      <c r="AC232" s="34">
        <v>2619376</v>
      </c>
    </row>
    <row r="233" spans="1:29" ht="10.5" customHeight="1" x14ac:dyDescent="0.15">
      <c r="A233" s="30" t="s">
        <v>102</v>
      </c>
      <c r="B233" s="30">
        <v>5</v>
      </c>
      <c r="C233" s="35" t="s">
        <v>293</v>
      </c>
      <c r="D233" s="35" t="s">
        <v>293</v>
      </c>
      <c r="E233" s="35" t="s">
        <v>293</v>
      </c>
      <c r="F233" s="35" t="s">
        <v>293</v>
      </c>
      <c r="G233" s="35" t="s">
        <v>293</v>
      </c>
      <c r="H233" s="42" t="s">
        <v>293</v>
      </c>
      <c r="I233" s="42" t="s">
        <v>293</v>
      </c>
      <c r="J233" s="42" t="s">
        <v>293</v>
      </c>
      <c r="K233" s="42" t="s">
        <v>293</v>
      </c>
      <c r="L233" s="58" t="e">
        <f>Tabelle1[[#This Row],[Spalte12]]-Tabelle1[[#This Row],[Spalte11]]</f>
        <v>#VALUE!</v>
      </c>
      <c r="M233" s="42" t="s">
        <v>293</v>
      </c>
      <c r="N233" s="42" t="s">
        <v>293</v>
      </c>
      <c r="O233" s="42" t="s">
        <v>293</v>
      </c>
      <c r="P233" s="42" t="s">
        <v>293</v>
      </c>
      <c r="Q233" s="35" t="s">
        <v>293</v>
      </c>
      <c r="R233" s="37" t="s">
        <v>293</v>
      </c>
      <c r="S233" s="38" t="s">
        <v>293</v>
      </c>
      <c r="T233" s="38" t="s">
        <v>293</v>
      </c>
      <c r="U233" s="37" t="s">
        <v>293</v>
      </c>
      <c r="V233" s="38" t="s">
        <v>293</v>
      </c>
      <c r="W233" s="38" t="s">
        <v>293</v>
      </c>
      <c r="X233" s="37" t="s">
        <v>293</v>
      </c>
      <c r="Y233" s="38" t="s">
        <v>293</v>
      </c>
      <c r="Z233" s="38" t="s">
        <v>293</v>
      </c>
      <c r="AA233" s="37" t="s">
        <v>293</v>
      </c>
      <c r="AB233" s="38" t="s">
        <v>293</v>
      </c>
      <c r="AC233" s="38" t="s">
        <v>293</v>
      </c>
    </row>
    <row r="234" spans="1:29" ht="10.5" customHeight="1" x14ac:dyDescent="0.15">
      <c r="A234" s="30" t="s">
        <v>119</v>
      </c>
      <c r="B234" s="30">
        <v>5</v>
      </c>
      <c r="C234" s="31">
        <v>9018</v>
      </c>
      <c r="D234" s="31">
        <v>35474</v>
      </c>
      <c r="E234" s="31">
        <v>35474</v>
      </c>
      <c r="F234" s="31">
        <v>35474</v>
      </c>
      <c r="G234" s="31">
        <v>112730</v>
      </c>
      <c r="H234" s="32">
        <v>0.315</v>
      </c>
      <c r="I234" s="32">
        <v>0.315</v>
      </c>
      <c r="J234" s="32">
        <v>0.315</v>
      </c>
      <c r="K234" s="32">
        <v>0</v>
      </c>
      <c r="L234" s="56">
        <f>Tabelle1[[#This Row],[Spalte12]]-Tabelle1[[#This Row],[Spalte11]]</f>
        <v>7.0000000000000007E-2</v>
      </c>
      <c r="M234" s="32">
        <v>7.0000000000000007E-2</v>
      </c>
      <c r="N234" s="32">
        <v>8.5000000000000006E-2</v>
      </c>
      <c r="O234" s="32">
        <v>0.105</v>
      </c>
      <c r="P234" s="32">
        <v>0.154</v>
      </c>
      <c r="Q234" s="31">
        <v>230797</v>
      </c>
      <c r="R234" s="33">
        <v>1.37</v>
      </c>
      <c r="S234" s="34">
        <v>40806</v>
      </c>
      <c r="T234" s="34">
        <v>29828</v>
      </c>
      <c r="U234" s="33">
        <v>1.54</v>
      </c>
      <c r="V234" s="34">
        <v>46683</v>
      </c>
      <c r="W234" s="34">
        <v>30261</v>
      </c>
      <c r="X234" s="33">
        <v>1.43</v>
      </c>
      <c r="Y234" s="34">
        <v>38201</v>
      </c>
      <c r="Z234" s="34">
        <v>26671</v>
      </c>
      <c r="AA234" s="33">
        <v>1.61</v>
      </c>
      <c r="AB234" s="34">
        <v>36703</v>
      </c>
      <c r="AC234" s="34">
        <v>22819</v>
      </c>
    </row>
    <row r="235" spans="1:29" ht="10.5" customHeight="1" x14ac:dyDescent="0.15">
      <c r="A235" s="30" t="s">
        <v>127</v>
      </c>
      <c r="B235" s="30">
        <v>3</v>
      </c>
      <c r="C235" s="31">
        <v>606191</v>
      </c>
      <c r="D235" s="31">
        <v>1941965</v>
      </c>
      <c r="E235" s="31">
        <v>1937965</v>
      </c>
      <c r="F235" s="31">
        <v>1937965</v>
      </c>
      <c r="G235" s="31">
        <v>7577384</v>
      </c>
      <c r="H235" s="32">
        <v>0.25600000000000001</v>
      </c>
      <c r="I235" s="32">
        <v>0.25600000000000001</v>
      </c>
      <c r="J235" s="32">
        <v>0.25600000000000001</v>
      </c>
      <c r="K235" s="32">
        <v>0</v>
      </c>
      <c r="L235" s="56">
        <f>Tabelle1[[#This Row],[Spalte12]]-Tabelle1[[#This Row],[Spalte11]]</f>
        <v>7.8E-2</v>
      </c>
      <c r="M235" s="32">
        <v>7.8E-2</v>
      </c>
      <c r="N235" s="32">
        <v>9.6000000000000002E-2</v>
      </c>
      <c r="O235" s="32">
        <v>0.12</v>
      </c>
      <c r="P235" s="32">
        <v>5.8000000000000003E-2</v>
      </c>
      <c r="Q235" s="31">
        <v>33612960</v>
      </c>
      <c r="R235" s="33">
        <v>3.17</v>
      </c>
      <c r="S235" s="34">
        <v>11985977</v>
      </c>
      <c r="T235" s="34">
        <v>3780754</v>
      </c>
      <c r="U235" s="33">
        <v>2.97</v>
      </c>
      <c r="V235" s="34">
        <v>12488389</v>
      </c>
      <c r="W235" s="34">
        <v>4202083</v>
      </c>
      <c r="X235" s="33">
        <v>3.09</v>
      </c>
      <c r="Y235" s="34">
        <v>11983596</v>
      </c>
      <c r="Z235" s="34">
        <v>3874840</v>
      </c>
      <c r="AA235" s="33">
        <v>2.64</v>
      </c>
      <c r="AB235" s="34">
        <v>10711452</v>
      </c>
      <c r="AC235" s="34">
        <v>4062817</v>
      </c>
    </row>
    <row r="236" spans="1:29" ht="10.5" customHeight="1" x14ac:dyDescent="0.15">
      <c r="A236" s="30" t="s">
        <v>227</v>
      </c>
      <c r="B236" s="30">
        <v>5</v>
      </c>
      <c r="C236" s="31">
        <v>1571</v>
      </c>
      <c r="D236" s="31">
        <v>2935</v>
      </c>
      <c r="E236" s="31">
        <v>2935</v>
      </c>
      <c r="F236" s="31">
        <v>2935</v>
      </c>
      <c r="G236" s="31">
        <v>19636</v>
      </c>
      <c r="H236" s="32">
        <v>0.14899999999999999</v>
      </c>
      <c r="I236" s="32">
        <v>0.14899999999999999</v>
      </c>
      <c r="J236" s="32">
        <v>0.14899999999999999</v>
      </c>
      <c r="K236" s="32">
        <v>0</v>
      </c>
      <c r="L236" s="56">
        <f>Tabelle1[[#This Row],[Spalte12]]-Tabelle1[[#This Row],[Spalte11]]</f>
        <v>7.0000000000000007E-2</v>
      </c>
      <c r="M236" s="32">
        <v>7.0000000000000007E-2</v>
      </c>
      <c r="N236" s="32">
        <v>8.5000000000000006E-2</v>
      </c>
      <c r="O236" s="32">
        <v>0.105</v>
      </c>
      <c r="P236" s="32">
        <v>1</v>
      </c>
      <c r="Q236" s="31">
        <v>2908</v>
      </c>
      <c r="R236" s="37" t="s">
        <v>294</v>
      </c>
      <c r="S236" s="38" t="s">
        <v>294</v>
      </c>
      <c r="T236" s="38" t="s">
        <v>294</v>
      </c>
      <c r="U236" s="37" t="s">
        <v>294</v>
      </c>
      <c r="V236" s="38" t="s">
        <v>294</v>
      </c>
      <c r="W236" s="38" t="s">
        <v>294</v>
      </c>
      <c r="X236" s="37" t="s">
        <v>294</v>
      </c>
      <c r="Y236" s="38" t="s">
        <v>294</v>
      </c>
      <c r="Z236" s="38" t="s">
        <v>294</v>
      </c>
      <c r="AA236" s="37" t="s">
        <v>294</v>
      </c>
      <c r="AB236" s="38" t="s">
        <v>294</v>
      </c>
      <c r="AC236" s="38" t="s">
        <v>294</v>
      </c>
    </row>
    <row r="237" spans="1:29" ht="10.5" customHeight="1" x14ac:dyDescent="0.15">
      <c r="A237" s="30" t="s">
        <v>120</v>
      </c>
      <c r="B237" s="30">
        <v>5</v>
      </c>
      <c r="C237" s="31">
        <v>2835</v>
      </c>
      <c r="D237" s="31">
        <v>35270</v>
      </c>
      <c r="E237" s="31">
        <v>35270</v>
      </c>
      <c r="F237" s="31">
        <v>35270</v>
      </c>
      <c r="G237" s="31">
        <v>35436</v>
      </c>
      <c r="H237" s="32">
        <v>0.98199999999999998</v>
      </c>
      <c r="I237" s="32">
        <v>0.98199999999999998</v>
      </c>
      <c r="J237" s="32">
        <v>0.98199999999999998</v>
      </c>
      <c r="K237" s="32">
        <v>0</v>
      </c>
      <c r="L237" s="56">
        <f>Tabelle1[[#This Row],[Spalte12]]-Tabelle1[[#This Row],[Spalte11]]</f>
        <v>7.0000000000000007E-2</v>
      </c>
      <c r="M237" s="32">
        <v>7.0000000000000007E-2</v>
      </c>
      <c r="N237" s="32">
        <v>8.5000000000000006E-2</v>
      </c>
      <c r="O237" s="32">
        <v>0.105</v>
      </c>
      <c r="P237" s="32">
        <v>0.26900000000000002</v>
      </c>
      <c r="Q237" s="31">
        <v>131147</v>
      </c>
      <c r="R237" s="33">
        <v>1.8696386901834472</v>
      </c>
      <c r="S237" s="34">
        <v>11546.69695</v>
      </c>
      <c r="T237" s="34">
        <v>6175.8975199999995</v>
      </c>
      <c r="U237" s="33">
        <v>2.2224245874265276</v>
      </c>
      <c r="V237" s="34">
        <v>12136.212320000001</v>
      </c>
      <c r="W237" s="34">
        <v>5460.7982599999996</v>
      </c>
      <c r="X237" s="33">
        <v>2.4190077978610081</v>
      </c>
      <c r="Y237" s="34">
        <v>18004.718629999999</v>
      </c>
      <c r="Z237" s="34">
        <v>7443.0180199999995</v>
      </c>
      <c r="AA237" s="33">
        <v>4.9101825345257071</v>
      </c>
      <c r="AB237" s="34">
        <v>32065.771649999999</v>
      </c>
      <c r="AC237" s="34">
        <v>6530.4642800000001</v>
      </c>
    </row>
    <row r="238" spans="1:29" ht="10.5" customHeight="1" x14ac:dyDescent="0.15">
      <c r="A238" s="30" t="s">
        <v>10</v>
      </c>
      <c r="B238" s="30">
        <v>4</v>
      </c>
      <c r="C238" s="31">
        <v>128853</v>
      </c>
      <c r="D238" s="31">
        <v>309738</v>
      </c>
      <c r="E238" s="31">
        <v>300475</v>
      </c>
      <c r="F238" s="31">
        <v>300475</v>
      </c>
      <c r="G238" s="31">
        <v>1610664</v>
      </c>
      <c r="H238" s="32">
        <v>0.187</v>
      </c>
      <c r="I238" s="32">
        <v>0.187</v>
      </c>
      <c r="J238" s="32">
        <v>0.192</v>
      </c>
      <c r="K238" s="32">
        <v>0.01</v>
      </c>
      <c r="L238" s="56">
        <f>Tabelle1[[#This Row],[Spalte12]]-Tabelle1[[#This Row],[Spalte11]]</f>
        <v>7.400000000000001E-2</v>
      </c>
      <c r="M238" s="32">
        <v>8.4000000000000005E-2</v>
      </c>
      <c r="N238" s="32">
        <v>0.1</v>
      </c>
      <c r="O238" s="32">
        <v>0.122</v>
      </c>
      <c r="P238" s="32">
        <v>8.6999999999999994E-2</v>
      </c>
      <c r="Q238" s="31">
        <v>3453331</v>
      </c>
      <c r="R238" s="33">
        <v>1.59</v>
      </c>
      <c r="S238" s="34">
        <v>377656</v>
      </c>
      <c r="T238" s="34">
        <v>238100</v>
      </c>
      <c r="U238" s="33">
        <v>1.43</v>
      </c>
      <c r="V238" s="34">
        <v>371598</v>
      </c>
      <c r="W238" s="34">
        <v>260244</v>
      </c>
      <c r="X238" s="33">
        <v>1.52</v>
      </c>
      <c r="Y238" s="34">
        <v>370360</v>
      </c>
      <c r="Z238" s="34">
        <v>243814</v>
      </c>
      <c r="AA238" s="33">
        <v>1.46</v>
      </c>
      <c r="AB238" s="34">
        <v>426245</v>
      </c>
      <c r="AC238" s="34">
        <v>290986</v>
      </c>
    </row>
    <row r="239" spans="1:29" ht="10.5" customHeight="1" x14ac:dyDescent="0.15">
      <c r="A239" s="30" t="s">
        <v>155</v>
      </c>
      <c r="B239" s="30">
        <v>5</v>
      </c>
      <c r="C239" s="35" t="s">
        <v>293</v>
      </c>
      <c r="D239" s="35" t="s">
        <v>293</v>
      </c>
      <c r="E239" s="35" t="s">
        <v>293</v>
      </c>
      <c r="F239" s="35" t="s">
        <v>293</v>
      </c>
      <c r="G239" s="35" t="s">
        <v>293</v>
      </c>
      <c r="H239" s="42" t="s">
        <v>293</v>
      </c>
      <c r="I239" s="42" t="s">
        <v>293</v>
      </c>
      <c r="J239" s="42" t="s">
        <v>293</v>
      </c>
      <c r="K239" s="42" t="s">
        <v>293</v>
      </c>
      <c r="L239" s="58" t="e">
        <f>Tabelle1[[#This Row],[Spalte12]]-Tabelle1[[#This Row],[Spalte11]]</f>
        <v>#VALUE!</v>
      </c>
      <c r="M239" s="42" t="s">
        <v>293</v>
      </c>
      <c r="N239" s="42" t="s">
        <v>293</v>
      </c>
      <c r="O239" s="42" t="s">
        <v>293</v>
      </c>
      <c r="P239" s="42" t="s">
        <v>293</v>
      </c>
      <c r="Q239" s="35" t="s">
        <v>293</v>
      </c>
      <c r="R239" s="37" t="s">
        <v>293</v>
      </c>
      <c r="S239" s="38" t="s">
        <v>293</v>
      </c>
      <c r="T239" s="38" t="s">
        <v>293</v>
      </c>
      <c r="U239" s="37" t="s">
        <v>293</v>
      </c>
      <c r="V239" s="38" t="s">
        <v>293</v>
      </c>
      <c r="W239" s="38" t="s">
        <v>293</v>
      </c>
      <c r="X239" s="37" t="s">
        <v>293</v>
      </c>
      <c r="Y239" s="38" t="s">
        <v>293</v>
      </c>
      <c r="Z239" s="38" t="s">
        <v>293</v>
      </c>
      <c r="AA239" s="37" t="s">
        <v>293</v>
      </c>
      <c r="AB239" s="38" t="s">
        <v>293</v>
      </c>
      <c r="AC239" s="38" t="s">
        <v>293</v>
      </c>
    </row>
    <row r="240" spans="1:29" ht="10.5" customHeight="1" x14ac:dyDescent="0.15">
      <c r="A240" s="30" t="s">
        <v>4</v>
      </c>
      <c r="B240" s="30">
        <v>3</v>
      </c>
      <c r="C240" s="31">
        <v>1054272</v>
      </c>
      <c r="D240" s="31">
        <v>2123260</v>
      </c>
      <c r="E240" s="31">
        <v>2123260</v>
      </c>
      <c r="F240" s="31">
        <v>2123260</v>
      </c>
      <c r="G240" s="31">
        <v>13178400</v>
      </c>
      <c r="H240" s="32">
        <v>0.161</v>
      </c>
      <c r="I240" s="32">
        <v>0.161</v>
      </c>
      <c r="J240" s="32">
        <v>0.161</v>
      </c>
      <c r="K240" s="32">
        <v>1.2E-2</v>
      </c>
      <c r="L240" s="56">
        <f>Tabelle1[[#This Row],[Spalte12]]-Tabelle1[[#This Row],[Spalte11]]</f>
        <v>7.8E-2</v>
      </c>
      <c r="M240" s="32">
        <v>0.09</v>
      </c>
      <c r="N240" s="32">
        <v>0.108</v>
      </c>
      <c r="O240" s="32">
        <v>0.13200000000000001</v>
      </c>
      <c r="P240" s="32">
        <v>7.0000000000000007E-2</v>
      </c>
      <c r="Q240" s="31">
        <v>30406707</v>
      </c>
      <c r="R240" s="33">
        <v>1.17</v>
      </c>
      <c r="S240" s="34">
        <v>3032720</v>
      </c>
      <c r="T240" s="34">
        <v>2594380</v>
      </c>
      <c r="U240" s="33">
        <v>1.1499999999999999</v>
      </c>
      <c r="V240" s="34">
        <v>3044605</v>
      </c>
      <c r="W240" s="34">
        <v>2655889</v>
      </c>
      <c r="X240" s="33">
        <v>1.29</v>
      </c>
      <c r="Y240" s="34">
        <v>3238044</v>
      </c>
      <c r="Z240" s="34">
        <v>2508749</v>
      </c>
      <c r="AA240" s="33">
        <v>1.43</v>
      </c>
      <c r="AB240" s="34">
        <v>4051749</v>
      </c>
      <c r="AC240" s="34">
        <v>2835211</v>
      </c>
    </row>
    <row r="241" spans="1:30" ht="10.5" customHeight="1" x14ac:dyDescent="0.15">
      <c r="A241" s="30" t="s">
        <v>160</v>
      </c>
      <c r="B241" s="30">
        <v>3</v>
      </c>
      <c r="C241" s="31">
        <v>1078014</v>
      </c>
      <c r="D241" s="31">
        <v>2217836</v>
      </c>
      <c r="E241" s="31">
        <v>2217836</v>
      </c>
      <c r="F241" s="31">
        <v>2217836</v>
      </c>
      <c r="G241" s="31">
        <v>13475177</v>
      </c>
      <c r="H241" s="32">
        <v>0.16500000000000001</v>
      </c>
      <c r="I241" s="32">
        <v>0.16500000000000001</v>
      </c>
      <c r="J241" s="32">
        <v>0.16500000000000001</v>
      </c>
      <c r="K241" s="32">
        <v>1.0999999999999999E-2</v>
      </c>
      <c r="L241" s="56">
        <f>Tabelle1[[#This Row],[Spalte12]]-Tabelle1[[#This Row],[Spalte11]]</f>
        <v>7.8E-2</v>
      </c>
      <c r="M241" s="32">
        <v>8.8999999999999996E-2</v>
      </c>
      <c r="N241" s="32">
        <v>0.107</v>
      </c>
      <c r="O241" s="32">
        <v>0.13100000000000001</v>
      </c>
      <c r="P241" s="32">
        <v>7.0000000000000007E-2</v>
      </c>
      <c r="Q241" s="31">
        <v>31876364</v>
      </c>
      <c r="R241" s="37" t="s">
        <v>294</v>
      </c>
      <c r="S241" s="38" t="s">
        <v>294</v>
      </c>
      <c r="T241" s="38" t="s">
        <v>294</v>
      </c>
      <c r="U241" s="37" t="s">
        <v>294</v>
      </c>
      <c r="V241" s="38" t="s">
        <v>294</v>
      </c>
      <c r="W241" s="38" t="s">
        <v>294</v>
      </c>
      <c r="X241" s="37" t="s">
        <v>294</v>
      </c>
      <c r="Y241" s="38" t="s">
        <v>294</v>
      </c>
      <c r="Z241" s="38" t="s">
        <v>294</v>
      </c>
      <c r="AA241" s="37" t="s">
        <v>294</v>
      </c>
      <c r="AB241" s="38" t="s">
        <v>294</v>
      </c>
      <c r="AC241" s="38" t="s">
        <v>294</v>
      </c>
    </row>
    <row r="242" spans="1:30" ht="10.5" customHeight="1" x14ac:dyDescent="0.15">
      <c r="A242" s="30" t="s">
        <v>159</v>
      </c>
      <c r="B242" s="30">
        <v>3</v>
      </c>
      <c r="C242" s="31">
        <v>563145</v>
      </c>
      <c r="D242" s="31">
        <v>1397676</v>
      </c>
      <c r="E242" s="31">
        <v>949439</v>
      </c>
      <c r="F242" s="31">
        <v>1397542</v>
      </c>
      <c r="G242" s="31">
        <v>7039308</v>
      </c>
      <c r="H242" s="32">
        <v>0.13500000000000001</v>
      </c>
      <c r="I242" s="32">
        <v>0.19900000000000001</v>
      </c>
      <c r="J242" s="32">
        <v>0.19900000000000001</v>
      </c>
      <c r="K242" s="32">
        <v>1E-3</v>
      </c>
      <c r="L242" s="56">
        <f>Tabelle1[[#This Row],[Spalte12]]-Tabelle1[[#This Row],[Spalte11]]</f>
        <v>7.8E-2</v>
      </c>
      <c r="M242" s="32">
        <v>7.9000000000000001E-2</v>
      </c>
      <c r="N242" s="32">
        <v>9.7000000000000003E-2</v>
      </c>
      <c r="O242" s="32">
        <v>0.121</v>
      </c>
      <c r="P242" s="32">
        <v>5.1999999999999998E-2</v>
      </c>
      <c r="Q242" s="31">
        <v>26669163</v>
      </c>
      <c r="R242" s="33">
        <v>1.94</v>
      </c>
      <c r="S242" s="34">
        <v>8197862</v>
      </c>
      <c r="T242" s="34">
        <v>4226686</v>
      </c>
      <c r="U242" s="33">
        <v>1.92</v>
      </c>
      <c r="V242" s="34">
        <v>7776522</v>
      </c>
      <c r="W242" s="34">
        <v>4043381</v>
      </c>
      <c r="X242" s="33">
        <v>2</v>
      </c>
      <c r="Y242" s="34">
        <v>7909958</v>
      </c>
      <c r="Z242" s="34">
        <v>3954984</v>
      </c>
      <c r="AA242" s="33">
        <v>1.86</v>
      </c>
      <c r="AB242" s="34">
        <v>8316548</v>
      </c>
      <c r="AC242" s="34">
        <v>4466730</v>
      </c>
    </row>
    <row r="243" spans="1:30" ht="10.5" customHeight="1" x14ac:dyDescent="0.15">
      <c r="A243" s="30" t="s">
        <v>65</v>
      </c>
      <c r="B243" s="30">
        <v>4</v>
      </c>
      <c r="C243" s="31">
        <v>38182</v>
      </c>
      <c r="D243" s="31">
        <v>84125</v>
      </c>
      <c r="E243" s="31">
        <v>82825</v>
      </c>
      <c r="F243" s="31">
        <v>82825</v>
      </c>
      <c r="G243" s="31">
        <v>477276</v>
      </c>
      <c r="H243" s="32">
        <v>0.17399999999999999</v>
      </c>
      <c r="I243" s="32">
        <v>0.17399999999999999</v>
      </c>
      <c r="J243" s="32">
        <v>0.17599999999999999</v>
      </c>
      <c r="K243" s="32">
        <v>3.0000000000000001E-3</v>
      </c>
      <c r="L243" s="56">
        <f>Tabelle1[[#This Row],[Spalte12]]-Tabelle1[[#This Row],[Spalte11]]</f>
        <v>7.3999999999999996E-2</v>
      </c>
      <c r="M243" s="32">
        <v>7.6999999999999999E-2</v>
      </c>
      <c r="N243" s="32">
        <v>9.2999999999999999E-2</v>
      </c>
      <c r="O243" s="32">
        <v>0.115</v>
      </c>
      <c r="P243" s="32">
        <v>4.5999999999999999E-2</v>
      </c>
      <c r="Q243" s="31">
        <v>1781813</v>
      </c>
      <c r="R243" s="33">
        <v>1.36</v>
      </c>
      <c r="S243" s="34">
        <v>186583</v>
      </c>
      <c r="T243" s="34">
        <v>137496</v>
      </c>
      <c r="U243" s="33">
        <v>1.4</v>
      </c>
      <c r="V243" s="34">
        <v>188885</v>
      </c>
      <c r="W243" s="34">
        <v>134787</v>
      </c>
      <c r="X243" s="33">
        <v>1.31</v>
      </c>
      <c r="Y243" s="34">
        <v>182444</v>
      </c>
      <c r="Z243" s="34">
        <v>138975</v>
      </c>
      <c r="AA243" s="33">
        <v>1.47</v>
      </c>
      <c r="AB243" s="34">
        <v>207866</v>
      </c>
      <c r="AC243" s="34">
        <v>141470</v>
      </c>
    </row>
    <row r="244" spans="1:30" ht="10.5" customHeight="1" x14ac:dyDescent="0.15">
      <c r="A244" s="30" t="s">
        <v>197</v>
      </c>
      <c r="B244" s="30">
        <v>4</v>
      </c>
      <c r="C244" s="31">
        <v>109023</v>
      </c>
      <c r="D244" s="31">
        <v>353210</v>
      </c>
      <c r="E244" s="31">
        <v>353210</v>
      </c>
      <c r="F244" s="31">
        <v>353210</v>
      </c>
      <c r="G244" s="31">
        <v>1362787</v>
      </c>
      <c r="H244" s="32">
        <v>0.25900000000000001</v>
      </c>
      <c r="I244" s="32">
        <v>0.25900000000000001</v>
      </c>
      <c r="J244" s="32">
        <v>0.25900000000000001</v>
      </c>
      <c r="K244" s="32">
        <v>0.01</v>
      </c>
      <c r="L244" s="56">
        <f>Tabelle1[[#This Row],[Spalte12]]-Tabelle1[[#This Row],[Spalte11]]</f>
        <v>7.400000000000001E-2</v>
      </c>
      <c r="M244" s="32">
        <v>8.4000000000000005E-2</v>
      </c>
      <c r="N244" s="32">
        <v>0.1</v>
      </c>
      <c r="O244" s="32">
        <v>0.122</v>
      </c>
      <c r="P244" s="32">
        <v>9.0999999999999998E-2</v>
      </c>
      <c r="Q244" s="31">
        <v>3890076</v>
      </c>
      <c r="R244" s="33">
        <v>2.64</v>
      </c>
      <c r="S244" s="34">
        <v>702434</v>
      </c>
      <c r="T244" s="34">
        <v>266443</v>
      </c>
      <c r="U244" s="33">
        <v>2.93</v>
      </c>
      <c r="V244" s="34">
        <v>700669</v>
      </c>
      <c r="W244" s="34">
        <v>238981</v>
      </c>
      <c r="X244" s="33">
        <v>3.29</v>
      </c>
      <c r="Y244" s="34">
        <v>888061</v>
      </c>
      <c r="Z244" s="34">
        <v>269821</v>
      </c>
      <c r="AA244" s="33">
        <v>2.66</v>
      </c>
      <c r="AB244" s="34">
        <v>1185294</v>
      </c>
      <c r="AC244" s="34">
        <v>446238</v>
      </c>
    </row>
    <row r="245" spans="1:30" ht="10.5" customHeight="1" x14ac:dyDescent="0.15">
      <c r="A245" s="30" t="s">
        <v>201</v>
      </c>
      <c r="B245" s="30">
        <v>4</v>
      </c>
      <c r="C245" s="31">
        <v>139964</v>
      </c>
      <c r="D245" s="31">
        <v>427755</v>
      </c>
      <c r="E245" s="31">
        <v>427755</v>
      </c>
      <c r="F245" s="31">
        <v>427755</v>
      </c>
      <c r="G245" s="31">
        <v>1749555</v>
      </c>
      <c r="H245" s="32">
        <v>0.24399999999999999</v>
      </c>
      <c r="I245" s="32">
        <v>0.24399999999999999</v>
      </c>
      <c r="J245" s="32">
        <v>0.24399999999999999</v>
      </c>
      <c r="K245" s="32">
        <v>8.0000000000000002E-3</v>
      </c>
      <c r="L245" s="56">
        <f>Tabelle1[[#This Row],[Spalte12]]-Tabelle1[[#This Row],[Spalte11]]</f>
        <v>7.400000000000001E-2</v>
      </c>
      <c r="M245" s="32">
        <v>8.2000000000000003E-2</v>
      </c>
      <c r="N245" s="32">
        <v>9.8000000000000004E-2</v>
      </c>
      <c r="O245" s="32">
        <v>0.12</v>
      </c>
      <c r="P245" s="32">
        <v>0.104</v>
      </c>
      <c r="Q245" s="31">
        <v>4111755</v>
      </c>
      <c r="R245" s="37" t="s">
        <v>294</v>
      </c>
      <c r="S245" s="38" t="s">
        <v>294</v>
      </c>
      <c r="T245" s="38" t="s">
        <v>294</v>
      </c>
      <c r="U245" s="37" t="s">
        <v>294</v>
      </c>
      <c r="V245" s="38" t="s">
        <v>294</v>
      </c>
      <c r="W245" s="38" t="s">
        <v>294</v>
      </c>
      <c r="X245" s="37" t="s">
        <v>294</v>
      </c>
      <c r="Y245" s="38" t="s">
        <v>294</v>
      </c>
      <c r="Z245" s="38" t="s">
        <v>294</v>
      </c>
      <c r="AA245" s="37" t="s">
        <v>294</v>
      </c>
      <c r="AB245" s="38" t="s">
        <v>294</v>
      </c>
      <c r="AC245" s="38" t="s">
        <v>294</v>
      </c>
    </row>
    <row r="246" spans="1:30" ht="10.5" customHeight="1" x14ac:dyDescent="0.15">
      <c r="A246" s="30" t="s">
        <v>110</v>
      </c>
      <c r="B246" s="30">
        <v>4</v>
      </c>
      <c r="C246" s="31">
        <v>269389</v>
      </c>
      <c r="D246" s="31">
        <v>542185</v>
      </c>
      <c r="E246" s="31">
        <v>451942</v>
      </c>
      <c r="F246" s="31">
        <v>451942</v>
      </c>
      <c r="G246" s="31">
        <v>3367366</v>
      </c>
      <c r="H246" s="32">
        <v>0.13400000000000001</v>
      </c>
      <c r="I246" s="32">
        <v>0.13400000000000001</v>
      </c>
      <c r="J246" s="32">
        <v>0.161</v>
      </c>
      <c r="K246" s="32">
        <v>8.0000000000000002E-3</v>
      </c>
      <c r="L246" s="56">
        <f>Tabelle1[[#This Row],[Spalte12]]-Tabelle1[[#This Row],[Spalte11]]</f>
        <v>7.400000000000001E-2</v>
      </c>
      <c r="M246" s="32">
        <v>8.2000000000000003E-2</v>
      </c>
      <c r="N246" s="32">
        <v>9.8000000000000004E-2</v>
      </c>
      <c r="O246" s="32">
        <v>0.12</v>
      </c>
      <c r="P246" s="32">
        <v>8.1000000000000003E-2</v>
      </c>
      <c r="Q246" s="31">
        <v>5563878</v>
      </c>
      <c r="R246" s="33">
        <v>1.28</v>
      </c>
      <c r="S246" s="34">
        <v>232699</v>
      </c>
      <c r="T246" s="34">
        <v>181435</v>
      </c>
      <c r="U246" s="33">
        <v>1.99</v>
      </c>
      <c r="V246" s="34">
        <v>239361</v>
      </c>
      <c r="W246" s="34">
        <v>120321</v>
      </c>
      <c r="X246" s="33">
        <v>1.7</v>
      </c>
      <c r="Y246" s="34">
        <v>252417</v>
      </c>
      <c r="Z246" s="34">
        <v>148236</v>
      </c>
      <c r="AA246" s="33">
        <v>1.73</v>
      </c>
      <c r="AB246" s="34">
        <v>320499</v>
      </c>
      <c r="AC246" s="34">
        <v>185230</v>
      </c>
    </row>
    <row r="247" spans="1:30" ht="10.5" customHeight="1" x14ac:dyDescent="0.15">
      <c r="A247" s="30" t="s">
        <v>223</v>
      </c>
      <c r="B247" s="30">
        <v>5</v>
      </c>
      <c r="C247" s="35" t="s">
        <v>293</v>
      </c>
      <c r="D247" s="35" t="s">
        <v>293</v>
      </c>
      <c r="E247" s="35" t="s">
        <v>293</v>
      </c>
      <c r="F247" s="35" t="s">
        <v>293</v>
      </c>
      <c r="G247" s="35" t="s">
        <v>293</v>
      </c>
      <c r="H247" s="42" t="s">
        <v>293</v>
      </c>
      <c r="I247" s="42" t="s">
        <v>293</v>
      </c>
      <c r="J247" s="42" t="s">
        <v>293</v>
      </c>
      <c r="K247" s="42" t="s">
        <v>293</v>
      </c>
      <c r="L247" s="58" t="e">
        <f>Tabelle1[[#This Row],[Spalte12]]-Tabelle1[[#This Row],[Spalte11]]</f>
        <v>#VALUE!</v>
      </c>
      <c r="M247" s="42" t="s">
        <v>293</v>
      </c>
      <c r="N247" s="42" t="s">
        <v>293</v>
      </c>
      <c r="O247" s="42" t="s">
        <v>293</v>
      </c>
      <c r="P247" s="42" t="s">
        <v>293</v>
      </c>
      <c r="Q247" s="35" t="s">
        <v>293</v>
      </c>
      <c r="R247" s="37" t="s">
        <v>293</v>
      </c>
      <c r="S247" s="38" t="s">
        <v>293</v>
      </c>
      <c r="T247" s="38" t="s">
        <v>293</v>
      </c>
      <c r="U247" s="37" t="s">
        <v>293</v>
      </c>
      <c r="V247" s="38" t="s">
        <v>293</v>
      </c>
      <c r="W247" s="38" t="s">
        <v>293</v>
      </c>
      <c r="X247" s="37" t="s">
        <v>293</v>
      </c>
      <c r="Y247" s="38" t="s">
        <v>293</v>
      </c>
      <c r="Z247" s="38" t="s">
        <v>293</v>
      </c>
      <c r="AA247" s="37" t="s">
        <v>293</v>
      </c>
      <c r="AB247" s="38" t="s">
        <v>293</v>
      </c>
      <c r="AC247" s="38" t="s">
        <v>293</v>
      </c>
    </row>
    <row r="248" spans="1:30" ht="10.5" customHeight="1" x14ac:dyDescent="0.15">
      <c r="A248" s="30" t="s">
        <v>41</v>
      </c>
      <c r="B248" s="30">
        <v>4</v>
      </c>
      <c r="C248" s="31">
        <v>563802</v>
      </c>
      <c r="D248" s="31">
        <v>1284244</v>
      </c>
      <c r="E248" s="31">
        <v>1284244</v>
      </c>
      <c r="F248" s="31">
        <v>1284244</v>
      </c>
      <c r="G248" s="31">
        <v>7047526</v>
      </c>
      <c r="H248" s="32">
        <v>0.182</v>
      </c>
      <c r="I248" s="32">
        <v>0.182</v>
      </c>
      <c r="J248" s="32">
        <v>0.182</v>
      </c>
      <c r="K248" s="32">
        <v>1.0999999999999999E-2</v>
      </c>
      <c r="L248" s="56">
        <f>Tabelle1[[#This Row],[Spalte12]]-Tabelle1[[#This Row],[Spalte11]]</f>
        <v>7.400000000000001E-2</v>
      </c>
      <c r="M248" s="32">
        <v>8.5000000000000006E-2</v>
      </c>
      <c r="N248" s="32">
        <v>0.10100000000000001</v>
      </c>
      <c r="O248" s="32">
        <v>0.123</v>
      </c>
      <c r="P248" s="32">
        <v>0.08</v>
      </c>
      <c r="Q248" s="31">
        <v>15992337</v>
      </c>
      <c r="R248" s="33">
        <v>1.52</v>
      </c>
      <c r="S248" s="34">
        <v>2262639</v>
      </c>
      <c r="T248" s="34">
        <v>1489404</v>
      </c>
      <c r="U248" s="33">
        <v>1.44</v>
      </c>
      <c r="V248" s="34">
        <v>2015040</v>
      </c>
      <c r="W248" s="34">
        <v>1397506</v>
      </c>
      <c r="X248" s="33">
        <v>1.49</v>
      </c>
      <c r="Y248" s="34">
        <v>1919290</v>
      </c>
      <c r="Z248" s="34">
        <v>1288695</v>
      </c>
      <c r="AA248" s="33">
        <v>1.55</v>
      </c>
      <c r="AB248" s="34">
        <v>2161691</v>
      </c>
      <c r="AC248" s="34">
        <v>1393330</v>
      </c>
    </row>
    <row r="249" spans="1:30" ht="10.5" customHeight="1" x14ac:dyDescent="0.15">
      <c r="A249" s="30" t="s">
        <v>44</v>
      </c>
      <c r="B249" s="30">
        <v>5</v>
      </c>
      <c r="C249" s="31">
        <v>31957</v>
      </c>
      <c r="D249" s="31">
        <v>66898</v>
      </c>
      <c r="E249" s="31">
        <v>50099</v>
      </c>
      <c r="F249" s="31">
        <v>50099</v>
      </c>
      <c r="G249" s="31">
        <v>399461</v>
      </c>
      <c r="H249" s="32">
        <v>0.125</v>
      </c>
      <c r="I249" s="32">
        <v>0.125</v>
      </c>
      <c r="J249" s="32">
        <v>0.16700000000000001</v>
      </c>
      <c r="K249" s="32">
        <v>1.2E-2</v>
      </c>
      <c r="L249" s="56">
        <f>Tabelle1[[#This Row],[Spalte12]]-Tabelle1[[#This Row],[Spalte11]]</f>
        <v>7.0000000000000007E-2</v>
      </c>
      <c r="M249" s="32">
        <v>8.2000000000000003E-2</v>
      </c>
      <c r="N249" s="32">
        <v>9.7000000000000003E-2</v>
      </c>
      <c r="O249" s="32">
        <v>0.11700000000000001</v>
      </c>
      <c r="P249" s="32">
        <v>5.7000000000000002E-2</v>
      </c>
      <c r="Q249" s="31">
        <v>881946</v>
      </c>
      <c r="R249" s="33">
        <v>1.3</v>
      </c>
      <c r="S249" s="34">
        <v>55468</v>
      </c>
      <c r="T249" s="34">
        <v>42824</v>
      </c>
      <c r="U249" s="33">
        <v>1.4</v>
      </c>
      <c r="V249" s="34">
        <v>66580</v>
      </c>
      <c r="W249" s="34">
        <v>47692</v>
      </c>
      <c r="X249" s="33">
        <v>1.47</v>
      </c>
      <c r="Y249" s="34">
        <v>53460</v>
      </c>
      <c r="Z249" s="34">
        <v>36266</v>
      </c>
      <c r="AA249" s="33">
        <v>1.49</v>
      </c>
      <c r="AB249" s="34">
        <v>75754</v>
      </c>
      <c r="AC249" s="34">
        <v>50990</v>
      </c>
    </row>
    <row r="250" spans="1:30" x14ac:dyDescent="0.15">
      <c r="R250" s="24"/>
      <c r="S250" s="23"/>
      <c r="T250" s="23"/>
      <c r="U250" s="24"/>
      <c r="V250" s="23"/>
      <c r="W250" s="23"/>
      <c r="X250" s="24"/>
      <c r="Y250" s="23"/>
      <c r="Z250" s="23"/>
      <c r="AA250" s="24"/>
      <c r="AB250" s="23"/>
      <c r="AC250" s="23"/>
      <c r="AD250" s="23"/>
    </row>
    <row r="251" spans="1:30" ht="13" x14ac:dyDescent="0.15">
      <c r="A251" s="64" t="s">
        <v>299</v>
      </c>
      <c r="B251" s="63"/>
      <c r="C251" s="63"/>
      <c r="D251" s="63"/>
      <c r="E251" s="63"/>
      <c r="F251" s="63"/>
      <c r="G251" s="63"/>
      <c r="H251" s="63"/>
      <c r="I251" s="63"/>
      <c r="J251" s="63"/>
    </row>
    <row r="252" spans="1:30" s="43" customFormat="1" ht="21" customHeight="1" x14ac:dyDescent="0.15">
      <c r="A252" s="65" t="s">
        <v>300</v>
      </c>
      <c r="B252" s="65"/>
      <c r="C252" s="65"/>
      <c r="D252" s="65"/>
      <c r="E252" s="65"/>
      <c r="F252" s="65"/>
      <c r="G252" s="65"/>
      <c r="H252" s="65"/>
      <c r="I252" s="65"/>
      <c r="J252" s="65"/>
      <c r="K252" s="50"/>
      <c r="L252" s="59"/>
      <c r="M252" s="50"/>
      <c r="N252" s="50"/>
      <c r="O252" s="50"/>
      <c r="Q252" s="44"/>
      <c r="R252" s="45"/>
      <c r="S252" s="44"/>
      <c r="T252" s="44"/>
      <c r="U252" s="45"/>
      <c r="V252" s="44"/>
      <c r="W252" s="44"/>
      <c r="X252" s="45"/>
      <c r="Y252" s="44"/>
      <c r="Z252" s="44"/>
      <c r="AA252" s="45"/>
      <c r="AB252" s="44"/>
      <c r="AC252" s="44"/>
      <c r="AD252" s="44"/>
    </row>
    <row r="253" spans="1:30" s="4" customFormat="1" ht="13" x14ac:dyDescent="0.15">
      <c r="A253" s="46" t="s">
        <v>301</v>
      </c>
      <c r="B253" s="47" t="s">
        <v>297</v>
      </c>
      <c r="C253" s="48"/>
      <c r="D253" s="49"/>
      <c r="E253" s="48"/>
      <c r="F253" s="48"/>
      <c r="G253" s="48"/>
      <c r="H253" s="48"/>
      <c r="I253" s="48"/>
      <c r="J253" s="48"/>
      <c r="L253" s="51"/>
      <c r="Q253" s="3"/>
      <c r="R253" s="5"/>
      <c r="S253" s="3"/>
      <c r="T253" s="3"/>
      <c r="U253" s="5"/>
      <c r="V253" s="3"/>
      <c r="W253" s="3"/>
      <c r="X253" s="5"/>
      <c r="Y253" s="3"/>
      <c r="Z253" s="3"/>
      <c r="AA253" s="5"/>
      <c r="AB253" s="3"/>
      <c r="AC253" s="3"/>
      <c r="AD253" s="3"/>
    </row>
    <row r="254" spans="1:30" ht="13" x14ac:dyDescent="0.15">
      <c r="A254" s="63" t="s">
        <v>302</v>
      </c>
      <c r="B254" s="63"/>
      <c r="C254" s="63"/>
      <c r="D254" s="63"/>
      <c r="E254" s="63"/>
      <c r="F254" s="63"/>
      <c r="G254" s="63"/>
      <c r="H254" s="63"/>
      <c r="I254" s="63"/>
      <c r="J254" s="63"/>
    </row>
  </sheetData>
  <mergeCells count="7">
    <mergeCell ref="AA5:AC5"/>
    <mergeCell ref="X5:Z5"/>
    <mergeCell ref="U5:W5"/>
    <mergeCell ref="R5:T5"/>
    <mergeCell ref="A254:J254"/>
    <mergeCell ref="A251:J251"/>
    <mergeCell ref="A252:J252"/>
  </mergeCells>
  <phoneticPr fontId="10" type="noConversion"/>
  <hyperlinks>
    <hyperlink ref="B253" r:id="rId1" display="Link zum Termsheet" xr:uid="{00000000-0004-0000-0000-000000000000}"/>
  </hyperlinks>
  <pageMargins left="0.70866141732283472" right="0.70866141732283472" top="0.78740157480314965" bottom="0.78740157480314965" header="0.31496062992125984" footer="0.31496062992125984"/>
  <pageSetup paperSize="9" scale="76" fitToWidth="2" fitToHeight="0" orientation="landscape" r:id="rId2"/>
  <headerFooter>
    <oddFooter>&amp;LFINMA Key Metrics 2019&amp;R&amp;P/&amp;N</oddFooter>
  </headerFooter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264684889915D542B8CD0A938EE5FA44" ma:contentTypeVersion="18" ma:contentTypeDescription="Create a new document." ma:contentTypeScope="" ma:versionID="3081f4961008198652fcd40a5a1605bc">
  <xsd:schema xmlns:xsd="http://www.w3.org/2001/XMLSchema" xmlns:xs="http://www.w3.org/2001/XMLSchema" xmlns:p="http://schemas.microsoft.com/office/2006/metadata/properties" xmlns:ns2="02a753c1-189a-4480-9915-9f76792c4285" targetNamespace="http://schemas.microsoft.com/office/2006/metadata/properties" ma:root="true" ma:fieldsID="f866ea6b599aa1738ffb71d63be806b8" ns2:_="">
    <xsd:import namespace="02a753c1-189a-4480-9915-9f76792c428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753c1-189a-4480-9915-9f76792c428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>
      <xsd:simpleType>
        <xsd:restriction base="dms:DateTime"/>
      </xsd:simpleType>
    </xsd:element>
    <xsd:element name="FinmaCaseDescription" ma:index="12" nillable="true" ma:displayName="Geschäfts Bezeichnung" ma:default="Publikation Key Metrics 2020 (G01292426)" ma:internalName="FinmaCaseDescription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default="10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485fb70-995d-4fc0-8aba-c8a687f07ccb}" ma:internalName="TaxCatchAll" ma:showField="CatchAllData" ma:web="02a753c1-189a-4480-9915-9f76792c4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2485fb70-995d-4fc0-8aba-c8a687f07ccb}" ma:internalName="TaxCatchAllLabel" ma:readOnly="true" ma:showField="CatchAllDataLabel" ma:web="02a753c1-189a-4480-9915-9f76792c4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292426" ma:internalName="FinmaCaseID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fieldId="{71f5c653-6ac6-48a3-8ad6-63cdf8bd44e6}" ma:taxonomyMulti="true" ma:sspId="1614e331-078d-4830-aac2-889f77d1de05" ma:termSetId="ed3c0ee0-7bc7-4e20-9946-8a4013afb4ce" ma:anchorId="b8a6989e-e76f-4774-acf1-aefa80db9fdf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>
      <xsd:simpleType>
        <xsd:restriction base="dms:Boolean"/>
      </xsd:simpleType>
    </xsd:element>
    <xsd:element name="FinmaValidationDate" ma:index="25" nillable="true" ma:displayName="Prüfzeitpunkt" ma:format="DateTime" ma:internalName="FinmaValidationDate">
      <xsd:simpleType>
        <xsd:restriction base="dms:DateTime"/>
      </xsd:simpleType>
    </xsd:element>
    <xsd:element name="FinmaValidationResult" ma:index="27" nillable="true" ma:displayName="ValidationResults" ma:internalName="FinmaValidationResult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2a753c1-189a-4480-9915-9f76792c4285">G01292426-000004</_dlc_DocId>
    <_dlc_DocIdUrl xmlns="02a753c1-189a-4480-9915-9f76792c4285">
      <Url>https://gdok.finma.ch/container/572/_layouts/15/DocIdRedir.aspx?ID=G01292426-000004</Url>
      <Description>G01292426-000004</Description>
    </_dlc_DocIdUrl>
    <FinmaObjectName xmlns="02a753c1-189a-4480-9915-9f76792c4285">Eidgenössische Finanzmarktaufsicht FINMA (F00164912)</FinmaObjectName>
    <FinmaObjectId xmlns="02a753c1-189a-4480-9915-9f76792c4285">F00164912</FinmaObjectId>
    <g1c9cab47ab34847b4ac830bba5063b0 xmlns="02a753c1-189a-4480-9915-9f76792c4285">
      <Terms xmlns="http://schemas.microsoft.com/office/infopath/2007/PartnerControls"/>
    </g1c9cab47ab34847b4ac830bba5063b0>
    <FinmaCaseID xmlns="02a753c1-189a-4480-9915-9f76792c4285">G01292426</FinmaCaseID>
    <h5452bf913d342ef967d06fb0970c0a5 xmlns="02a753c1-189a-4480-9915-9f76792c4285">
      <Terms xmlns="http://schemas.microsoft.com/office/infopath/2007/PartnerControls"/>
    </h5452bf913d342ef967d06fb0970c0a5>
    <n1f5c6536ac648a38ad663cdf8bd44e6 xmlns="02a753c1-189a-4480-9915-9f76792c4285">
      <Terms xmlns="http://schemas.microsoft.com/office/infopath/2007/PartnerControls"/>
    </n1f5c6536ac648a38ad663cdf8bd44e6>
    <f6ac7f7711e24d149a1ab98f6cfad432 xmlns="02a753c1-189a-4480-9915-9f76792c428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FinmaPasswordProtected xmlns="02a753c1-189a-4480-9915-9f76792c4285">false</FinmaPasswordProtected>
    <FinmaCaseDescription xmlns="02a753c1-189a-4480-9915-9f76792c4285">Publikation Key Metrics 2020 (G01292426)</FinmaCaseDescription>
    <FinmaDocumentDate xmlns="02a753c1-189a-4480-9915-9f76792c4285">2020-06-26T12:25:24+00:00</FinmaDocumentDate>
    <FinmaValidationDate xmlns="02a753c1-189a-4480-9915-9f76792c4285">2020-07-15T09:18:47+00:00</FinmaValidationDate>
    <FinmaValidationResult xmlns="02a753c1-189a-4480-9915-9f76792c4285" xsi:nil="true"/>
    <Aktionswert xmlns="02a753c1-189a-4480-9915-9f76792c4285" xsi:nil="true"/>
    <TaxCatchAll xmlns="02a753c1-189a-4480-9915-9f76792c4285">
      <Value>10</Value>
    </TaxCatchAl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37FF6F6-0FAF-4D01-9B4A-EDC45241D6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753c1-189a-4480-9915-9f76792c4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070294-8B0D-40E4-80A7-F0FFB86F597C}">
  <ds:schemaRefs>
    <ds:schemaRef ds:uri="http://schemas.microsoft.com/office/2006/metadata/properties"/>
    <ds:schemaRef ds:uri="http://schemas.microsoft.com/office/infopath/2007/PartnerControls"/>
    <ds:schemaRef ds:uri="02a753c1-189a-4480-9915-9f76792c4285"/>
  </ds:schemaRefs>
</ds:datastoreItem>
</file>

<file path=customXml/itemProps3.xml><?xml version="1.0" encoding="utf-8"?>
<ds:datastoreItem xmlns:ds="http://schemas.openxmlformats.org/officeDocument/2006/customXml" ds:itemID="{8A10B86C-2A10-423F-9755-80DC4238C1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7CE760-185A-483E-8412-22990015226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Tabelle1</vt:lpstr>
      <vt:lpstr>KeyMetrics2019</vt:lpstr>
      <vt:lpstr>KeyMetrics2019!Druckbereich</vt:lpstr>
      <vt:lpstr>KeyMetrics2019!Drucktitel</vt:lpstr>
    </vt:vector>
  </TitlesOfParts>
  <Company>FINMA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Natalia Alessia Jacob</cp:lastModifiedBy>
  <cp:lastPrinted>2020-07-15T09:18:39Z</cp:lastPrinted>
  <dcterms:created xsi:type="dcterms:W3CDTF">2019-06-03T15:39:55Z</dcterms:created>
  <dcterms:modified xsi:type="dcterms:W3CDTF">2026-02-23T14:39:04Z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pic">
    <vt:lpwstr/>
  </property>
  <property fmtid="{D5CDD505-2E9C-101B-9397-08002B2CF9AE}" pid="3" name="OSP">
    <vt:lpwstr>11;#4-01.9 Verschiedenes|e6fcb4e3-30b0-4407-a767-d767f5fd947e</vt:lpwstr>
  </property>
  <property fmtid="{D5CDD505-2E9C-101B-9397-08002B2CF9AE}" pid="4" name="OU">
    <vt:lpwstr>2;#B-ANI|72e08c1a-6daa-4ddd-9fb5-697ff07cf528</vt:lpwstr>
  </property>
  <property fmtid="{D5CDD505-2E9C-101B-9397-08002B2CF9AE}" pid="5" name="ContentTypeId">
    <vt:lpwstr>0x0101003A499141982C43AFAF241BDE541C18D500264684889915D542B8CD0A938EE5FA44</vt:lpwstr>
  </property>
  <property fmtid="{D5CDD505-2E9C-101B-9397-08002B2CF9AE}" pid="6" name="_dlc_DocIdItemGuid">
    <vt:lpwstr>0675c3b8-04a3-4b93-a6a8-6258dabf45c1</vt:lpwstr>
  </property>
  <property fmtid="{D5CDD505-2E9C-101B-9397-08002B2CF9AE}" pid="7" name="FinmaCaseStatus">
    <vt:lpwstr>10;#Aktiv|7439e81f-a110-4e88-a7af-acf8d4806223</vt:lpwstr>
  </property>
  <property fmtid="{D5CDD505-2E9C-101B-9397-08002B2CF9AE}" pid="8" name="FinmaCrmEntityIDs">
    <vt:lpwstr/>
  </property>
  <property fmtid="{D5CDD505-2E9C-101B-9397-08002B2CF9AE}" pid="9" name="FinmaCatchphrases">
    <vt:lpwstr/>
  </property>
  <property fmtid="{D5CDD505-2E9C-101B-9397-08002B2CF9AE}" pid="10" name="FinmaCategory">
    <vt:lpwstr/>
  </property>
</Properties>
</file>