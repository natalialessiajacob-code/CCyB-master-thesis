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filterPrivacy="1"/>
  <xr:revisionPtr revIDLastSave="0" documentId="13_ncr:1_{24FEA34F-C1F3-0A44-BDD3-4184F9029F38}" xr6:coauthVersionLast="47" xr6:coauthVersionMax="47" xr10:uidLastSave="{00000000-0000-0000-0000-000000000000}"/>
  <bookViews>
    <workbookView xWindow="13900" yWindow="1700" windowWidth="27420" windowHeight="16300" xr2:uid="{00000000-000D-0000-FFFF-FFFF00000000}"/>
  </bookViews>
  <sheets>
    <sheet name="Tabelle1" sheetId="18" r:id="rId1"/>
    <sheet name="Key Metrics 2024" sheetId="17" r:id="rId2"/>
  </sheets>
  <definedNames>
    <definedName name="_xlnm.Print_Area" localSheetId="1">'Key Metrics 2024'!$A$1:$AC$176</definedName>
    <definedName name="_xlnm.Print_Titles" localSheetId="1">'Key Metrics 2024'!$6:$7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7" l="1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</calcChain>
</file>

<file path=xl/sharedStrings.xml><?xml version="1.0" encoding="utf-8"?>
<sst xmlns="http://schemas.openxmlformats.org/spreadsheetml/2006/main" count="430" uniqueCount="233">
  <si>
    <t>Name</t>
  </si>
  <si>
    <t>Entris Banking AG</t>
  </si>
  <si>
    <t>Valiant Bank AG</t>
  </si>
  <si>
    <t>Alpha RHEINTAL Bank AG</t>
  </si>
  <si>
    <t>Caisse d'Epargne et de Crédit Mutuel de Chermignon société coopérative</t>
  </si>
  <si>
    <t>Bezirks-Sparkasse Dielsdorf Genossenschaft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</si>
  <si>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</si>
  <si>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</si>
  <si>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</si>
  <si>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</si>
  <si>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</si>
  <si>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</si>
  <si>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</si>
  <si>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</si>
  <si>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</si>
  <si>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du Jura SA</t>
  </si>
  <si>
    <t>Banque Cantonale du Valais</t>
  </si>
  <si>
    <t>Thurgauer Kantonalbank</t>
  </si>
  <si>
    <t>BANK ZIMMERBERG AG</t>
  </si>
  <si>
    <t>Bank EKI Genossenschaft</t>
  </si>
  <si>
    <t>Spar+Leihkasse Riggisberg AG</t>
  </si>
  <si>
    <t>Hypothekarbank Lenzburg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</si>
  <si>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</si>
  <si>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</si>
  <si>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</si>
  <si>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</si>
  <si>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</si>
  <si>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Schaffhauser Kantonalbank</t>
  </si>
  <si>
    <t>Schwyzer Kantonalbank</t>
  </si>
  <si>
    <t>Zuger Kantonalbank</t>
  </si>
  <si>
    <t>Zürcher Landbank AG</t>
  </si>
  <si>
    <t>Regiobank Solothurn AG</t>
  </si>
  <si>
    <t>Caisse d'Epargne Riviera, société coopérative</t>
  </si>
  <si>
    <t>Cornèr Banca SA</t>
  </si>
  <si>
    <t>Bank Julius Bär &amp; Co. AG</t>
  </si>
  <si>
    <t>Privatbank IHAG Zürich AG</t>
  </si>
  <si>
    <t>Lienhardt &amp; Partner Privatbank Zürich AG</t>
  </si>
  <si>
    <t>EFG Bank European Financial Group SA</t>
  </si>
  <si>
    <t>Bank Vontobel AG</t>
  </si>
  <si>
    <t>VP Bank (Schweiz) AG</t>
  </si>
  <si>
    <t>Bank J. Safra Sarasin AG</t>
  </si>
  <si>
    <t>Deutsche Bank (Suisse) SA</t>
  </si>
  <si>
    <t>J.P. Morgan (Suisse) SA</t>
  </si>
  <si>
    <t>BANCA DEL SEMPIONE SA</t>
  </si>
  <si>
    <t>DZ PRIVATBANK (Schweiz) AG</t>
  </si>
  <si>
    <t>ODDO BHF (Schweiz) AG</t>
  </si>
  <si>
    <t>Habib Bank AG Zürich</t>
  </si>
  <si>
    <t>Piguet Galland &amp; Cie SA</t>
  </si>
  <si>
    <t>Rothschild &amp; Co Bank AG</t>
  </si>
  <si>
    <t>Ersparniskasse Rüeggisberg Genossenschaft</t>
  </si>
  <si>
    <t>SB Saanen Bank AG</t>
  </si>
  <si>
    <t>Bank Cler AG</t>
  </si>
  <si>
    <t>SELVI &amp; Cie SA</t>
  </si>
  <si>
    <t>REYL &amp; Cie SA</t>
  </si>
  <si>
    <t>Gonet &amp; Cie SA</t>
  </si>
  <si>
    <t>Banque Lombard Odier &amp; Cie SA</t>
  </si>
  <si>
    <t>Credit Europe Bank (Suisse) SA</t>
  </si>
  <si>
    <t>Privatbank Bellerive AG</t>
  </si>
  <si>
    <t>Mercantil Bank (Schweiz) AG</t>
  </si>
  <si>
    <t>Bank BSU Genossenschaft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</si>
  <si>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</si>
  <si>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</si>
  <si>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</si>
  <si>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</si>
  <si>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</si>
  <si>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</si>
  <si>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</si>
  <si>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</si>
  <si>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</si>
  <si>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</si>
  <si>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</si>
  <si>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Hyposwiss Private Bank Genève SA</t>
  </si>
  <si>
    <t>SAXO BANK (SCHWEIZ) AG</t>
  </si>
  <si>
    <t>CA Indosuez (Switzerland) SA</t>
  </si>
  <si>
    <t>UNION BANCAIRE PRIVEE, UBP SA</t>
  </si>
  <si>
    <t>Frankfurter Bankgesellschaft (Schweiz) AG</t>
  </si>
  <si>
    <t>Aargauische Kantonalbank</t>
  </si>
  <si>
    <t>Fidurhône SA</t>
  </si>
  <si>
    <t>Delen (Suisse) SA</t>
  </si>
  <si>
    <t>Scobag Privatbank AG</t>
  </si>
  <si>
    <t>SOCIETE GENERALE Private Banking (Suisse) SA</t>
  </si>
  <si>
    <t>CIM BANQUE SA</t>
  </si>
  <si>
    <t>Banca Popolare di Sondrio (Suisse) SA</t>
  </si>
  <si>
    <t>AXION SWISS BANK SA</t>
  </si>
  <si>
    <t>Banca Aletti &amp; C. (Suisse) SA</t>
  </si>
  <si>
    <t>Quantus AG</t>
  </si>
  <si>
    <t>BANQUE HERITAGE SA</t>
  </si>
  <si>
    <t>Quilvest (Switzerland) Ltd.</t>
  </si>
  <si>
    <t>BNP Paribas (Suisse) SA</t>
  </si>
  <si>
    <t>Vontobel Holding AG</t>
  </si>
  <si>
    <t>Valiant Holding AG</t>
  </si>
  <si>
    <t>Edmond de Rothschild Holding SA</t>
  </si>
  <si>
    <t>HSBC Private Bank (Suisse) SA</t>
  </si>
  <si>
    <t>Crédit Agricole next bank (Suisse) SA</t>
  </si>
  <si>
    <t>Swissquote Bank SA</t>
  </si>
  <si>
    <t>BANCA ZARATTINI &amp; CO. SA</t>
  </si>
  <si>
    <t>J. Safra Sarasin Holding AG</t>
  </si>
  <si>
    <t>Swissquote Group Holding SA</t>
  </si>
  <si>
    <t>SeeBeteiligungs AG</t>
  </si>
  <si>
    <t>Financière SYZ SA</t>
  </si>
  <si>
    <t>NPB Neue Privat Bank AG</t>
  </si>
  <si>
    <t>LGT Bank (Schweiz) AG</t>
  </si>
  <si>
    <t>Banque Cramer &amp; Cie SA</t>
  </si>
  <si>
    <t>Clientis AG</t>
  </si>
  <si>
    <t>FAB Private Bank (Suisse) SA</t>
  </si>
  <si>
    <t>EFG International AG</t>
  </si>
  <si>
    <t>Dukascopy Bank SA</t>
  </si>
  <si>
    <t>VZ Depotbank AG</t>
  </si>
  <si>
    <t>Bank-now AG</t>
  </si>
  <si>
    <t>HINDUJA SUISSE HOLDING SA</t>
  </si>
  <si>
    <t>VZ Holding AG</t>
  </si>
  <si>
    <t>bank zweiplus ag</t>
  </si>
  <si>
    <t>QNB (Suisse) SA</t>
  </si>
  <si>
    <t>Bank von Roll AG</t>
  </si>
  <si>
    <t>Swiss Bankers Prepaid Services AG</t>
  </si>
  <si>
    <t>Julius Bär Gruppe AG</t>
  </si>
  <si>
    <t>Helvetische Bank AG</t>
  </si>
  <si>
    <t>Cembra Money Bank AG</t>
  </si>
  <si>
    <t>Banque du Léman SA</t>
  </si>
  <si>
    <t>Banque Internationale de Commerce - BRED (Suisse) SA</t>
  </si>
  <si>
    <t>Groupe Mirabaud</t>
  </si>
  <si>
    <t>Banco Santander International SA</t>
  </si>
  <si>
    <t>Bank Avera Genossenschaft</t>
  </si>
  <si>
    <t>Remaco Asset Management AG</t>
  </si>
  <si>
    <t>Sygnum Bank AG</t>
  </si>
  <si>
    <t>1. Quartal</t>
  </si>
  <si>
    <t>2. Quartal</t>
  </si>
  <si>
    <t>3. Quartal</t>
  </si>
  <si>
    <t>4. Quartal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</si>
  <si>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</si>
  <si>
    <t>Anrechenbare Eigenmittel</t>
  </si>
  <si>
    <t>davon hartes Kernkapital (CET1)</t>
  </si>
  <si>
    <t>davon Kernkapital (T1)</t>
  </si>
  <si>
    <t>CET1-Quote (CET1 in % der RWA)</t>
  </si>
  <si>
    <t>Kernkapital-quote (T1 in % der RWA)</t>
  </si>
  <si>
    <t>Gesamtkapital-
quote (in % 
der RWA)</t>
  </si>
  <si>
    <t>LCR</t>
  </si>
  <si>
    <t>Zähler der LCR (HQLA)</t>
  </si>
  <si>
    <t>Nenner der LCR (Net Outflow)</t>
  </si>
  <si>
    <t>in TCHF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</si>
  <si>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</si>
  <si>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</si>
  <si>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</si>
  <si>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</si>
  <si>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</si>
  <si>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</si>
  <si>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</si>
  <si>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</si>
  <si>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</si>
  <si>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</si>
  <si>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</si>
  <si>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</si>
  <si>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</si>
  <si>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</si>
  <si>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</si>
  <si>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</si>
  <si>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</si>
  <si>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</si>
  <si>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</si>
  <si>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</si>
  <si>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</si>
  <si>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</si>
  <si>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</si>
  <si>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</si>
  <si>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</si>
  <si>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</si>
  <si>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</si>
  <si>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</si>
  <si>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BANQUE AUDI (SUISSE) SA</t>
  </si>
  <si>
    <t>NBK Private Bank (Switzerland) Ltd</t>
  </si>
  <si>
    <t>S.P. Hinduja Banque Privée SA</t>
  </si>
  <si>
    <t>Mindest-
eigenmittel (RWA-basiert)</t>
  </si>
  <si>
    <t>Basel III Leverage
Ratio</t>
  </si>
  <si>
    <t>Gesamt-
engagement</t>
  </si>
  <si>
    <t>Banque Eric Sturdza SA</t>
  </si>
  <si>
    <t>Banque Internationale à Luxembourg (Suisse) SA</t>
  </si>
  <si>
    <t>BBVA SA</t>
  </si>
  <si>
    <t>BERGOS AG</t>
  </si>
  <si>
    <t>Crypto Finance AG</t>
  </si>
  <si>
    <t>InCore Bank AG</t>
  </si>
  <si>
    <t>Kaleido Privatbank AG</t>
  </si>
  <si>
    <t>NEUTRAL HOLDING S.A. SPF</t>
  </si>
  <si>
    <t>Obwaldner Kantonalbank</t>
  </si>
  <si>
    <t>ONE swiss bank SA</t>
  </si>
  <si>
    <t>Taurus SA</t>
  </si>
  <si>
    <t>Spalte29</t>
  </si>
  <si>
    <t>Spalte30</t>
  </si>
  <si>
    <t>Spalte31</t>
  </si>
  <si>
    <t>NSFR</t>
  </si>
  <si>
    <t>Zähler der NSFR (ASF)</t>
  </si>
  <si>
    <t>Nenner der NSFR (RSF)</t>
  </si>
  <si>
    <t>Groupe Pictet</t>
  </si>
  <si>
    <t>Alpian SA</t>
  </si>
  <si>
    <t>Baloise Bank AG</t>
  </si>
  <si>
    <t>BANQUE BANORIENT (SUISSE) SA</t>
  </si>
  <si>
    <t>Banque Syz SA</t>
  </si>
  <si>
    <t>BZ Bank Aktiengesellschaft</t>
  </si>
  <si>
    <t>Groupe Eric Sturdza SA</t>
  </si>
  <si>
    <t>Maerki Baumann &amp; Co. AG</t>
  </si>
  <si>
    <t>Nidwaldner Kantonalbank</t>
  </si>
  <si>
    <t>PKB PRIVATE BANK SA</t>
  </si>
  <si>
    <t>radicant bank ag</t>
  </si>
  <si>
    <t>Sparhafen Bank AG</t>
  </si>
  <si>
    <t>Sparhafen Genossenschaft</t>
  </si>
  <si>
    <t>TradeXBank AG</t>
  </si>
  <si>
    <t>Antizyklischer Puffer (AZP; in % der RWA)</t>
  </si>
  <si>
    <t>CET1-Zielquote
inkl. AZP</t>
  </si>
  <si>
    <t>T1-Zielquote
inkl. AZP</t>
  </si>
  <si>
    <t>Gesamtkapital-
Zielquote inkl. AZP</t>
  </si>
  <si>
    <t>2)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</si>
  <si>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Holding- und Gruppengesellschaften sind unter bestimmten Voraussetzungen von der Offenlegung der Liquiditätskennzahlen befreit (Rz 8 Rundschreiben 2016/1 "Offenlegung - Banken" bzw. Art. 14 Liquiditätsverordnung (LiqV) bzw. Rz 104 ff. Rundschreiben 2015/2 "Liquiditätsrisiken - Banken").</t>
    </r>
  </si>
  <si>
    <t>Banque Cantonale Neuchâteloise</t>
  </si>
  <si>
    <t>Risiko-gewichtete Aktiven (RWA)</t>
  </si>
  <si>
    <t>AMINA Bank AG</t>
  </si>
  <si>
    <t>BG (Suisse) Private Bank SA</t>
  </si>
  <si>
    <t>Cité Gestion SA</t>
  </si>
  <si>
    <t>ISP Group AG</t>
  </si>
  <si>
    <t>ISP Securities AG</t>
  </si>
  <si>
    <t>LLB (Schweiz) AG</t>
  </si>
  <si>
    <t>MBaer Merchant Bank AG</t>
  </si>
  <si>
    <t>Van Lanschot Kempen (Schweiz) AG</t>
  </si>
  <si>
    <t>FINMA-Publikation von Key Metrics 2024</t>
  </si>
  <si>
    <t>Offenlegung gemäss Rundschreiben 2016/1 "Offenlegung - Banken" per 31.12.2024</t>
  </si>
  <si>
    <t>Arab Bank (Switzerland) Ltd.</t>
  </si>
  <si>
    <t>Banca Credinvest SA</t>
  </si>
  <si>
    <t>Incore Holding AG</t>
  </si>
  <si>
    <t>Tellco Bank AG</t>
  </si>
  <si>
    <r>
      <t>1)</t>
    </r>
    <r>
      <rPr>
        <sz val="7"/>
        <rFont val="Arial"/>
        <family val="2"/>
      </rPr>
      <t xml:space="preserve"> Die Kategorie nach BankV Art. 2 Abs. 2 bezieht sich auf den Stichtag 31.12.2024.</t>
    </r>
  </si>
  <si>
    <t>Spalte112</t>
  </si>
  <si>
    <t>CET1 Ziel ohne AZP</t>
  </si>
  <si>
    <t>Summe von Risiko-gewichtete Aktiven (RWA)</t>
  </si>
  <si>
    <t>Zeilenbeschriftungen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</si>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</sst>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theme="1"/>
      <name val="Arial"/>
      <family val="2"/>
    </font>
    <font>
      <u/>
      <sz val="10"/>
      <color theme="10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vertAlign val="superscript"/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7" fillId="0" borderId="0" xfId="2" applyFont="1"/>
    <xf numFmtId="0" fontId="5" fillId="0" borderId="0" xfId="0" applyFont="1" applyAlignment="1">
      <alignment wrapText="1"/>
    </xf>
    <xf numFmtId="3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164" fontId="7" fillId="0" borderId="0" xfId="1" applyNumberFormat="1" applyFont="1" applyFill="1" applyBorder="1" applyAlignment="1" applyProtection="1">
      <alignment horizontal="right" wrapText="1"/>
    </xf>
    <xf numFmtId="9" fontId="7" fillId="0" borderId="0" xfId="1" applyFont="1" applyFill="1" applyBorder="1" applyAlignment="1" applyProtection="1">
      <alignment horizontal="right" wrapText="1"/>
    </xf>
    <xf numFmtId="9" fontId="7" fillId="0" borderId="1" xfId="1" applyFont="1" applyFill="1" applyBorder="1" applyAlignment="1" applyProtection="1">
      <alignment horizontal="right" wrapText="1"/>
    </xf>
    <xf numFmtId="9" fontId="7" fillId="0" borderId="2" xfId="1" applyFont="1" applyFill="1" applyBorder="1" applyAlignment="1" applyProtection="1">
      <alignment horizontal="right" wrapText="1"/>
    </xf>
    <xf numFmtId="164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9" fontId="3" fillId="0" borderId="1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164" fontId="3" fillId="0" borderId="0" xfId="1" applyNumberFormat="1" applyFont="1"/>
    <xf numFmtId="9" fontId="13" fillId="0" borderId="0" xfId="3" applyNumberFormat="1" applyFont="1" applyAlignment="1" applyProtection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right"/>
    </xf>
    <xf numFmtId="164" fontId="14" fillId="0" borderId="0" xfId="1" applyNumberFormat="1" applyFont="1"/>
    <xf numFmtId="0" fontId="14" fillId="0" borderId="0" xfId="0" applyFont="1"/>
    <xf numFmtId="3" fontId="14" fillId="0" borderId="0" xfId="0" applyNumberFormat="1" applyFont="1"/>
    <xf numFmtId="164" fontId="14" fillId="0" borderId="0" xfId="0" applyNumberFormat="1" applyFont="1"/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2" borderId="3" xfId="0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9" fontId="3" fillId="2" borderId="3" xfId="0" applyNumberFormat="1" applyFont="1" applyFill="1" applyBorder="1" applyAlignment="1">
      <alignment horizontal="right"/>
    </xf>
    <xf numFmtId="164" fontId="3" fillId="2" borderId="3" xfId="1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9" fontId="3" fillId="0" borderId="3" xfId="0" applyNumberFormat="1" applyFont="1" applyBorder="1" applyAlignment="1">
      <alignment horizontal="right"/>
    </xf>
    <xf numFmtId="164" fontId="3" fillId="0" borderId="3" xfId="1" applyNumberFormat="1" applyFont="1" applyBorder="1" applyAlignment="1">
      <alignment horizontal="right"/>
    </xf>
    <xf numFmtId="0" fontId="3" fillId="2" borderId="4" xfId="0" applyFont="1" applyFill="1" applyBorder="1"/>
    <xf numFmtId="0" fontId="3" fillId="0" borderId="4" xfId="0" applyFont="1" applyBorder="1"/>
    <xf numFmtId="0" fontId="15" fillId="3" borderId="0" xfId="0" applyFont="1" applyFill="1"/>
    <xf numFmtId="0" fontId="15" fillId="3" borderId="1" xfId="0" applyFont="1" applyFill="1" applyBorder="1"/>
    <xf numFmtId="3" fontId="15" fillId="3" borderId="1" xfId="0" applyNumberFormat="1" applyFont="1" applyFill="1" applyBorder="1"/>
    <xf numFmtId="164" fontId="15" fillId="3" borderId="1" xfId="0" applyNumberFormat="1" applyFont="1" applyFill="1" applyBorder="1"/>
    <xf numFmtId="9" fontId="15" fillId="3" borderId="1" xfId="0" applyNumberFormat="1" applyFont="1" applyFill="1" applyBorder="1"/>
    <xf numFmtId="9" fontId="12" fillId="0" borderId="3" xfId="0" applyNumberFormat="1" applyFont="1" applyBorder="1" applyAlignment="1">
      <alignment horizontal="right"/>
    </xf>
    <xf numFmtId="3" fontId="12" fillId="2" borderId="3" xfId="0" applyNumberFormat="1" applyFont="1" applyFill="1" applyBorder="1" applyAlignment="1">
      <alignment horizontal="right"/>
    </xf>
    <xf numFmtId="9" fontId="12" fillId="2" borderId="3" xfId="0" applyNumberFormat="1" applyFont="1" applyFill="1" applyBorder="1" applyAlignment="1">
      <alignment horizontal="right"/>
    </xf>
    <xf numFmtId="164" fontId="12" fillId="2" borderId="3" xfId="1" applyNumberFormat="1" applyFont="1" applyFill="1" applyBorder="1" applyAlignment="1">
      <alignment horizontal="right"/>
    </xf>
    <xf numFmtId="9" fontId="5" fillId="0" borderId="1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rgb="FFDDEBF7"/>
          <bgColor rgb="FFDDEBF7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3" formatCode="#,##0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77931</xdr:colOff>
      <xdr:row>0</xdr:row>
      <xdr:rowOff>51954</xdr:rowOff>
    </xdr:from>
    <xdr:to>
      <xdr:col>13</xdr:col>
      <xdr:colOff>165653</xdr:colOff>
      <xdr:row>4</xdr:row>
      <xdr:rowOff>247650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D0E5436-591F-411F-B17A-0A29DC0AE316}"/>
            </a:ext>
          </a:extLst>
        </xdr:cNvPr>
        <xdr:cNvSpPr txBox="1"/>
      </xdr:nvSpPr>
      <xdr:spPr>
        <a:xfrm>
          <a:off x="8974281" y="51954"/>
          <a:ext cx="3250022" cy="1395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T1: Kernkapital (Tier 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76.549135763889" createdVersion="8" refreshedVersion="8" minRefreshableVersion="3" recordCount="167" xr:uid="{4774F483-D72D-D64B-B331-C35647860C64}">
  <cacheSource type="worksheet">
    <worksheetSource ref="A6:AF173" sheet="Key Metrics 2024"/>
  </cacheSource>
  <cacheFields count="32">
    <cacheField name="Name" numFmtId="0">
      <sharedItems containsBlank="1" count="167">
        <m/>
        <s v="Spalte1"/>
        <s v="Aargauische Kantonalbank"/>
        <s v="Alpha RHEINTAL Bank AG"/>
        <s v="Alpian SA"/>
        <s v="AMINA Bank AG"/>
        <s v="Appenzeller Kantonalbank"/>
        <s v="Arab Bank (Switzerland) Ltd."/>
        <s v="AXION SWISS BANK SA"/>
        <s v="Baloise Bank AG"/>
        <s v="Banca Aletti &amp; C. (Suisse) SA"/>
        <s v="Banca Credinvest SA"/>
        <s v="BANCA DEL SEMPIONE SA"/>
        <s v="Banca dello Stato del Cantone Ticino"/>
        <s v="Banca Popolare di Sondrio (Suisse) SA"/>
        <s v="BANCA ZARATTINI &amp; CO. SA"/>
        <s v="Banco Santander International SA"/>
        <s v="Bank Avera Genossenschaft"/>
        <s v="Bank BSU Genossenschaft"/>
        <s v="Bank CIC (Schweiz) AG"/>
        <s v="Bank Cler AG"/>
        <s v="Bank EKI Genossenschaft"/>
        <s v="Bank J. Safra Sarasin AG"/>
        <s v="Bank Julius Bär &amp; Co. AG"/>
        <s v="Bank von Roll AG"/>
        <s v="Bank Vontobel AG"/>
        <s v="BANK ZIMMERBERG AG"/>
        <s v="bank zweiplus ag"/>
        <s v="Bank-now AG"/>
        <s v="BANQUE AUDI (SUISSE) SA"/>
        <s v="BANQUE BANORIENT (SUISSE) SA"/>
        <s v="Banque Cantonale de Fribourg"/>
        <s v="Banque Cantonale de Genève"/>
        <s v="Banque Cantonale du Jura SA"/>
        <s v="Banque Cantonale du Valais"/>
        <s v="Banque Cantonale Neuchâteloise"/>
        <s v="Banque Cantonale Vaudoise"/>
        <s v="Banque Cramer &amp; Cie SA"/>
        <s v="Banque de Commerce et de Placements SA"/>
        <s v="Banque du Léman SA"/>
        <s v="Banque Eric Sturdza SA"/>
        <s v="BANQUE HERITAGE SA"/>
        <s v="Banque Internationale à Luxembourg (Suisse) SA"/>
        <s v="Banque Internationale de Commerce - BRED (Suisse) SA"/>
        <s v="Banque Lombard Odier &amp; Cie SA"/>
        <s v="Banque Syz SA"/>
        <s v="Barclays Bank (Suisse) SA"/>
        <s v="Basellandschaftliche Kantonalbank"/>
        <s v="Basler Kantonalbank"/>
        <s v="BBVA SA"/>
        <s v="BERGOS AG"/>
        <s v="Berner Kantonalbank AG"/>
        <s v="Bezirks-Sparkasse Dielsdorf Genossenschaft"/>
        <s v="BG (Suisse) Private Bank SA"/>
        <s v="BNP Paribas (Suisse) SA"/>
        <s v="BZ Bank Aktiengesellschaft"/>
        <s v="CA Indosuez (Switzerland) SA"/>
        <s v="Caisse d'Epargne et de Crédit Mutuel de Chermignon société coopérative"/>
        <s v="Caisse d'Epargne Riviera, société coopérative"/>
        <s v="CBH Compagnie Bancaire Helvétique SA"/>
        <s v="Cembra Money Bank AG"/>
        <s v="CIM BANQUE SA"/>
        <s v="Cité Gestion SA"/>
        <s v="Clientis AG"/>
        <s v="Cornèr Banca SA"/>
        <s v="Crédit Agricole next bank (Suisse) SA"/>
        <s v="Credit Europe Bank (Suisse) SA"/>
        <s v="Crypto Finance AG"/>
        <s v="Delen (Suisse) SA"/>
        <s v="Deutsche Bank (Suisse) SA"/>
        <s v="Dreyfus Söhne &amp; Cie. Aktiengesellschaft, Banquiers"/>
        <s v="Dukascopy Bank SA"/>
        <s v="DZ PRIVATBANK (Schweiz) AG"/>
        <s v="Edmond de Rothschild (Suisse) S.A."/>
        <s v="Edmond de Rothschild Holding SA"/>
        <s v="EFG Bank AG"/>
        <s v="EFG Bank European Financial Group SA"/>
        <s v="EFG International AG"/>
        <s v="Entris Banking AG"/>
        <s v="Ersparniskasse Rüeggisberg Genossenschaft"/>
        <s v="FAB Private Bank (Suisse) SA"/>
        <s v="Fidurhône SA"/>
        <s v="Financière SYZ SA"/>
        <s v="Frankfurter Bankgesellschaft (Schweiz) AG"/>
        <s v="Freie Gemeinschaftsbank Genossenschaft"/>
        <s v="Glarner Kantonalbank"/>
        <s v="Gonet &amp; Cie SA"/>
        <s v="Graubündner Kantonalbank"/>
        <s v="GRB Glarner Regionalbank Genossenschaft"/>
        <s v="Groupe Eric Sturdza SA"/>
        <s v="Groupe Mirabaud"/>
        <s v="Groupe Pictet"/>
        <s v="Habib Bank AG Zürich"/>
        <s v="Helvetische Bank AG"/>
        <s v="HINDUJA SUISSE HOLDING SA"/>
        <s v="HSBC Private Bank (Suisse) SA"/>
        <s v="Hyposwiss Private Bank Genève SA"/>
        <s v="Hypothekarbank Lenzburg AG"/>
        <s v="InCore Bank AG"/>
        <s v="Incore Holding AG"/>
        <s v="ISP Group AG"/>
        <s v="ISP Securities AG"/>
        <s v="J. Safra Sarasin Holding AG"/>
        <s v="J.P. Morgan (Suisse) SA"/>
        <s v="Julius Bär Gruppe AG"/>
        <s v="Kaleido Privatbank AG"/>
        <s v="LGT Bank (Schweiz) AG"/>
        <s v="Lienhardt &amp; Partner Privatbank Zürich AG"/>
        <s v="LLB (Schweiz) AG"/>
        <s v="Luzerner Kantonalbank AG"/>
        <s v="Maerki Baumann &amp; Co. AG"/>
        <s v="MBaer Merchant Bank AG"/>
        <s v="Mercantil Bank (Schweiz) AG"/>
        <s v="Migros Bank AG"/>
        <s v="NBK Private Bank (Switzerland) Ltd"/>
        <s v="NEUTRAL HOLDING S.A. SPF"/>
        <s v="Nidwaldner Kantonalbank"/>
        <s v="NPB Neue Privat Bank AG"/>
        <s v="Obwaldner Kantonalbank"/>
        <s v="ODDO BHF (Schweiz) AG"/>
        <s v="ONE swiss bank SA"/>
        <s v="Piguet Galland &amp; Cie SA"/>
        <s v="PKB PRIVATE BANK SA"/>
        <s v="Privatbank Bellerive AG"/>
        <s v="Privatbank IHAG Zürich AG"/>
        <s v="QNB (Suisse) SA"/>
        <s v="Quantus AG"/>
        <s v="Quilvest (Switzerland) Ltd."/>
        <s v="radicant bank ag"/>
        <s v="Regiobank Solothurn AG"/>
        <s v="Remaco Asset Management AG"/>
        <s v="REYL &amp; Cie SA"/>
        <s v="Rothschild &amp; Co Bank AG"/>
        <s v="S.P. Hinduja Banque Privée SA"/>
        <s v="SAXO BANK (SCHWEIZ) AG"/>
        <s v="SB Saanen Bank AG"/>
        <s v="Schaffhauser Kantonalbank"/>
        <s v="Schroder &amp; Co Bank AG"/>
        <s v="Schwyzer Kantonalbank"/>
        <s v="Scobag Privatbank AG"/>
        <s v="SeeBeteiligungs AG"/>
        <s v="SELVI &amp; Cie SA"/>
        <s v="SOCIETE GENERALE Private Banking (Suisse) SA"/>
        <s v="Spar+Leihkasse Riggisberg AG"/>
        <s v="Sparhafen Bank AG"/>
        <s v="Sparhafen Genossenschaft"/>
        <s v="St. Galler Kantonalbank AG"/>
        <s v="Swiss Bankers Prepaid Services AG"/>
        <s v="Swissquote Bank SA"/>
        <s v="Swissquote Group Holding SA"/>
        <s v="Sygnum Bank AG"/>
        <s v="Taurus SA"/>
        <s v="Tellco Bank AG"/>
        <s v="Thurgauer Kantonalbank"/>
        <s v="TradeXBank AG"/>
        <s v="UNION BANCAIRE PRIVEE, UBP SA"/>
        <s v="Urner Kantonalbank"/>
        <s v="Valiant Bank AG"/>
        <s v="Valiant Holding AG"/>
        <s v="Van Lanschot Kempen (Schweiz) AG"/>
        <s v="Vontobel Holding AG"/>
        <s v="VP Bank (Schweiz) AG"/>
        <s v="VZ Depotbank AG"/>
        <s v="VZ Holding AG"/>
        <s v="WIR Bank Genossenschaft"/>
        <s v="Zuger Kantonalbank"/>
        <s v="Zürcher Landbank AG"/>
      </sharedItems>
    </cacheField>
    <cacheField name="Kategorie 1)" numFmtId="0">
      <sharedItems containsBlank="1" containsMixedTypes="1" containsNumber="1" containsInteger="1" minValue="3" maxValue="5"/>
    </cacheField>
    <cacheField name="Mindest-_x000a_eigenmittel (RWA-basiert)" numFmtId="3">
      <sharedItems containsMixedTypes="1" containsNumber="1" containsInteger="1" minValue="657" maxValue="2256679"/>
    </cacheField>
    <cacheField name="Anrechenbare Eigenmittel" numFmtId="3">
      <sharedItems containsMixedTypes="1" containsNumber="1" containsInteger="1" minValue="1920" maxValue="5892205"/>
    </cacheField>
    <cacheField name="davon hartes Kernkapital (CET1)" numFmtId="3">
      <sharedItems containsMixedTypes="1" containsNumber="1" containsInteger="1" minValue="1920" maxValue="5821509"/>
    </cacheField>
    <cacheField name="davon Kernkapital (T1)" numFmtId="3">
      <sharedItems containsMixedTypes="1" containsNumber="1" containsInteger="1" minValue="1920" maxValue="5821509"/>
    </cacheField>
    <cacheField name="Risiko-gewichtete Aktiven (RWA)" numFmtId="3">
      <sharedItems containsMixedTypes="1" containsNumber="1" containsInteger="1" minValue="8208" maxValue="28208483"/>
    </cacheField>
    <cacheField name="CET1-Quote (CET1 in % der RWA)" numFmtId="164">
      <sharedItems containsBlank="1" containsMixedTypes="1" containsNumber="1" minValue="8.5999999999999993E-2" maxValue="1.7030000000000001"/>
    </cacheField>
    <cacheField name="Kernkapital-quote (T1 in % der RWA)" numFmtId="164">
      <sharedItems containsBlank="1" containsMixedTypes="1" containsNumber="1" minValue="9.8000000000000004E-2" maxValue="1.7030000000000001"/>
    </cacheField>
    <cacheField name="Gesamtkapital-_x000a_quote (in % _x000a_der RWA)" numFmtId="164">
      <sharedItems containsBlank="1" containsMixedTypes="1" containsNumber="1" minValue="0.11700000000000001" maxValue="1.7030000000000001"/>
    </cacheField>
    <cacheField name="Antizyklischer Puffer (AZP; in % der RWA)" numFmtId="164">
      <sharedItems containsBlank="1" containsMixedTypes="1" containsNumber="1" minValue="0" maxValue="1.7999999999999999E-2"/>
    </cacheField>
    <cacheField name="CET1 Ziel ohne AZP" numFmtId="164">
      <sharedItems containsBlank="1" containsMixedTypes="1" containsNumber="1" minValue="6.9999999999999993E-2" maxValue="7.8E-2"/>
    </cacheField>
    <cacheField name="CET1-Zielquote_x000a_inkl. AZP" numFmtId="164">
      <sharedItems containsBlank="1" containsMixedTypes="1" containsNumber="1" minValue="7.0000000000000007E-2" maxValue="9.6000000000000002E-2"/>
    </cacheField>
    <cacheField name="T1-Zielquote_x000a_inkl. AZP" numFmtId="0">
      <sharedItems containsBlank="1" containsMixedTypes="1" containsNumber="1" minValue="8.5000000000000006E-2" maxValue="0.114"/>
    </cacheField>
    <cacheField name="Gesamtkapital-_x000a_Zielquote inkl. AZP" numFmtId="0">
      <sharedItems containsBlank="1" containsMixedTypes="1" containsNumber="1" minValue="0.105" maxValue="0.13800000000000001"/>
    </cacheField>
    <cacheField name="Basel III Leverage_x000a_Ratio" numFmtId="0">
      <sharedItems containsBlank="1" containsMixedTypes="1" containsNumber="1" minValue="0.04" maxValue="0.93"/>
    </cacheField>
    <cacheField name="Gesamt-_x000a_engagement" numFmtId="3">
      <sharedItems containsMixedTypes="1" containsNumber="1" containsInteger="1" minValue="3394" maxValue="107116239"/>
    </cacheField>
    <cacheField name="LCR" numFmtId="0">
      <sharedItems containsBlank="1" containsMixedTypes="1" containsNumber="1" minValue="1.05" maxValue="128.66999999999999"/>
    </cacheField>
    <cacheField name="Zähler der LCR (HQLA)" numFmtId="0">
      <sharedItems containsMixedTypes="1" containsNumber="1" containsInteger="1" minValue="103" maxValue="21095762"/>
    </cacheField>
    <cacheField name="Nenner der LCR (Net Outflow)" numFmtId="0">
      <sharedItems containsMixedTypes="1" containsNumber="1" containsInteger="1" minValue="9" maxValue="11110114"/>
    </cacheField>
    <cacheField name="LCR2" numFmtId="9">
      <sharedItems containsBlank="1" containsMixedTypes="1" containsNumber="1" minValue="1.04" maxValue="69.959999999999994"/>
    </cacheField>
    <cacheField name="Zähler der LCR (HQLA)2" numFmtId="0">
      <sharedItems containsMixedTypes="1" containsNumber="1" containsInteger="1" minValue="102" maxValue="22016907"/>
    </cacheField>
    <cacheField name="Nenner der LCR (Net Outflow)2" numFmtId="0">
      <sharedItems containsMixedTypes="1" containsNumber="1" containsInteger="1" minValue="12" maxValue="11629634"/>
    </cacheField>
    <cacheField name="LCR3" numFmtId="9">
      <sharedItems containsBlank="1" containsMixedTypes="1" containsNumber="1" minValue="1.04" maxValue="81.99"/>
    </cacheField>
    <cacheField name="Zähler der LCR (HQLA)3" numFmtId="0">
      <sharedItems containsMixedTypes="1" containsNumber="1" containsInteger="1" minValue="101" maxValue="22336834"/>
    </cacheField>
    <cacheField name="Nenner der LCR (Net Outflow)3" numFmtId="0">
      <sharedItems containsMixedTypes="1" containsNumber="1" containsInteger="1" minValue="20" maxValue="11183331"/>
    </cacheField>
    <cacheField name="LCR4" numFmtId="9">
      <sharedItems containsBlank="1" containsMixedTypes="1" containsNumber="1" minValue="1.03" maxValue="58.9"/>
    </cacheField>
    <cacheField name="Zähler der LCR (HQLA)4" numFmtId="0">
      <sharedItems containsMixedTypes="1" containsNumber="1" containsInteger="1" minValue="71" maxValue="22176775"/>
    </cacheField>
    <cacheField name="Nenner der LCR (Net Outflow)4" numFmtId="0">
      <sharedItems containsMixedTypes="1" containsNumber="1" containsInteger="1" minValue="27" maxValue="10790667"/>
    </cacheField>
    <cacheField name="NSFR" numFmtId="0">
      <sharedItems containsBlank="1" containsMixedTypes="1" containsNumber="1" minValue="1.04" maxValue="22.04"/>
    </cacheField>
    <cacheField name="Zähler der NSFR (ASF)" numFmtId="0">
      <sharedItems containsMixedTypes="1" containsNumber="1" containsInteger="1" minValue="3024" maxValue="64712496"/>
    </cacheField>
    <cacheField name="Nenner der NSFR (RSF)" numFmtId="0">
      <sharedItems containsMixedTypes="1" containsNumber="1" containsInteger="1" minValue="1737" maxValue="43775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m/>
    <s v="in TCHF"/>
    <s v="in TCHF"/>
    <s v="in TCHF"/>
    <s v="in TCHF"/>
    <s v="in TCHF"/>
    <m/>
    <m/>
    <m/>
    <m/>
    <m/>
    <m/>
    <m/>
    <m/>
    <m/>
    <s v="in TCHF"/>
    <m/>
    <s v="in TCHF"/>
    <s v="in TCHF"/>
    <m/>
    <s v="in TCHF"/>
    <s v="in TCHF"/>
    <m/>
    <s v="in TCHF"/>
    <s v="in TCHF"/>
    <m/>
    <s v="in TCHF"/>
    <s v="in TCHF"/>
    <m/>
    <s v="in TCHF"/>
    <s v="in TCHF"/>
  </r>
  <r>
    <x v="1"/>
    <s v="Spalte2"/>
    <s v="Spalte3"/>
    <s v="Spalte4"/>
    <s v="Spalte5"/>
    <s v="Spalte6"/>
    <s v="Spalte7"/>
    <s v="Spalte8"/>
    <s v="Spalte9"/>
    <s v="Spalte10"/>
    <s v="Spalte11"/>
    <s v="Spalte112"/>
    <s v="Spalte12"/>
    <s v="Spalte13"/>
    <s v="Spalte14"/>
    <s v="Spalte15"/>
    <s v="Spalte16"/>
    <s v="Spalte17"/>
    <s v="Spalte18"/>
    <s v="Spalte19"/>
    <s v="Spalte20"/>
    <s v="Spalte21"/>
    <s v="Spalte22"/>
    <s v="Spalte23"/>
    <s v="Spalte24"/>
    <s v="Spalte25"/>
    <s v="Spalte26"/>
    <s v="Spalte27"/>
    <s v="Spalte28"/>
    <s v="Spalte29"/>
    <s v="Spalte30"/>
    <s v="Spalte31"/>
  </r>
  <r>
    <x v="2"/>
    <n v="3"/>
    <n v="1337171"/>
    <n v="3127432"/>
    <n v="3035322"/>
    <n v="3035322"/>
    <n v="16714636"/>
    <n v="0.182"/>
    <n v="0.182"/>
    <n v="0.187"/>
    <n v="1.0999999999999999E-2"/>
    <n v="7.8E-2"/>
    <n v="8.8999999999999996E-2"/>
    <n v="0.107"/>
    <n v="0.13100000000000001"/>
    <n v="7.3999999999999996E-2"/>
    <n v="40972326"/>
    <n v="1.49"/>
    <n v="8026427"/>
    <n v="5401780"/>
    <n v="1.58"/>
    <n v="8603620"/>
    <n v="5431014"/>
    <n v="1.38"/>
    <n v="7547807"/>
    <n v="5459647"/>
    <n v="1.49"/>
    <n v="7182973"/>
    <n v="4808044"/>
    <n v="1.4"/>
    <n v="28056009"/>
    <n v="20022343"/>
  </r>
  <r>
    <x v="3"/>
    <n v="4"/>
    <n v="122313"/>
    <n v="275649"/>
    <n v="275649"/>
    <n v="275649"/>
    <n v="1528912"/>
    <n v="0.18"/>
    <n v="0.18"/>
    <n v="0.18"/>
    <n v="1.2E-2"/>
    <n v="7.3999999999999996E-2"/>
    <n v="8.5999999999999993E-2"/>
    <n v="0.10199999999999999"/>
    <n v="0.124"/>
    <n v="9.0999999999999998E-2"/>
    <n v="3021631"/>
    <n v="1.36"/>
    <n v="251605"/>
    <n v="184906"/>
    <n v="1.36"/>
    <n v="274081"/>
    <n v="201378"/>
    <n v="1.31"/>
    <n v="259167"/>
    <n v="197342"/>
    <n v="1.46"/>
    <n v="279498"/>
    <n v="191276"/>
    <n v="1.24"/>
    <n v="2341680"/>
    <n v="1896033"/>
  </r>
  <r>
    <x v="4"/>
    <n v="5"/>
    <n v="2353"/>
    <n v="42938"/>
    <n v="42938"/>
    <n v="42938"/>
    <n v="29417"/>
    <n v="1.46"/>
    <n v="1.46"/>
    <n v="1.46"/>
    <n v="0"/>
    <n v="7.0000000000000007E-2"/>
    <n v="7.0000000000000007E-2"/>
    <n v="8.5000000000000006E-2"/>
    <n v="0.105"/>
    <n v="0.247"/>
    <n v="173913"/>
    <n v="41"/>
    <n v="55886"/>
    <n v="1363"/>
    <n v="27.18"/>
    <n v="70046"/>
    <n v="2577"/>
    <n v="33.71"/>
    <n v="97863"/>
    <n v="2903"/>
    <n v="45.56"/>
    <n v="129209"/>
    <n v="2836"/>
    <n v="2.2200000000000002"/>
    <n v="243471"/>
    <n v="109592"/>
  </r>
  <r>
    <x v="5"/>
    <n v="5"/>
    <n v="21885"/>
    <n v="93132"/>
    <n v="93132"/>
    <n v="93132"/>
    <n v="273569"/>
    <n v="0.34"/>
    <n v="0.34"/>
    <n v="0.34"/>
    <n v="0"/>
    <n v="7.0000000000000007E-2"/>
    <n v="7.0000000000000007E-2"/>
    <n v="8.5000000000000006E-2"/>
    <n v="0.105"/>
    <n v="0.23100000000000001"/>
    <n v="402466"/>
    <n v="2.68"/>
    <n v="170705"/>
    <n v="63751"/>
    <n v="2.0699999999999998"/>
    <n v="191977"/>
    <n v="92531"/>
    <n v="2.1"/>
    <n v="122961"/>
    <n v="58472"/>
    <n v="2.25"/>
    <n v="140077"/>
    <n v="62348"/>
    <n v="1.95"/>
    <n v="219331"/>
    <n v="112559"/>
  </r>
  <r>
    <x v="6"/>
    <n v="4"/>
    <n v="153454"/>
    <n v="385192"/>
    <n v="385192"/>
    <n v="385192"/>
    <n v="1918180"/>
    <n v="0.20100000000000001"/>
    <n v="0.20100000000000001"/>
    <n v="0.20100000000000001"/>
    <n v="1.4E-2"/>
    <n v="7.3999999999999996E-2"/>
    <n v="8.7999999999999995E-2"/>
    <n v="0.104"/>
    <n v="0.126"/>
    <n v="8.5999999999999993E-2"/>
    <n v="4462145"/>
    <n v="1.38"/>
    <n v="449981"/>
    <n v="327239"/>
    <n v="1.47"/>
    <n v="458350"/>
    <n v="312198"/>
    <n v="1.31"/>
    <n v="433913"/>
    <n v="330296"/>
    <n v="1.18"/>
    <n v="402185"/>
    <n v="340463"/>
    <n v="1.36"/>
    <n v="3784002"/>
    <n v="2776039"/>
  </r>
  <r>
    <x v="7"/>
    <n v="4"/>
    <n v="247504"/>
    <n v="590804"/>
    <n v="584946"/>
    <n v="590804"/>
    <n v="3093802"/>
    <n v="0.189"/>
    <n v="0.191"/>
    <n v="0.191"/>
    <n v="0"/>
    <n v="7.3999999999999996E-2"/>
    <n v="7.3999999999999996E-2"/>
    <n v="0.09"/>
    <n v="0.112"/>
    <n v="9.2999999999999999E-2"/>
    <n v="6364036"/>
    <n v="3.02"/>
    <n v="1640459"/>
    <n v="543196"/>
    <n v="4.1399999999999997"/>
    <n v="1860811"/>
    <n v="449208"/>
    <n v="5.65"/>
    <n v="1978809"/>
    <n v="350250"/>
    <n v="6.91"/>
    <n v="2077960"/>
    <n v="300579"/>
    <n v="1.7"/>
    <n v="2790151"/>
    <n v="1644925"/>
  </r>
  <r>
    <x v="8"/>
    <n v="5"/>
    <n v="21828"/>
    <n v="95919"/>
    <n v="75919"/>
    <n v="95919"/>
    <n v="272852"/>
    <n v="0.27800000000000002"/>
    <n v="0.35199999999999998"/>
    <n v="0.35199999999999998"/>
    <n v="0"/>
    <n v="7.0000000000000007E-2"/>
    <n v="7.0000000000000007E-2"/>
    <n v="8.5000000000000006E-2"/>
    <n v="0.105"/>
    <n v="7.0000000000000007E-2"/>
    <n v="1373249"/>
    <n v="5.45"/>
    <n v="559699"/>
    <n v="102684"/>
    <n v="5.0199999999999996"/>
    <n v="437476"/>
    <n v="87190"/>
    <n v="4.32"/>
    <n v="423801"/>
    <n v="98171"/>
    <n v="4.3099999999999996"/>
    <n v="692137"/>
    <n v="160638"/>
    <n v="3.92"/>
    <n v="986184"/>
    <n v="251364"/>
  </r>
  <r>
    <x v="9"/>
    <n v="4"/>
    <n v="294469"/>
    <n v="568800"/>
    <n v="462041"/>
    <n v="502041"/>
    <n v="3680868"/>
    <n v="0.126"/>
    <n v="0.13600000000000001"/>
    <n v="0.155"/>
    <n v="1.7999999999999999E-2"/>
    <n v="7.3999999999999996E-2"/>
    <n v="9.1999999999999998E-2"/>
    <n v="0.108"/>
    <n v="0.13"/>
    <n v="5.2999999999999999E-2"/>
    <n v="9481590"/>
    <n v="1.89"/>
    <n v="977776"/>
    <n v="518632"/>
    <n v="1.74"/>
    <n v="898296"/>
    <n v="516662"/>
    <n v="1.55"/>
    <n v="824054"/>
    <n v="530634"/>
    <n v="1.5"/>
    <n v="864287"/>
    <n v="574305"/>
    <n v="1.29"/>
    <n v="8303706"/>
    <n v="6433684"/>
  </r>
  <r>
    <x v="10"/>
    <n v="5"/>
    <n v="1795"/>
    <n v="26027"/>
    <n v="26027"/>
    <n v="26027"/>
    <n v="22440"/>
    <n v="1.1599999999999999"/>
    <n v="1.1599999999999999"/>
    <n v="1.1599999999999999"/>
    <n v="0"/>
    <n v="7.0000000000000007E-2"/>
    <n v="7.0000000000000007E-2"/>
    <n v="8.5000000000000006E-2"/>
    <n v="0.105"/>
    <n v="0.38100000000000001"/>
    <n v="68269"/>
    <n v="1.66"/>
    <n v="7870"/>
    <n v="4749"/>
    <n v="1.39"/>
    <n v="8427"/>
    <n v="6080"/>
    <n v="1.57"/>
    <n v="4315"/>
    <n v="2740"/>
    <n v="1.61"/>
    <n v="5081"/>
    <n v="3148"/>
    <n v="3.13"/>
    <n v="49931"/>
    <n v="15935"/>
  </r>
  <r>
    <x v="11"/>
    <n v="5"/>
    <n v="9944"/>
    <n v="35145"/>
    <n v="35145"/>
    <n v="35145"/>
    <n v="124301"/>
    <n v="0.28299999999999997"/>
    <n v="0.28299999999999997"/>
    <n v="0.28299999999999997"/>
    <n v="1E-3"/>
    <n v="6.9999999999999993E-2"/>
    <n v="7.0999999999999994E-2"/>
    <n v="8.5999999999999993E-2"/>
    <n v="0.106"/>
    <n v="6.6000000000000003E-2"/>
    <n v="533870"/>
    <n v="1.43"/>
    <n v="45168"/>
    <n v="31667"/>
    <n v="1.29"/>
    <n v="64700"/>
    <n v="50238"/>
    <n v="1.37"/>
    <n v="67565"/>
    <n v="49335"/>
    <n v="1.34"/>
    <n v="110764"/>
    <n v="82434"/>
    <n v="1.48"/>
    <n v="238163"/>
    <n v="160696"/>
  </r>
  <r>
    <x v="12"/>
    <n v="5"/>
    <n v="35256"/>
    <n v="132398"/>
    <n v="132398"/>
    <n v="132398"/>
    <n v="440694"/>
    <n v="0.3"/>
    <n v="0.3"/>
    <n v="0.3"/>
    <n v="2E-3"/>
    <n v="6.9999999999999993E-2"/>
    <n v="7.1999999999999995E-2"/>
    <n v="8.6999999999999994E-2"/>
    <n v="0.107"/>
    <n v="0.17100000000000001"/>
    <n v="772333"/>
    <n v="3.33"/>
    <n v="74160"/>
    <n v="22288"/>
    <n v="2.34"/>
    <n v="59557"/>
    <n v="25472"/>
    <n v="3.04"/>
    <n v="73709"/>
    <n v="24263"/>
    <n v="3.68"/>
    <n v="76595"/>
    <n v="20821"/>
    <n v="1.8"/>
    <n v="627041"/>
    <n v="347870"/>
  </r>
  <r>
    <x v="13"/>
    <n v="3"/>
    <n v="779197"/>
    <n v="1817475"/>
    <n v="1520587"/>
    <n v="1570587"/>
    <n v="9739964"/>
    <n v="0.156"/>
    <n v="0.161"/>
    <n v="0.187"/>
    <n v="8.9999999999999993E-3"/>
    <n v="7.8E-2"/>
    <n v="8.6999999999999994E-2"/>
    <n v="0.105"/>
    <n v="0.129"/>
    <n v="7.9000000000000001E-2"/>
    <n v="19870273"/>
    <n v="1.57"/>
    <n v="2521328"/>
    <n v="1610793"/>
    <n v="1.79"/>
    <n v="2775136"/>
    <n v="1553846"/>
    <n v="1.85"/>
    <n v="2541562"/>
    <n v="1374007"/>
    <n v="1.82"/>
    <n v="2878352"/>
    <n v="1585275"/>
    <n v="1.37"/>
    <n v="15451901"/>
    <n v="11275572"/>
  </r>
  <r>
    <x v="14"/>
    <n v="4"/>
    <n v="205019"/>
    <n v="488395"/>
    <n v="488395"/>
    <n v="488395"/>
    <n v="2562737"/>
    <n v="0.191"/>
    <n v="0.191"/>
    <n v="0.191"/>
    <n v="1.6E-2"/>
    <n v="7.3999999999999996E-2"/>
    <n v="0.09"/>
    <n v="0.106"/>
    <n v="0.128"/>
    <n v="7.0999999999999994E-2"/>
    <n v="6901872"/>
    <n v="1.29"/>
    <n v="662944"/>
    <n v="514011"/>
    <n v="1.46"/>
    <n v="753705"/>
    <n v="516132"/>
    <n v="1.39"/>
    <n v="829284"/>
    <n v="598670"/>
    <n v="1.43"/>
    <n v="827611"/>
    <n v="580144"/>
    <n v="1.2"/>
    <n v="4782169"/>
    <n v="4001549"/>
  </r>
  <r>
    <x v="15"/>
    <n v="5"/>
    <n v="16902"/>
    <n v="69592"/>
    <n v="69592"/>
    <n v="69592"/>
    <n v="211270"/>
    <n v="0.32900000000000001"/>
    <n v="0.32900000000000001"/>
    <n v="0.32900000000000001"/>
    <n v="1E-3"/>
    <n v="6.9999999999999993E-2"/>
    <n v="7.0999999999999994E-2"/>
    <n v="8.5999999999999993E-2"/>
    <n v="0.106"/>
    <n v="0.20899999999999999"/>
    <n v="332781"/>
    <n v="1.53"/>
    <n v="32789"/>
    <n v="21453"/>
    <n v="2.2000000000000002"/>
    <n v="40617"/>
    <n v="18470"/>
    <n v="1.99"/>
    <n v="43082"/>
    <n v="21696"/>
    <n v="1.84"/>
    <n v="37135"/>
    <n v="20150"/>
    <n v="1.85"/>
    <n v="217050"/>
    <n v="117210"/>
  </r>
  <r>
    <x v="16"/>
    <n v="4"/>
    <n v="103824"/>
    <n v="1236385"/>
    <n v="1235615"/>
    <n v="1235615"/>
    <n v="1297802"/>
    <n v="0.95199999999999996"/>
    <n v="0.95199999999999996"/>
    <n v="0.95299999999999996"/>
    <n v="0"/>
    <n v="7.3999999999999996E-2"/>
    <n v="7.3999999999999996E-2"/>
    <n v="0.09"/>
    <n v="0.112"/>
    <n v="0.29299999999999998"/>
    <n v="4217623"/>
    <n v="2.2000000000000002"/>
    <n v="965768"/>
    <n v="439941"/>
    <n v="2.1"/>
    <n v="862033"/>
    <n v="410167"/>
    <n v="1.65"/>
    <n v="750151"/>
    <n v="454059"/>
    <n v="1.55"/>
    <n v="721708"/>
    <n v="464741"/>
    <n v="1.62"/>
    <n v="2697033"/>
    <n v="1662839"/>
  </r>
  <r>
    <x v="17"/>
    <n v="4"/>
    <n v="186806"/>
    <n v="347882"/>
    <n v="347882"/>
    <n v="347882"/>
    <n v="2335079"/>
    <n v="0.14899999999999999"/>
    <n v="0.14899999999999999"/>
    <n v="0.14899999999999999"/>
    <n v="1.4999999999999999E-2"/>
    <n v="7.3999999999999996E-2"/>
    <n v="8.8999999999999996E-2"/>
    <n v="0.105"/>
    <n v="0.127"/>
    <n v="6.4000000000000001E-2"/>
    <n v="5426605"/>
    <n v="1.65"/>
    <n v="543445"/>
    <n v="328714"/>
    <n v="1.88"/>
    <n v="580013"/>
    <n v="308688"/>
    <n v="1.78"/>
    <n v="538264"/>
    <n v="302488"/>
    <n v="1.9"/>
    <n v="601982"/>
    <n v="316428"/>
    <n v="1.38"/>
    <n v="4769049"/>
    <n v="3458308"/>
  </r>
  <r>
    <x v="18"/>
    <n v="5"/>
    <n v="40286"/>
    <n v="90410"/>
    <n v="90410"/>
    <n v="90410"/>
    <n v="503569"/>
    <n v="0.18"/>
    <n v="0.18"/>
    <n v="0.18"/>
    <n v="1.7999999999999999E-2"/>
    <n v="6.9999999999999993E-2"/>
    <n v="8.7999999999999995E-2"/>
    <n v="0.10299999999999999"/>
    <n v="0.123"/>
    <n v="7.3999999999999996E-2"/>
    <n v="1229878"/>
    <n v="1.88"/>
    <n v="87619"/>
    <n v="46583"/>
    <n v="1.53"/>
    <n v="76540"/>
    <n v="49914"/>
    <n v="1.38"/>
    <n v="66654"/>
    <n v="48425"/>
    <n v="1.38"/>
    <n v="71151"/>
    <n v="51675"/>
    <n v="1.28"/>
    <n v="1102951"/>
    <n v="859027"/>
  </r>
  <r>
    <x v="19"/>
    <n v="4"/>
    <n v="511519"/>
    <n v="1184501"/>
    <n v="968187"/>
    <n v="1058187"/>
    <n v="6393993"/>
    <n v="0.151"/>
    <n v="0.16500000000000001"/>
    <n v="0.185"/>
    <n v="8.0000000000000002E-3"/>
    <n v="7.400000000000001E-2"/>
    <n v="8.2000000000000003E-2"/>
    <n v="9.8000000000000004E-2"/>
    <n v="0.12"/>
    <n v="7.6999999999999999E-2"/>
    <n v="13758062"/>
    <n v="2.1"/>
    <n v="1648257"/>
    <n v="786225"/>
    <n v="2.37"/>
    <n v="1451363"/>
    <n v="613366"/>
    <n v="2.29"/>
    <n v="1796265"/>
    <n v="783978"/>
    <n v="2.4500000000000002"/>
    <n v="1953972"/>
    <n v="798094"/>
    <n v="1.2"/>
    <n v="8860069"/>
    <n v="7364988"/>
  </r>
  <r>
    <x v="20"/>
    <n v="3"/>
    <n v="638711"/>
    <n v="1495292"/>
    <n v="1385523"/>
    <n v="1475523"/>
    <n v="7983884"/>
    <n v="0.17399999999999999"/>
    <n v="0.185"/>
    <n v="0.187"/>
    <n v="1.7999999999999999E-2"/>
    <n v="7.8E-2"/>
    <n v="9.6000000000000002E-2"/>
    <n v="0.114"/>
    <n v="0.13800000000000001"/>
    <n v="7.1999999999999995E-2"/>
    <n v="20469201"/>
    <n v="1.7"/>
    <n v="2295092"/>
    <n v="1350304"/>
    <n v="1.85"/>
    <n v="2633686"/>
    <n v="1419912"/>
    <n v="1.67"/>
    <n v="1927575"/>
    <n v="1156789"/>
    <n v="1.43"/>
    <n v="1785848"/>
    <n v="1250926"/>
    <n v="1.31"/>
    <n v="16498159"/>
    <n v="12597254"/>
  </r>
  <r>
    <x v="21"/>
    <n v="4"/>
    <n v="59477"/>
    <n v="148478"/>
    <n v="142909"/>
    <n v="142909"/>
    <n v="743459"/>
    <n v="0.192"/>
    <n v="0.192"/>
    <n v="0.2"/>
    <n v="1.4999999999999999E-2"/>
    <n v="7.3999999999999996E-2"/>
    <n v="8.8999999999999996E-2"/>
    <n v="0.105"/>
    <n v="0.127"/>
    <n v="8.1000000000000003E-2"/>
    <n v="1756915"/>
    <n v="2.14"/>
    <n v="232710"/>
    <n v="108741"/>
    <n v="2.04"/>
    <n v="228743"/>
    <n v="112288"/>
    <n v="1.81"/>
    <n v="206461"/>
    <n v="114068"/>
    <n v="1.89"/>
    <n v="215098"/>
    <n v="113575"/>
    <n v="1.26"/>
    <n v="1420658"/>
    <n v="1128185"/>
  </r>
  <r>
    <x v="22"/>
    <n v="3"/>
    <n v="904944"/>
    <n v="3491671"/>
    <n v="3426083"/>
    <n v="3426083"/>
    <n v="11311806"/>
    <n v="0.30299999999999999"/>
    <n v="0.30299999999999999"/>
    <n v="0.309"/>
    <n v="0"/>
    <n v="7.8E-2"/>
    <n v="7.8E-2"/>
    <n v="9.6000000000000002E-2"/>
    <n v="0.12"/>
    <n v="8.5999999999999993E-2"/>
    <n v="39801417"/>
    <n v="1.66"/>
    <n v="18484006"/>
    <n v="11110114"/>
    <n v="1.88"/>
    <n v="16297039"/>
    <n v="8655635"/>
    <n v="1.74"/>
    <n v="15635851"/>
    <n v="9006645"/>
    <n v="1.93"/>
    <n v="15898666"/>
    <n v="8236523"/>
    <n v="1.61"/>
    <n v="16742207"/>
    <n v="10400033"/>
  </r>
  <r>
    <x v="23"/>
    <n v="3"/>
    <n v="1511479"/>
    <n v="5071680"/>
    <n v="3793148"/>
    <n v="5003370"/>
    <n v="18893483"/>
    <n v="0.20100000000000001"/>
    <n v="0.26500000000000001"/>
    <n v="0.26800000000000002"/>
    <n v="2E-3"/>
    <n v="7.8E-2"/>
    <n v="0.08"/>
    <n v="9.8000000000000004E-2"/>
    <n v="0.122"/>
    <n v="0.05"/>
    <n v="100841101"/>
    <n v="2.52"/>
    <n v="17865395"/>
    <n v="7090034"/>
    <n v="2.75"/>
    <n v="19401052"/>
    <n v="7057229"/>
    <n v="2.35"/>
    <n v="18753535"/>
    <n v="7989143"/>
    <n v="2.4"/>
    <n v="18103939"/>
    <n v="7544769"/>
    <n v="1.47"/>
    <n v="58293309"/>
    <n v="39548636"/>
  </r>
  <r>
    <x v="24"/>
    <n v="5"/>
    <n v="7624"/>
    <n v="32765"/>
    <n v="32765"/>
    <n v="32765"/>
    <n v="95295"/>
    <n v="0.34399999999999997"/>
    <n v="0.34399999999999997"/>
    <n v="0.34399999999999997"/>
    <n v="0"/>
    <n v="7.0000000000000007E-2"/>
    <n v="7.0000000000000007E-2"/>
    <n v="8.5000000000000006E-2"/>
    <n v="0.105"/>
    <n v="0.16300000000000001"/>
    <n v="200553"/>
    <n v="2.96"/>
    <n v="25185"/>
    <n v="8523"/>
    <n v="3.41"/>
    <n v="28333"/>
    <n v="8309"/>
    <n v="2.82"/>
    <n v="17157"/>
    <n v="6082"/>
    <n v="3.37"/>
    <n v="30281"/>
    <n v="8997"/>
    <n v="1.85"/>
    <n v="137774"/>
    <n v="74560"/>
  </r>
  <r>
    <x v="25"/>
    <n v="3"/>
    <n v="397409"/>
    <n v="1150129"/>
    <n v="1048764"/>
    <n v="1048764"/>
    <n v="4967610"/>
    <n v="0.21099999999999999"/>
    <n v="0.21099999999999999"/>
    <n v="0.23200000000000001"/>
    <n v="2E-3"/>
    <n v="7.8E-2"/>
    <n v="0.08"/>
    <n v="9.8000000000000004E-2"/>
    <n v="0.122"/>
    <n v="5.0999999999999997E-2"/>
    <n v="20561602"/>
    <n v="1.59"/>
    <n v="4849872"/>
    <n v="3043191"/>
    <n v="1.51"/>
    <n v="5098275"/>
    <n v="3367627"/>
    <n v="1.75"/>
    <n v="5325015"/>
    <n v="3037575"/>
    <n v="1.72"/>
    <n v="5254489"/>
    <n v="3051793"/>
    <n v="1.32"/>
    <n v="10088383"/>
    <n v="7670315"/>
  </r>
  <r>
    <x v="26"/>
    <n v="5"/>
    <n v="51338"/>
    <n v="103292"/>
    <n v="99540"/>
    <n v="99540"/>
    <n v="641725"/>
    <n v="0.155"/>
    <n v="0.155"/>
    <n v="0.161"/>
    <n v="1.7999999999999999E-2"/>
    <n v="6.9999999999999993E-2"/>
    <n v="8.7999999999999995E-2"/>
    <n v="0.10299999999999999"/>
    <n v="0.123"/>
    <n v="6.4000000000000001E-2"/>
    <n v="1566669"/>
    <n v="1.29"/>
    <n v="95675"/>
    <n v="74211"/>
    <n v="1.54"/>
    <n v="113130"/>
    <n v="73318"/>
    <n v="1.99"/>
    <n v="133505"/>
    <n v="66974"/>
    <n v="1.42"/>
    <n v="110629"/>
    <n v="78082"/>
    <n v="1.1299999999999999"/>
    <n v="1299988"/>
    <n v="1154911"/>
  </r>
  <r>
    <x v="27"/>
    <n v="5"/>
    <n v="10913"/>
    <n v="76014"/>
    <n v="75951"/>
    <n v="75951"/>
    <n v="136410"/>
    <n v="0.55700000000000005"/>
    <n v="0.55700000000000005"/>
    <n v="0.55700000000000005"/>
    <n v="0"/>
    <n v="7.0000000000000007E-2"/>
    <n v="7.0000000000000007E-2"/>
    <n v="8.5000000000000006E-2"/>
    <n v="0.105"/>
    <n v="0.14799999999999999"/>
    <n v="511475"/>
    <n v="11.53"/>
    <n v="361080"/>
    <n v="31305"/>
    <n v="12.42"/>
    <n v="356431"/>
    <n v="28697"/>
    <n v="12.35"/>
    <n v="360756"/>
    <n v="29217"/>
    <n v="13.19"/>
    <n v="356086"/>
    <n v="27000"/>
    <n v="22.04"/>
    <n v="444509"/>
    <n v="20171"/>
  </r>
  <r>
    <x v="28"/>
    <n v="5"/>
    <n v="273208"/>
    <n v="398593"/>
    <n v="293593"/>
    <n v="333593"/>
    <n v="3415099"/>
    <n v="8.5999999999999993E-2"/>
    <n v="9.8000000000000004E-2"/>
    <n v="0.11700000000000001"/>
    <n v="0"/>
    <n v="7.0000000000000007E-2"/>
    <n v="7.0000000000000007E-2"/>
    <n v="8.5000000000000006E-2"/>
    <n v="0.105"/>
    <n v="6.3E-2"/>
    <n v="5321410"/>
    <s v="2)"/>
    <s v="2)"/>
    <s v="2)"/>
    <s v="2)"/>
    <s v="2)"/>
    <s v="2)"/>
    <s v="2)"/>
    <s v="2)"/>
    <s v="2)"/>
    <s v="2)"/>
    <s v="2)"/>
    <s v="2)"/>
    <s v="2)"/>
    <s v="2)"/>
    <s v="2)"/>
  </r>
  <r>
    <x v="29"/>
    <n v="5"/>
    <n v="24518"/>
    <n v="224887"/>
    <n v="217079"/>
    <n v="217079"/>
    <n v="306479"/>
    <n v="0.70799999999999996"/>
    <n v="0.70799999999999996"/>
    <n v="0.73399999999999999"/>
    <n v="0"/>
    <n v="7.0000000000000007E-2"/>
    <n v="7.0000000000000007E-2"/>
    <n v="8.5000000000000006E-2"/>
    <n v="0.105"/>
    <n v="0.19"/>
    <n v="1141994"/>
    <n v="5"/>
    <n v="193080"/>
    <n v="38582"/>
    <n v="6.24"/>
    <n v="237093"/>
    <n v="37975"/>
    <n v="7.35"/>
    <n v="318051"/>
    <n v="43253"/>
    <n v="8.76"/>
    <n v="352326"/>
    <n v="40208"/>
    <n v="3.03"/>
    <n v="850566"/>
    <n v="280448"/>
  </r>
  <r>
    <x v="30"/>
    <n v="5"/>
    <n v="10420"/>
    <n v="108599"/>
    <n v="108337"/>
    <n v="108337"/>
    <n v="130247"/>
    <n v="0.83199999999999996"/>
    <n v="0.83199999999999996"/>
    <n v="0.83399999999999996"/>
    <n v="0"/>
    <n v="7.0000000000000007E-2"/>
    <n v="7.0000000000000007E-2"/>
    <n v="8.5000000000000006E-2"/>
    <n v="0.105"/>
    <n v="0.34799999999999998"/>
    <n v="311732"/>
    <n v="3.18"/>
    <n v="84737"/>
    <n v="26662"/>
    <n v="2.98"/>
    <n v="87226"/>
    <n v="29309"/>
    <n v="2.61"/>
    <n v="77326"/>
    <n v="29606"/>
    <n v="2.54"/>
    <n v="82088"/>
    <n v="32297"/>
    <n v="1.69"/>
    <n v="252069"/>
    <n v="149536"/>
  </r>
  <r>
    <x v="31"/>
    <n v="3"/>
    <n v="1110318"/>
    <n v="2633153"/>
    <n v="2627821"/>
    <n v="2627821"/>
    <n v="13878975"/>
    <n v="0.189"/>
    <n v="0.189"/>
    <n v="0.19"/>
    <n v="1.0999999999999999E-2"/>
    <n v="7.8E-2"/>
    <n v="8.8999999999999996E-2"/>
    <n v="0.107"/>
    <n v="0.13100000000000001"/>
    <n v="0.09"/>
    <n v="29173698"/>
    <n v="2.2400000000000002"/>
    <n v="4262194"/>
    <n v="1900304"/>
    <n v="2.37"/>
    <n v="4534539"/>
    <n v="1909802"/>
    <n v="2.2799999999999998"/>
    <n v="4055335"/>
    <n v="1778415"/>
    <n v="1.98"/>
    <n v="3883684"/>
    <n v="1959892"/>
    <n v="1.31"/>
    <n v="24749338"/>
    <n v="18873448"/>
  </r>
  <r>
    <x v="32"/>
    <n v="3"/>
    <n v="1203628"/>
    <n v="2506412"/>
    <n v="2259991"/>
    <n v="2391526"/>
    <n v="15045351"/>
    <n v="0.15"/>
    <n v="0.159"/>
    <n v="0.16700000000000001"/>
    <n v="7.0000000000000001E-3"/>
    <n v="7.8E-2"/>
    <n v="8.5000000000000006E-2"/>
    <n v="0.10299999999999999"/>
    <n v="0.127"/>
    <n v="7.0999999999999994E-2"/>
    <n v="33859160"/>
    <n v="1.71"/>
    <n v="8657697"/>
    <n v="5073673"/>
    <n v="1.55"/>
    <n v="8433605"/>
    <n v="5436937"/>
    <n v="1.67"/>
    <n v="7763547"/>
    <n v="4653367"/>
    <n v="1.62"/>
    <n v="8318435"/>
    <n v="5134129"/>
    <n v="1.4"/>
    <n v="23727021"/>
    <n v="16888458"/>
  </r>
  <r>
    <x v="33"/>
    <n v="4"/>
    <n v="148590"/>
    <n v="319987"/>
    <n v="316933"/>
    <n v="316933"/>
    <n v="1857380"/>
    <n v="0.17100000000000001"/>
    <n v="0.17100000000000001"/>
    <n v="0.17199999999999999"/>
    <n v="1.4E-2"/>
    <n v="7.3999999999999996E-2"/>
    <n v="8.7999999999999995E-2"/>
    <n v="0.104"/>
    <n v="0.126"/>
    <n v="7.0999999999999994E-2"/>
    <n v="4454426"/>
    <n v="1.19"/>
    <n v="434074"/>
    <n v="363739"/>
    <n v="1.29"/>
    <n v="514194"/>
    <n v="397103"/>
    <n v="1.35"/>
    <n v="616036"/>
    <n v="456769"/>
    <n v="1.42"/>
    <n v="630185"/>
    <n v="442985"/>
    <n v="1.28"/>
    <n v="3588524"/>
    <n v="2804256"/>
  </r>
  <r>
    <x v="34"/>
    <n v="3"/>
    <n v="735654"/>
    <n v="1646015"/>
    <n v="1581015"/>
    <n v="1581015"/>
    <n v="9195670"/>
    <n v="0.17199999999999999"/>
    <n v="0.17199999999999999"/>
    <n v="0.17899999999999999"/>
    <n v="1.2999999999999999E-2"/>
    <n v="7.8E-2"/>
    <n v="9.0999999999999998E-2"/>
    <n v="0.109"/>
    <n v="0.13300000000000001"/>
    <n v="7.4999999999999997E-2"/>
    <n v="21145697"/>
    <n v="1.64"/>
    <n v="3853061"/>
    <n v="2355060"/>
    <n v="1.49"/>
    <n v="3807746"/>
    <n v="2562839"/>
    <n v="1.56"/>
    <n v="3894793"/>
    <n v="2495271"/>
    <n v="1.56"/>
    <n v="3867591"/>
    <n v="2476115"/>
    <n v="1.29"/>
    <n v="16147101"/>
    <n v="12533796"/>
  </r>
  <r>
    <x v="35"/>
    <n v="4"/>
    <n v="390155"/>
    <n v="1091656"/>
    <n v="1062013"/>
    <n v="1062013"/>
    <n v="4876934"/>
    <n v="0.218"/>
    <n v="0.218"/>
    <n v="0.224"/>
    <n v="1.4E-2"/>
    <n v="7.3999999999999996E-2"/>
    <n v="8.7999999999999995E-2"/>
    <n v="0.104"/>
    <n v="0.126"/>
    <n v="8.6999999999999994E-2"/>
    <n v="12235134"/>
    <n v="1.82"/>
    <n v="1880167"/>
    <n v="1033666"/>
    <n v="1.74"/>
    <n v="1800518"/>
    <n v="1035337"/>
    <n v="1.76"/>
    <n v="1786871"/>
    <n v="1012767"/>
    <n v="1.75"/>
    <n v="1796265"/>
    <n v="1024791"/>
    <n v="1.29"/>
    <n v="9598298"/>
    <n v="7432266"/>
  </r>
  <r>
    <x v="36"/>
    <n v="3"/>
    <n v="1671526"/>
    <n v="3538695"/>
    <n v="3518727"/>
    <n v="3518727"/>
    <n v="20894080"/>
    <n v="0.16800000000000001"/>
    <n v="0.16800000000000001"/>
    <n v="0.16900000000000001"/>
    <n v="0.01"/>
    <n v="7.8E-2"/>
    <n v="8.7999999999999995E-2"/>
    <n v="0.106"/>
    <n v="0.13"/>
    <n v="5.5E-2"/>
    <n v="63441720"/>
    <n v="1.28"/>
    <n v="12454523"/>
    <n v="9732485"/>
    <n v="1.27"/>
    <n v="13410865"/>
    <n v="10566616"/>
    <n v="1.34"/>
    <n v="12285910"/>
    <n v="9186194"/>
    <n v="1.24"/>
    <n v="11403705"/>
    <n v="9173112"/>
    <n v="1.18"/>
    <n v="40313650"/>
    <n v="34071829"/>
  </r>
  <r>
    <x v="37"/>
    <n v="5"/>
    <n v="21095"/>
    <n v="88473"/>
    <n v="82896"/>
    <n v="82896"/>
    <n v="263683"/>
    <n v="0.314"/>
    <n v="0.314"/>
    <n v="0.33600000000000002"/>
    <n v="6.0000000000000001E-3"/>
    <n v="6.9999999999999993E-2"/>
    <n v="7.5999999999999998E-2"/>
    <n v="9.0999999999999998E-2"/>
    <n v="0.111"/>
    <n v="0.128"/>
    <n v="646873"/>
    <n v="4.22"/>
    <n v="157249"/>
    <n v="37264"/>
    <n v="3.07"/>
    <n v="122831"/>
    <n v="39975"/>
    <n v="3.25"/>
    <n v="117287"/>
    <n v="36103"/>
    <n v="3.65"/>
    <n v="161517"/>
    <n v="44239"/>
    <n v="1.98"/>
    <n v="427974"/>
    <n v="216341"/>
  </r>
  <r>
    <x v="38"/>
    <n v="5"/>
    <n v="272284"/>
    <n v="647856"/>
    <n v="647856"/>
    <n v="647856"/>
    <n v="3403554"/>
    <n v="0.19"/>
    <n v="0.19"/>
    <n v="0.19"/>
    <n v="0"/>
    <n v="7.0000000000000007E-2"/>
    <n v="7.0000000000000007E-2"/>
    <n v="8.5000000000000006E-2"/>
    <n v="0.105"/>
    <n v="0.13900000000000001"/>
    <n v="4677143"/>
    <n v="2.19"/>
    <n v="666475"/>
    <n v="304049"/>
    <n v="2.77"/>
    <n v="998909"/>
    <n v="360537"/>
    <n v="2.35"/>
    <n v="1112510"/>
    <n v="473574"/>
    <n v="2.46"/>
    <n v="716722"/>
    <n v="291411"/>
    <n v="1.19"/>
    <n v="1881348"/>
    <n v="1585642"/>
  </r>
  <r>
    <x v="39"/>
    <n v="5"/>
    <n v="52496"/>
    <n v="125499"/>
    <n v="121542"/>
    <n v="121542"/>
    <n v="656195"/>
    <n v="0.185"/>
    <n v="0.185"/>
    <n v="0.191"/>
    <n v="1.6E-2"/>
    <n v="6.9999999999999993E-2"/>
    <n v="8.5999999999999993E-2"/>
    <n v="0.10100000000000001"/>
    <n v="0.121"/>
    <n v="7.6999999999999999E-2"/>
    <n v="1581230"/>
    <n v="2.0099999999999998"/>
    <n v="102717"/>
    <n v="51148"/>
    <n v="1.86"/>
    <n v="114232"/>
    <n v="61436"/>
    <n v="1.62"/>
    <n v="108678"/>
    <n v="67227"/>
    <n v="1.81"/>
    <n v="146195"/>
    <n v="80924"/>
    <n v="1.31"/>
    <n v="1170988"/>
    <n v="894953"/>
  </r>
  <r>
    <x v="40"/>
    <n v="5"/>
    <n v="9826"/>
    <n v="30262"/>
    <n v="30262"/>
    <n v="30262"/>
    <n v="122829"/>
    <n v="0.246"/>
    <n v="0.246"/>
    <n v="0.246"/>
    <n v="0"/>
    <n v="7.0000000000000007E-2"/>
    <n v="7.0000000000000007E-2"/>
    <n v="8.5000000000000006E-2"/>
    <n v="0.105"/>
    <n v="0.108"/>
    <n v="280454"/>
    <n v="2.21"/>
    <n v="35997"/>
    <n v="16314"/>
    <n v="2.2200000000000002"/>
    <n v="30896"/>
    <n v="13914"/>
    <n v="1.87"/>
    <n v="24840"/>
    <n v="13298"/>
    <n v="1.87"/>
    <n v="26823"/>
    <n v="14358"/>
    <n v="2.11"/>
    <n v="218810"/>
    <n v="102943"/>
  </r>
  <r>
    <x v="41"/>
    <n v="5"/>
    <n v="38126"/>
    <n v="109019"/>
    <n v="101755"/>
    <n v="101755"/>
    <n v="476572"/>
    <n v="0.214"/>
    <n v="0.214"/>
    <n v="0.22900000000000001"/>
    <n v="1E-3"/>
    <n v="6.9999999999999993E-2"/>
    <n v="7.0999999999999994E-2"/>
    <n v="8.5999999999999993E-2"/>
    <n v="0.106"/>
    <n v="9.8000000000000004E-2"/>
    <n v="1040240"/>
    <n v="1.96"/>
    <n v="259235"/>
    <n v="132351"/>
    <n v="1.97"/>
    <n v="309193"/>
    <n v="157039"/>
    <n v="1.58"/>
    <n v="239883"/>
    <n v="151849"/>
    <n v="3.28"/>
    <n v="321880"/>
    <n v="98184"/>
    <n v="1.67"/>
    <n v="715092"/>
    <n v="426991"/>
  </r>
  <r>
    <x v="42"/>
    <n v="5"/>
    <n v="27573"/>
    <n v="143250"/>
    <n v="143250"/>
    <n v="143250"/>
    <n v="344658"/>
    <n v="0.41599999999999998"/>
    <n v="0.41599999999999998"/>
    <n v="0.41599999999999998"/>
    <n v="1E-3"/>
    <n v="6.9999999999999993E-2"/>
    <n v="7.0999999999999994E-2"/>
    <n v="8.5999999999999993E-2"/>
    <n v="0.106"/>
    <n v="0.156"/>
    <n v="919353"/>
    <n v="2.35"/>
    <n v="304165"/>
    <n v="129379"/>
    <n v="2.59"/>
    <n v="224997"/>
    <n v="86982"/>
    <n v="2.5099999999999998"/>
    <n v="152712"/>
    <n v="60952"/>
    <n v="2.41"/>
    <n v="161952"/>
    <n v="67265"/>
    <n v="1.3"/>
    <n v="463557"/>
    <n v="355769"/>
  </r>
  <r>
    <x v="43"/>
    <n v="5"/>
    <n v="99462"/>
    <n v="205267"/>
    <n v="205267"/>
    <n v="205267"/>
    <n v="1243281"/>
    <n v="0.16500000000000001"/>
    <n v="0.16500000000000001"/>
    <n v="0.16500000000000001"/>
    <n v="0"/>
    <n v="7.0000000000000007E-2"/>
    <n v="7.0000000000000007E-2"/>
    <n v="8.5000000000000006E-2"/>
    <n v="0.105"/>
    <n v="0.11"/>
    <n v="1866386"/>
    <n v="1.37"/>
    <n v="198584"/>
    <n v="144799"/>
    <n v="1.22"/>
    <n v="240051"/>
    <n v="196660"/>
    <n v="1.22"/>
    <n v="212668"/>
    <n v="173992"/>
    <n v="1.31"/>
    <n v="198209"/>
    <n v="151740"/>
    <n v="1.7"/>
    <n v="924686"/>
    <n v="544027"/>
  </r>
  <r>
    <x v="44"/>
    <n v="3"/>
    <n v="308776"/>
    <n v="935702"/>
    <n v="935702"/>
    <n v="935702"/>
    <n v="3859699"/>
    <n v="0.24199999999999999"/>
    <n v="0.24199999999999999"/>
    <n v="0.24199999999999999"/>
    <n v="0"/>
    <n v="7.8E-2"/>
    <n v="7.8E-2"/>
    <n v="9.6000000000000002E-2"/>
    <n v="0.12"/>
    <n v="7.1999999999999995E-2"/>
    <n v="13046241"/>
    <n v="1.28"/>
    <n v="3891902"/>
    <n v="3032757"/>
    <n v="1.38"/>
    <n v="4110482"/>
    <n v="2978681"/>
    <n v="1.55"/>
    <n v="4603680"/>
    <n v="2970093"/>
    <n v="1.59"/>
    <n v="4440895"/>
    <n v="2786067"/>
    <n v="1.34"/>
    <n v="5406543"/>
    <n v="4021516"/>
  </r>
  <r>
    <x v="45"/>
    <n v="4"/>
    <n v="50960"/>
    <n v="177110"/>
    <n v="177110"/>
    <n v="177110"/>
    <n v="636997"/>
    <n v="0.27800000000000002"/>
    <n v="0.27800000000000002"/>
    <n v="0.27800000000000002"/>
    <n v="2E-3"/>
    <n v="7.3999999999999996E-2"/>
    <n v="7.5999999999999998E-2"/>
    <n v="9.1999999999999998E-2"/>
    <n v="0.114"/>
    <n v="0.11899999999999999"/>
    <n v="1490853"/>
    <n v="1.86"/>
    <n v="376582"/>
    <n v="202761"/>
    <n v="1.53"/>
    <n v="280095"/>
    <n v="182652"/>
    <n v="1.53"/>
    <n v="287334"/>
    <n v="187212"/>
    <n v="2.1800000000000002"/>
    <n v="473672"/>
    <n v="217638"/>
    <n v="1.85"/>
    <n v="842430"/>
    <n v="456097"/>
  </r>
  <r>
    <x v="46"/>
    <n v="4"/>
    <n v="70570"/>
    <n v="160066"/>
    <n v="110066"/>
    <n v="160066"/>
    <n v="882129"/>
    <n v="0.125"/>
    <n v="0.18099999999999999"/>
    <n v="0.18099999999999999"/>
    <n v="1E-3"/>
    <n v="7.3999999999999996E-2"/>
    <n v="7.4999999999999997E-2"/>
    <n v="9.0999999999999998E-2"/>
    <n v="0.113"/>
    <n v="4.1000000000000002E-2"/>
    <n v="3942512"/>
    <n v="1.6"/>
    <n v="324704"/>
    <n v="203232"/>
    <n v="1.74"/>
    <n v="364332"/>
    <n v="209341"/>
    <n v="1.36"/>
    <n v="319531"/>
    <n v="235055"/>
    <n v="1.42"/>
    <n v="271615"/>
    <n v="190789"/>
    <n v="1.1499999999999999"/>
    <n v="2099150"/>
    <n v="1820578"/>
  </r>
  <r>
    <x v="47"/>
    <n v="3"/>
    <n v="1170130"/>
    <n v="2861054"/>
    <n v="2829192"/>
    <n v="2829192"/>
    <n v="14626630"/>
    <n v="0.193"/>
    <n v="0.193"/>
    <n v="0.19600000000000001"/>
    <n v="1.4E-2"/>
    <n v="7.8E-2"/>
    <n v="9.1999999999999998E-2"/>
    <n v="0.11"/>
    <n v="0.13400000000000001"/>
    <n v="7.5999999999999998E-2"/>
    <n v="37103530"/>
    <n v="1.37"/>
    <n v="5363532"/>
    <n v="3907296"/>
    <n v="1.35"/>
    <n v="5237798"/>
    <n v="3867085"/>
    <n v="1.37"/>
    <n v="5444399"/>
    <n v="3965239"/>
    <n v="1.59"/>
    <n v="6771315"/>
    <n v="4270205"/>
    <n v="1.46"/>
    <n v="27645020"/>
    <n v="18982077"/>
  </r>
  <r>
    <x v="48"/>
    <n v="3"/>
    <n v="2008445"/>
    <n v="4641843"/>
    <n v="4423842"/>
    <n v="4557387"/>
    <n v="25105560"/>
    <n v="0.17599999999999999"/>
    <n v="0.182"/>
    <n v="0.185"/>
    <n v="0.01"/>
    <n v="7.8E-2"/>
    <n v="8.7999999999999995E-2"/>
    <n v="0.106"/>
    <n v="0.13"/>
    <n v="7.0999999999999994E-2"/>
    <n v="64020284"/>
    <n v="1.36"/>
    <n v="9421960"/>
    <n v="6948144"/>
    <n v="1.31"/>
    <n v="9575123"/>
    <n v="7297703"/>
    <n v="1.5"/>
    <n v="7496892"/>
    <n v="5002604"/>
    <n v="1.32"/>
    <n v="7689079"/>
    <n v="5807439"/>
    <n v="1.27"/>
    <n v="38684836"/>
    <n v="30568394"/>
  </r>
  <r>
    <x v="49"/>
    <n v="5"/>
    <n v="19722"/>
    <n v="143505"/>
    <n v="143481"/>
    <n v="143481"/>
    <n v="246525"/>
    <n v="0.58199999999999996"/>
    <n v="0.58199999999999996"/>
    <n v="0.58199999999999996"/>
    <n v="0"/>
    <n v="7.0000000000000007E-2"/>
    <n v="7.0000000000000007E-2"/>
    <n v="8.5000000000000006E-2"/>
    <n v="0.105"/>
    <n v="0.14899999999999999"/>
    <n v="965446"/>
    <n v="1.92"/>
    <n v="139498"/>
    <n v="72511"/>
    <n v="1.97"/>
    <n v="118984"/>
    <n v="60402"/>
    <n v="1.64"/>
    <n v="104737"/>
    <n v="63907"/>
    <n v="1.92"/>
    <n v="125091"/>
    <n v="65303"/>
    <n v="1.24"/>
    <n v="445154"/>
    <n v="359239"/>
  </r>
  <r>
    <x v="50"/>
    <n v="5"/>
    <n v="17328"/>
    <n v="43887"/>
    <n v="43887"/>
    <n v="43887"/>
    <n v="216601"/>
    <n v="0.20300000000000001"/>
    <n v="0.20300000000000001"/>
    <n v="0.20300000000000001"/>
    <n v="0"/>
    <n v="7.0000000000000007E-2"/>
    <n v="7.0000000000000007E-2"/>
    <n v="8.5000000000000006E-2"/>
    <n v="0.105"/>
    <n v="7.2999999999999995E-2"/>
    <n v="602882"/>
    <n v="1.91"/>
    <n v="81476"/>
    <n v="42593"/>
    <n v="1.77"/>
    <n v="86709"/>
    <n v="48986"/>
    <n v="1.97"/>
    <n v="88379"/>
    <n v="44822"/>
    <n v="1.98"/>
    <n v="87168"/>
    <n v="44019"/>
    <n v="2.31"/>
    <n v="364088"/>
    <n v="157643"/>
  </r>
  <r>
    <x v="51"/>
    <n v="3"/>
    <n v="1332645"/>
    <n v="3231533"/>
    <n v="2875338"/>
    <n v="2875338"/>
    <n v="16658058"/>
    <n v="0.17299999999999999"/>
    <n v="0.17299999999999999"/>
    <n v="0.19400000000000001"/>
    <n v="1.4E-2"/>
    <n v="7.8E-2"/>
    <n v="9.1999999999999998E-2"/>
    <n v="0.11"/>
    <n v="0.13400000000000001"/>
    <n v="6.9000000000000006E-2"/>
    <n v="41683305"/>
    <n v="1.99"/>
    <n v="8033239"/>
    <n v="4029237"/>
    <n v="1.93"/>
    <n v="7665560"/>
    <n v="3977312"/>
    <n v="1.72"/>
    <n v="6175410"/>
    <n v="3584342"/>
    <n v="1.54"/>
    <n v="5664645"/>
    <n v="3689199"/>
    <n v="1.49"/>
    <n v="34106451"/>
    <n v="22925586"/>
  </r>
  <r>
    <x v="52"/>
    <n v="4"/>
    <n v="60818"/>
    <n v="147280"/>
    <n v="144425"/>
    <n v="144425"/>
    <n v="760224"/>
    <n v="0.19"/>
    <n v="0.19"/>
    <n v="0.19400000000000001"/>
    <n v="1.6E-2"/>
    <n v="7.3999999999999996E-2"/>
    <n v="0.09"/>
    <n v="0.106"/>
    <n v="0.128"/>
    <n v="0.08"/>
    <n v="1806855"/>
    <n v="2.2799999999999998"/>
    <n v="154217"/>
    <n v="67662"/>
    <n v="2.62"/>
    <n v="154220"/>
    <n v="58939"/>
    <n v="2.4500000000000002"/>
    <n v="138024"/>
    <n v="56346"/>
    <n v="2.44"/>
    <n v="151748"/>
    <n v="62172"/>
    <n v="1.28"/>
    <n v="1479700"/>
    <n v="1156031"/>
  </r>
  <r>
    <x v="53"/>
    <n v="5"/>
    <n v="2946"/>
    <n v="43478"/>
    <n v="43478"/>
    <n v="43478"/>
    <n v="36828"/>
    <n v="1.181"/>
    <n v="1.181"/>
    <n v="1.181"/>
    <n v="0"/>
    <n v="7.0000000000000007E-2"/>
    <n v="7.0000000000000007E-2"/>
    <n v="8.5000000000000006E-2"/>
    <n v="0.105"/>
    <n v="0.71899999999999997"/>
    <n v="60471"/>
    <n v="128.66999999999999"/>
    <n v="33577"/>
    <n v="261"/>
    <n v="40.72"/>
    <n v="28620"/>
    <n v="703"/>
    <n v="27.57"/>
    <n v="30148"/>
    <n v="1094"/>
    <n v="31.83"/>
    <n v="22842"/>
    <n v="718"/>
    <n v="1.67"/>
    <n v="95637"/>
    <n v="57244"/>
  </r>
  <r>
    <x v="54"/>
    <n v="4"/>
    <n v="350079"/>
    <n v="1050845"/>
    <n v="1050845"/>
    <n v="1050845"/>
    <n v="4375990"/>
    <n v="0.24"/>
    <n v="0.24"/>
    <n v="0.24"/>
    <n v="1E-3"/>
    <n v="7.3999999999999996E-2"/>
    <n v="7.4999999999999997E-2"/>
    <n v="9.0999999999999998E-2"/>
    <n v="0.113"/>
    <n v="6.0999999999999999E-2"/>
    <n v="17318004"/>
    <n v="2.08"/>
    <n v="5791471"/>
    <n v="2785348"/>
    <n v="1.44"/>
    <n v="6537529"/>
    <n v="4554424"/>
    <n v="1.56"/>
    <n v="7305706"/>
    <n v="4696067"/>
    <n v="1.35"/>
    <n v="6457451"/>
    <n v="4792745"/>
    <n v="1.21"/>
    <n v="5758153"/>
    <n v="4770613"/>
  </r>
  <r>
    <x v="55"/>
    <n v="5"/>
    <n v="9438"/>
    <n v="35383"/>
    <n v="35383"/>
    <n v="35383"/>
    <n v="117980"/>
    <n v="0.3"/>
    <n v="0.3"/>
    <n v="0.3"/>
    <n v="0"/>
    <n v="7.0000000000000007E-2"/>
    <n v="7.0000000000000007E-2"/>
    <n v="8.5000000000000006E-2"/>
    <n v="0.105"/>
    <n v="4.7E-2"/>
    <n v="757164"/>
    <n v="3.59"/>
    <n v="234594"/>
    <n v="65426"/>
    <n v="5.5"/>
    <n v="312892"/>
    <n v="56902"/>
    <n v="5.12"/>
    <n v="277282"/>
    <n v="54193"/>
    <n v="5.34"/>
    <n v="315113"/>
    <n v="58978"/>
    <n v="8.43"/>
    <n v="445900"/>
    <n v="52880"/>
  </r>
  <r>
    <x v="56"/>
    <n v="3"/>
    <n v="639410"/>
    <n v="1848289"/>
    <n v="1543339"/>
    <n v="1543339"/>
    <n v="7992625"/>
    <n v="0.193"/>
    <n v="0.193"/>
    <n v="0.23100000000000001"/>
    <n v="0"/>
    <n v="7.8E-2"/>
    <n v="7.8E-2"/>
    <n v="9.6000000000000002E-2"/>
    <n v="0.12"/>
    <n v="7.0999999999999994E-2"/>
    <n v="21782242"/>
    <n v="1.46"/>
    <n v="7463592"/>
    <n v="5102687"/>
    <n v="1.49"/>
    <n v="7010520"/>
    <n v="4719906"/>
    <n v="1.46"/>
    <n v="7534429"/>
    <n v="5162116"/>
    <n v="1.34"/>
    <n v="8882235"/>
    <n v="6637012"/>
    <n v="1.25"/>
    <n v="9424725"/>
    <n v="7561468"/>
  </r>
  <r>
    <x v="57"/>
    <n v="5"/>
    <n v="3622"/>
    <n v="9767"/>
    <n v="8398"/>
    <n v="8398"/>
    <n v="45269"/>
    <n v="0.186"/>
    <n v="0.186"/>
    <n v="0.216"/>
    <n v="1.7000000000000001E-2"/>
    <n v="6.9999999999999993E-2"/>
    <n v="8.6999999999999994E-2"/>
    <n v="0.10199999999999999"/>
    <n v="0.122"/>
    <n v="7.6999999999999999E-2"/>
    <n v="109638"/>
    <n v="2.16"/>
    <n v="19444"/>
    <n v="9014"/>
    <n v="1.59"/>
    <n v="12308"/>
    <n v="7759"/>
    <n v="1.38"/>
    <n v="9483"/>
    <n v="6867"/>
    <n v="1.28"/>
    <n v="8149"/>
    <n v="6378"/>
    <n v="1.66"/>
    <n v="102524"/>
    <n v="61751"/>
  </r>
  <r>
    <x v="58"/>
    <n v="5"/>
    <n v="24881"/>
    <n v="59185"/>
    <n v="53685"/>
    <n v="53685"/>
    <n v="311018"/>
    <n v="0.17299999999999999"/>
    <n v="0.17299999999999999"/>
    <n v="0.19"/>
    <n v="1.4999999999999999E-2"/>
    <n v="7.0000000000000007E-2"/>
    <n v="8.5000000000000006E-2"/>
    <n v="0.1"/>
    <n v="0.12"/>
    <n v="7.5999999999999998E-2"/>
    <n v="708251"/>
    <n v="3.91"/>
    <n v="44379"/>
    <n v="11346"/>
    <n v="3.65"/>
    <n v="42199"/>
    <n v="11572"/>
    <n v="4.08"/>
    <n v="35444"/>
    <n v="8686"/>
    <n v="6.61"/>
    <n v="52144"/>
    <n v="7890"/>
    <n v="1.66"/>
    <n v="649703"/>
    <n v="390836"/>
  </r>
  <r>
    <x v="59"/>
    <n v="4"/>
    <n v="87850"/>
    <n v="406830"/>
    <n v="406830"/>
    <n v="406830"/>
    <n v="1098130"/>
    <n v="0.37"/>
    <n v="0.37"/>
    <n v="0.37"/>
    <n v="1E-3"/>
    <n v="7.3999999999999996E-2"/>
    <n v="7.4999999999999997E-2"/>
    <n v="9.0999999999999998E-2"/>
    <n v="0.113"/>
    <n v="0.09"/>
    <n v="4544874"/>
    <n v="9.6"/>
    <n v="2490964"/>
    <n v="259393"/>
    <n v="9.32"/>
    <n v="2368557"/>
    <n v="254235"/>
    <n v="9.1999999999999993"/>
    <n v="2113254"/>
    <n v="229711"/>
    <n v="8.3699999999999992"/>
    <n v="2138679"/>
    <n v="255551"/>
    <n v="2.9"/>
    <n v="3229492"/>
    <n v="1114727"/>
  </r>
  <r>
    <x v="60"/>
    <n v="4"/>
    <n v="487025"/>
    <n v="1094390"/>
    <n v="941453"/>
    <n v="1091453"/>
    <n v="6087809"/>
    <n v="0.155"/>
    <n v="0.17899999999999999"/>
    <n v="0.18"/>
    <n v="0"/>
    <n v="7.3999999999999996E-2"/>
    <n v="7.3999999999999996E-2"/>
    <n v="0.09"/>
    <n v="0.112"/>
    <n v="0.13300000000000001"/>
    <n v="8199034"/>
    <n v="9.39"/>
    <n v="1178597"/>
    <n v="125583"/>
    <n v="8.9"/>
    <n v="1052073"/>
    <n v="118207"/>
    <n v="9.33"/>
    <n v="889480"/>
    <n v="95352"/>
    <n v="15.51"/>
    <n v="865855"/>
    <n v="55826"/>
    <n v="1.23"/>
    <n v="6737222"/>
    <n v="5472593"/>
  </r>
  <r>
    <x v="61"/>
    <n v="5"/>
    <n v="45630"/>
    <n v="170418"/>
    <n v="139377"/>
    <n v="139377"/>
    <n v="570377"/>
    <n v="0.24399999999999999"/>
    <n v="0.24399999999999999"/>
    <n v="0.29899999999999999"/>
    <n v="0"/>
    <n v="7.0000000000000007E-2"/>
    <n v="7.0000000000000007E-2"/>
    <n v="8.5000000000000006E-2"/>
    <n v="0.105"/>
    <n v="7.3999999999999996E-2"/>
    <n v="1895257"/>
    <n v="4.08"/>
    <n v="1143923"/>
    <n v="280186"/>
    <n v="4.53"/>
    <n v="1068438"/>
    <n v="236034"/>
    <n v="4.6100000000000003"/>
    <n v="1000956"/>
    <n v="217085"/>
    <n v="4.8899999999999997"/>
    <n v="996710"/>
    <n v="203907"/>
    <n v="2.91"/>
    <n v="1256793"/>
    <n v="431919"/>
  </r>
  <r>
    <x v="62"/>
    <n v="5"/>
    <n v="13278"/>
    <n v="24868"/>
    <n v="24868"/>
    <n v="24868"/>
    <n v="165975"/>
    <n v="0.15"/>
    <n v="0.15"/>
    <n v="0.15"/>
    <n v="0"/>
    <n v="7.0000000000000007E-2"/>
    <n v="7.0000000000000007E-2"/>
    <n v="8.5000000000000006E-2"/>
    <n v="0.105"/>
    <n v="7.3999999999999996E-2"/>
    <n v="336788"/>
    <n v="3.04"/>
    <n v="70928"/>
    <n v="23352"/>
    <n v="2.38"/>
    <n v="76024"/>
    <n v="31882"/>
    <n v="4.24"/>
    <n v="74201"/>
    <n v="17491"/>
    <n v="5.56"/>
    <n v="90828"/>
    <n v="16336"/>
    <n v="2.11"/>
    <n v="213787"/>
    <n v="101206"/>
  </r>
  <r>
    <x v="63"/>
    <n v="4"/>
    <n v="529306"/>
    <n v="1378163"/>
    <n v="1365025"/>
    <n v="1365025"/>
    <n v="6616319"/>
    <n v="0.20599999999999999"/>
    <n v="0.20599999999999999"/>
    <n v="0.20799999999999999"/>
    <n v="1.4E-2"/>
    <n v="7.3999999999999996E-2"/>
    <n v="8.7999999999999995E-2"/>
    <n v="0.104"/>
    <n v="0.126"/>
    <n v="9.0999999999999998E-2"/>
    <n v="15027880"/>
    <n v="1.51"/>
    <n v="1386226"/>
    <n v="919453"/>
    <n v="1.69"/>
    <n v="1513522"/>
    <n v="896760"/>
    <n v="1.81"/>
    <n v="1360975"/>
    <n v="750172"/>
    <n v="1.53"/>
    <n v="1300812"/>
    <n v="851955"/>
    <n v="1.32"/>
    <n v="12845997"/>
    <n v="9766736"/>
  </r>
  <r>
    <x v="64"/>
    <n v="4"/>
    <n v="417359"/>
    <n v="1204293"/>
    <n v="1204293"/>
    <n v="1204293"/>
    <n v="5216986"/>
    <n v="0.23100000000000001"/>
    <n v="0.23100000000000001"/>
    <n v="0.23100000000000001"/>
    <n v="3.0000000000000001E-3"/>
    <n v="7.3999999999999996E-2"/>
    <n v="7.6999999999999999E-2"/>
    <n v="9.2999999999999999E-2"/>
    <n v="0.115"/>
    <n v="0.13300000000000001"/>
    <n v="9057793"/>
    <n v="2.6"/>
    <n v="1437102"/>
    <n v="552993"/>
    <n v="2.9"/>
    <n v="1418350"/>
    <n v="489378"/>
    <n v="2.72"/>
    <n v="1250909"/>
    <n v="459086"/>
    <n v="2.61"/>
    <n v="1314660"/>
    <n v="503435"/>
    <n v="1.42"/>
    <n v="5627240"/>
    <n v="3953261"/>
  </r>
  <r>
    <x v="65"/>
    <n v="4"/>
    <n v="204063"/>
    <n v="445674"/>
    <n v="445674"/>
    <n v="445674"/>
    <n v="2550787"/>
    <n v="0.17499999999999999"/>
    <n v="0.17499999999999999"/>
    <n v="0.17499999999999999"/>
    <n v="1.6E-2"/>
    <n v="7.3999999999999996E-2"/>
    <n v="0.09"/>
    <n v="0.106"/>
    <n v="0.128"/>
    <n v="6.4000000000000001E-2"/>
    <n v="6916176"/>
    <n v="1.78"/>
    <n v="540336"/>
    <n v="303512"/>
    <n v="1.61"/>
    <n v="518547"/>
    <n v="321922"/>
    <n v="1.37"/>
    <n v="547926"/>
    <n v="400087"/>
    <n v="1.44"/>
    <n v="532578"/>
    <n v="369578"/>
    <n v="1.1100000000000001"/>
    <n v="5170030"/>
    <n v="4673595"/>
  </r>
  <r>
    <x v="66"/>
    <n v="5"/>
    <n v="52988"/>
    <n v="143652"/>
    <n v="143652"/>
    <n v="143652"/>
    <n v="662344"/>
    <n v="0.217"/>
    <n v="0.217"/>
    <n v="0.217"/>
    <n v="0"/>
    <n v="7.0000000000000007E-2"/>
    <n v="7.0000000000000007E-2"/>
    <n v="8.5000000000000006E-2"/>
    <n v="0.105"/>
    <n v="0.16700000000000001"/>
    <n v="861485"/>
    <n v="2.82"/>
    <n v="124944"/>
    <n v="44270"/>
    <n v="2.65"/>
    <n v="138558"/>
    <n v="52264"/>
    <n v="2.81"/>
    <n v="156617"/>
    <n v="55812"/>
    <n v="1.79"/>
    <n v="135266"/>
    <n v="75592"/>
    <n v="1.29"/>
    <n v="341012"/>
    <n v="263874"/>
  </r>
  <r>
    <x v="67"/>
    <n v="5"/>
    <n v="10103"/>
    <n v="41853"/>
    <n v="41853"/>
    <n v="41853"/>
    <n v="126284"/>
    <n v="0.33100000000000002"/>
    <n v="0.33100000000000002"/>
    <n v="0.33100000000000002"/>
    <n v="0"/>
    <n v="7.0000000000000007E-2"/>
    <n v="7.0000000000000007E-2"/>
    <n v="8.5000000000000006E-2"/>
    <n v="0.105"/>
    <n v="0.76"/>
    <n v="55098"/>
    <s v="2)"/>
    <s v="2)"/>
    <s v="2)"/>
    <s v="2)"/>
    <s v="2)"/>
    <s v="2)"/>
    <s v="2)"/>
    <s v="2)"/>
    <s v="2)"/>
    <s v="2)"/>
    <s v="2)"/>
    <s v="2)"/>
    <n v="1.45"/>
    <n v="46139"/>
    <n v="31887"/>
  </r>
  <r>
    <x v="68"/>
    <n v="5"/>
    <n v="924"/>
    <n v="4654"/>
    <n v="4654"/>
    <n v="4654"/>
    <n v="11556"/>
    <n v="0.40300000000000002"/>
    <n v="0.40300000000000002"/>
    <n v="0.40300000000000002"/>
    <n v="0"/>
    <n v="7.0000000000000007E-2"/>
    <n v="7.0000000000000007E-2"/>
    <n v="8.5000000000000006E-2"/>
    <n v="0.105"/>
    <n v="0.18"/>
    <n v="25794"/>
    <n v="17.62"/>
    <n v="8913"/>
    <n v="506"/>
    <n v="24.87"/>
    <n v="9103"/>
    <n v="366"/>
    <n v="16.39"/>
    <n v="9251"/>
    <n v="564"/>
    <n v="12.65"/>
    <n v="13393"/>
    <n v="1059"/>
    <n v="10.82"/>
    <n v="19805"/>
    <n v="1830"/>
  </r>
  <r>
    <x v="69"/>
    <n v="4"/>
    <n v="221132"/>
    <n v="621715"/>
    <n v="584204"/>
    <n v="584204"/>
    <n v="2764153"/>
    <n v="0.21099999999999999"/>
    <n v="0.21099999999999999"/>
    <n v="0.22500000000000001"/>
    <n v="0"/>
    <n v="7.3999999999999996E-2"/>
    <n v="7.3999999999999996E-2"/>
    <n v="0.09"/>
    <n v="0.112"/>
    <n v="8.8999999999999996E-2"/>
    <n v="6562499"/>
    <n v="1.9"/>
    <n v="1128022"/>
    <n v="592596"/>
    <n v="2.5"/>
    <n v="868292"/>
    <n v="346802"/>
    <n v="2.31"/>
    <n v="549758"/>
    <n v="237785"/>
    <n v="2.27"/>
    <n v="513345"/>
    <n v="225673"/>
    <n v="1.37"/>
    <n v="4082989"/>
    <n v="2984030"/>
  </r>
  <r>
    <x v="70"/>
    <n v="4"/>
    <n v="166285"/>
    <n v="592826"/>
    <n v="592826"/>
    <n v="592826"/>
    <n v="2078561"/>
    <n v="0.28499999999999998"/>
    <n v="0.28499999999999998"/>
    <n v="0.28499999999999998"/>
    <n v="2E-3"/>
    <n v="7.3999999999999996E-2"/>
    <n v="7.5999999999999998E-2"/>
    <n v="9.1999999999999998E-2"/>
    <n v="0.114"/>
    <n v="0.28999999999999998"/>
    <n v="2047750"/>
    <n v="2.36"/>
    <n v="419336"/>
    <n v="177757"/>
    <n v="2.34"/>
    <n v="389828"/>
    <n v="166768"/>
    <n v="2.71"/>
    <n v="569269"/>
    <n v="209678"/>
    <n v="2.6"/>
    <n v="376833"/>
    <n v="144724"/>
    <n v="1.31"/>
    <n v="1385650"/>
    <n v="1058817"/>
  </r>
  <r>
    <x v="71"/>
    <n v="5"/>
    <n v="19862"/>
    <n v="55565"/>
    <n v="55565"/>
    <n v="55565"/>
    <n v="248280"/>
    <n v="0.224"/>
    <n v="0.224"/>
    <n v="0.224"/>
    <n v="0"/>
    <n v="7.0000000000000007E-2"/>
    <n v="7.0000000000000007E-2"/>
    <n v="8.5000000000000006E-2"/>
    <n v="0.105"/>
    <n v="0.221"/>
    <n v="251433"/>
    <n v="17.579999999999998"/>
    <n v="112001"/>
    <n v="6371"/>
    <n v="20.89"/>
    <n v="122241"/>
    <n v="5852"/>
    <n v="20.97"/>
    <n v="123274"/>
    <n v="5878"/>
    <n v="17.62"/>
    <n v="126596"/>
    <n v="7185"/>
    <n v="5.74"/>
    <n v="198149"/>
    <n v="34492"/>
  </r>
  <r>
    <x v="72"/>
    <n v="5"/>
    <n v="23169"/>
    <n v="182200"/>
    <n v="182200"/>
    <n v="182200"/>
    <n v="289611"/>
    <n v="0.629"/>
    <n v="0.629"/>
    <n v="0.629"/>
    <n v="0"/>
    <n v="7.0000000000000007E-2"/>
    <n v="7.0000000000000007E-2"/>
    <n v="8.5000000000000006E-2"/>
    <n v="0.105"/>
    <n v="0.20699999999999999"/>
    <n v="878512"/>
    <n v="2.17"/>
    <n v="382997"/>
    <n v="176815"/>
    <n v="2.15"/>
    <n v="399208"/>
    <n v="185330"/>
    <n v="2.39"/>
    <n v="385794"/>
    <n v="161658"/>
    <n v="2.02"/>
    <n v="336069"/>
    <n v="166122"/>
    <n v="2.13"/>
    <n v="619425"/>
    <n v="290561"/>
  </r>
  <r>
    <x v="73"/>
    <n v="3"/>
    <n v="478462"/>
    <n v="1178808"/>
    <n v="1159043"/>
    <n v="1159043"/>
    <n v="5980774"/>
    <n v="0.19400000000000001"/>
    <n v="0.19400000000000001"/>
    <n v="0.19700000000000001"/>
    <n v="0"/>
    <n v="7.8E-2"/>
    <n v="7.8E-2"/>
    <n v="9.6000000000000002E-2"/>
    <n v="0.12"/>
    <n v="6.7000000000000004E-2"/>
    <n v="17370943"/>
    <n v="2.15"/>
    <n v="6783026"/>
    <n v="3154431"/>
    <n v="2.09"/>
    <n v="6881611"/>
    <n v="3286521"/>
    <n v="2.0499999999999998"/>
    <n v="6208150"/>
    <n v="3034323"/>
    <n v="1.97"/>
    <n v="5808551"/>
    <n v="2952636"/>
    <n v="1.79"/>
    <n v="9783145"/>
    <n v="5469482"/>
  </r>
  <r>
    <x v="74"/>
    <n v="3"/>
    <n v="506277"/>
    <n v="1143933"/>
    <n v="1074168"/>
    <n v="1124168"/>
    <n v="6328462"/>
    <n v="0.17"/>
    <n v="0.17799999999999999"/>
    <n v="0.18099999999999999"/>
    <n v="0"/>
    <n v="7.8E-2"/>
    <n v="7.8E-2"/>
    <n v="9.6000000000000002E-2"/>
    <n v="0.12"/>
    <n v="6.5000000000000002E-2"/>
    <n v="17365652"/>
    <n v="2.16"/>
    <n v="6783029"/>
    <n v="3146093"/>
    <n v="2.14"/>
    <n v="6881616"/>
    <n v="3210861"/>
    <n v="2.08"/>
    <n v="6194584"/>
    <n v="2976344"/>
    <n v="1.96"/>
    <n v="5808578"/>
    <n v="2964000"/>
    <n v="1.78"/>
    <n v="9748835"/>
    <n v="5477371"/>
  </r>
  <r>
    <x v="75"/>
    <n v="3"/>
    <n v="524784"/>
    <n v="1210463"/>
    <n v="919904"/>
    <n v="1210463"/>
    <n v="6559796"/>
    <n v="0.14000000000000001"/>
    <n v="0.185"/>
    <n v="0.185"/>
    <n v="1E-3"/>
    <n v="7.8E-2"/>
    <n v="7.9000000000000001E-2"/>
    <n v="9.7000000000000003E-2"/>
    <n v="0.121"/>
    <n v="4.2999999999999997E-2"/>
    <n v="28243214"/>
    <n v="1.45"/>
    <n v="6258397"/>
    <n v="4307445"/>
    <n v="1.44"/>
    <n v="6866050"/>
    <n v="4777589"/>
    <n v="1.58"/>
    <n v="5860839"/>
    <n v="3716831"/>
    <n v="1.7"/>
    <n v="5489212"/>
    <n v="3234703"/>
    <n v="1.43"/>
    <n v="13736405"/>
    <n v="9630782"/>
  </r>
  <r>
    <x v="76"/>
    <n v="3"/>
    <n v="736350"/>
    <n v="1804114"/>
    <n v="1472122"/>
    <n v="1665090"/>
    <n v="9204376"/>
    <n v="0.16"/>
    <n v="0.18099999999999999"/>
    <n v="0.19600000000000001"/>
    <n v="1E-3"/>
    <n v="7.8E-2"/>
    <n v="7.9000000000000001E-2"/>
    <n v="9.7000000000000003E-2"/>
    <n v="0.121"/>
    <n v="0.04"/>
    <n v="41379810"/>
    <n v="2.5299999999999998"/>
    <n v="13691213"/>
    <n v="5417861"/>
    <n v="2.4900000000000002"/>
    <n v="13816843"/>
    <n v="5559593"/>
    <n v="2.33"/>
    <n v="11199902"/>
    <n v="4797224"/>
    <n v="2.4500000000000002"/>
    <n v="10970079"/>
    <n v="4486180"/>
    <n v="1.89"/>
    <n v="24807904"/>
    <n v="13128232"/>
  </r>
  <r>
    <x v="77"/>
    <n v="3"/>
    <n v="747286"/>
    <n v="1999866"/>
    <n v="1648842"/>
    <n v="1999866"/>
    <n v="9341076"/>
    <n v="0.17699999999999999"/>
    <n v="0.214"/>
    <n v="0.214"/>
    <n v="1E-3"/>
    <n v="7.8E-2"/>
    <n v="7.9000000000000001E-2"/>
    <n v="9.7000000000000003E-2"/>
    <n v="0.121"/>
    <n v="4.8000000000000001E-2"/>
    <n v="41513315"/>
    <n v="2.4"/>
    <n v="13562441"/>
    <n v="5660538"/>
    <n v="2.38"/>
    <n v="13696970"/>
    <n v="5758780"/>
    <n v="2.23"/>
    <n v="11124995"/>
    <n v="4999799"/>
    <n v="2.35"/>
    <n v="10924549"/>
    <n v="4654422"/>
    <n v="1.85"/>
    <n v="24895450"/>
    <n v="13437370"/>
  </r>
  <r>
    <x v="78"/>
    <n v="5"/>
    <n v="49124"/>
    <n v="251531"/>
    <n v="224801"/>
    <n v="224801"/>
    <n v="614053"/>
    <n v="0.36599999999999999"/>
    <n v="0.36599999999999999"/>
    <n v="0.41"/>
    <n v="0"/>
    <n v="7.0000000000000007E-2"/>
    <n v="7.0000000000000007E-2"/>
    <n v="8.5000000000000006E-2"/>
    <n v="0.105"/>
    <n v="9.0999999999999998E-2"/>
    <n v="2462827"/>
    <n v="1.05"/>
    <n v="9963458"/>
    <n v="9510236"/>
    <n v="1.04"/>
    <n v="10549952"/>
    <n v="10128074"/>
    <n v="1.04"/>
    <n v="10273076"/>
    <n v="9905786"/>
    <n v="1.03"/>
    <n v="10813981"/>
    <n v="10459826"/>
    <n v="3.98"/>
    <n v="780239"/>
    <n v="196230"/>
  </r>
  <r>
    <x v="79"/>
    <n v="5"/>
    <n v="17564"/>
    <n v="33499"/>
    <n v="32721"/>
    <n v="32721"/>
    <n v="219556"/>
    <n v="0.14899999999999999"/>
    <n v="0.14899999999999999"/>
    <n v="0.153"/>
    <n v="1.2E-2"/>
    <n v="7.0000000000000007E-2"/>
    <n v="8.2000000000000003E-2"/>
    <n v="9.7000000000000003E-2"/>
    <n v="0.11700000000000001"/>
    <n v="7.4999999999999997E-2"/>
    <n v="433597"/>
    <n v="1.48"/>
    <n v="19614"/>
    <n v="13284"/>
    <n v="1.96"/>
    <n v="26397"/>
    <n v="13434"/>
    <n v="1.68"/>
    <n v="29189"/>
    <n v="17396"/>
    <n v="1.52"/>
    <n v="23783"/>
    <n v="15636"/>
    <n v="1.1599999999999999"/>
    <n v="352440"/>
    <n v="304564"/>
  </r>
  <r>
    <x v="80"/>
    <n v="5"/>
    <n v="45867"/>
    <n v="120132"/>
    <n v="120132"/>
    <n v="120132"/>
    <n v="573333"/>
    <n v="0.21"/>
    <n v="0.21"/>
    <n v="0.21"/>
    <n v="0"/>
    <n v="7.0000000000000007E-2"/>
    <n v="7.0000000000000007E-2"/>
    <n v="8.5000000000000006E-2"/>
    <n v="0.105"/>
    <n v="0.13500000000000001"/>
    <n v="888755"/>
    <n v="3.41"/>
    <n v="189179"/>
    <n v="55464"/>
    <n v="2.91"/>
    <n v="197097"/>
    <n v="67627"/>
    <n v="2.5299999999999998"/>
    <n v="157169"/>
    <n v="62085"/>
    <n v="1.93"/>
    <n v="157221"/>
    <n v="81277"/>
    <n v="1.38"/>
    <n v="500102"/>
    <n v="361126"/>
  </r>
  <r>
    <x v="81"/>
    <n v="5"/>
    <n v="657"/>
    <n v="2117"/>
    <n v="2117"/>
    <n v="2117"/>
    <n v="8208"/>
    <n v="0.25800000000000001"/>
    <n v="0.25800000000000001"/>
    <n v="0.25800000000000001"/>
    <n v="0"/>
    <n v="7.0000000000000007E-2"/>
    <n v="7.0000000000000007E-2"/>
    <n v="8.5000000000000006E-2"/>
    <n v="0.105"/>
    <n v="0.14399999999999999"/>
    <n v="14682"/>
    <n v="14.47"/>
    <n v="8603"/>
    <n v="595"/>
    <n v="15.84"/>
    <n v="7314"/>
    <n v="462"/>
    <n v="11.05"/>
    <n v="5643"/>
    <n v="511"/>
    <n v="14.5"/>
    <n v="5896"/>
    <n v="407"/>
    <n v="1.87"/>
    <n v="12885"/>
    <n v="6876"/>
  </r>
  <r>
    <x v="82"/>
    <n v="4"/>
    <n v="68642"/>
    <n v="224660"/>
    <n v="224660"/>
    <n v="224660"/>
    <n v="858031"/>
    <n v="0.26200000000000001"/>
    <n v="0.26200000000000001"/>
    <n v="0.26200000000000001"/>
    <n v="1E-3"/>
    <n v="7.3999999999999996E-2"/>
    <n v="7.4999999999999997E-2"/>
    <n v="9.0999999999999998E-2"/>
    <n v="0.113"/>
    <n v="0.14099999999999999"/>
    <n v="1591552"/>
    <n v="1.88"/>
    <n v="376582"/>
    <n v="200043"/>
    <n v="1.67"/>
    <n v="280095"/>
    <n v="167647"/>
    <n v="1.58"/>
    <n v="287334"/>
    <n v="181339"/>
    <n v="2.2799999999999998"/>
    <n v="473672"/>
    <n v="207916"/>
    <n v="1.67"/>
    <n v="863516"/>
    <n v="518182"/>
  </r>
  <r>
    <x v="83"/>
    <n v="5"/>
    <n v="22901"/>
    <n v="114264"/>
    <n v="114264"/>
    <n v="114264"/>
    <n v="286257"/>
    <n v="0.39900000000000002"/>
    <n v="0.39900000000000002"/>
    <n v="0.39900000000000002"/>
    <n v="2E-3"/>
    <n v="6.9999999999999993E-2"/>
    <n v="7.1999999999999995E-2"/>
    <n v="8.6999999999999994E-2"/>
    <n v="0.107"/>
    <n v="0.154"/>
    <n v="740454"/>
    <n v="1.85"/>
    <n v="253566"/>
    <n v="137366"/>
    <n v="1.57"/>
    <n v="289783"/>
    <n v="184096"/>
    <n v="1.41"/>
    <n v="251442"/>
    <n v="177998"/>
    <n v="1.25"/>
    <n v="223968"/>
    <n v="179506"/>
    <n v="1.41"/>
    <n v="458577"/>
    <n v="324293"/>
  </r>
  <r>
    <x v="84"/>
    <n v="5"/>
    <n v="18157"/>
    <n v="27874"/>
    <n v="26528"/>
    <n v="27278"/>
    <n v="226963"/>
    <n v="0.11700000000000001"/>
    <n v="0.12"/>
    <n v="0.123"/>
    <n v="8.9999999999999993E-3"/>
    <n v="7.0000000000000007E-2"/>
    <n v="7.9000000000000001E-2"/>
    <n v="9.4E-2"/>
    <n v="0.114"/>
    <n v="6.9000000000000006E-2"/>
    <n v="396033"/>
    <n v="1.57"/>
    <n v="38507"/>
    <n v="24491"/>
    <n v="1.61"/>
    <n v="38649"/>
    <n v="23949"/>
    <n v="1.59"/>
    <n v="36748"/>
    <n v="23160"/>
    <n v="1.49"/>
    <n v="36088"/>
    <n v="24174"/>
    <n v="1.49"/>
    <n v="361924"/>
    <n v="243562"/>
  </r>
  <r>
    <x v="85"/>
    <n v="4"/>
    <n v="295860"/>
    <n v="685188"/>
    <n v="423182"/>
    <n v="523182"/>
    <n v="3698246"/>
    <n v="0.114"/>
    <n v="0.14099999999999999"/>
    <n v="0.185"/>
    <n v="1.2999999999999999E-2"/>
    <n v="7.3999999999999996E-2"/>
    <n v="8.6999999999999994E-2"/>
    <n v="0.10299999999999999"/>
    <n v="0.125"/>
    <n v="5.7000000000000002E-2"/>
    <n v="9203867"/>
    <n v="2.08"/>
    <n v="2165970"/>
    <n v="1039692"/>
    <n v="1.91"/>
    <n v="2046362"/>
    <n v="1068825"/>
    <n v="1.74"/>
    <n v="1834454"/>
    <n v="1053656"/>
    <n v="1.89"/>
    <n v="1984631"/>
    <n v="1048682"/>
    <n v="1.41"/>
    <n v="6073752"/>
    <n v="4310980"/>
  </r>
  <r>
    <x v="86"/>
    <n v="5"/>
    <n v="13413"/>
    <n v="52285"/>
    <n v="41031"/>
    <n v="41031"/>
    <n v="167668"/>
    <n v="0.245"/>
    <n v="0.245"/>
    <n v="0.312"/>
    <n v="1E-3"/>
    <n v="6.9999999999999993E-2"/>
    <n v="7.0999999999999994E-2"/>
    <n v="8.5999999999999993E-2"/>
    <n v="0.106"/>
    <n v="6.7000000000000004E-2"/>
    <n v="611414"/>
    <s v="2)"/>
    <s v="2)"/>
    <s v="2)"/>
    <s v="2)"/>
    <s v="2)"/>
    <s v="2)"/>
    <s v="2)"/>
    <s v="2)"/>
    <s v="2)"/>
    <s v="2)"/>
    <s v="2)"/>
    <s v="2)"/>
    <s v="2)"/>
    <s v="2)"/>
    <s v="2)"/>
  </r>
  <r>
    <x v="87"/>
    <n v="3"/>
    <n v="1189249"/>
    <n v="2802034"/>
    <n v="2802034"/>
    <n v="2802034"/>
    <n v="14865607"/>
    <n v="0.188"/>
    <n v="0.188"/>
    <n v="0.188"/>
    <n v="1.0999999999999999E-2"/>
    <n v="7.8E-2"/>
    <n v="8.8999999999999996E-2"/>
    <n v="0.107"/>
    <n v="0.13100000000000001"/>
    <n v="7.5999999999999998E-2"/>
    <n v="36744537"/>
    <n v="1.59"/>
    <n v="5196744"/>
    <n v="3270284"/>
    <n v="1.51"/>
    <n v="5083422"/>
    <n v="3363591"/>
    <n v="1.58"/>
    <n v="5624810"/>
    <n v="3551507"/>
    <n v="1.59"/>
    <n v="6910897"/>
    <n v="4337574"/>
    <n v="1.35"/>
    <n v="26034018"/>
    <n v="19287130"/>
  </r>
  <r>
    <x v="88"/>
    <n v="5"/>
    <n v="29632"/>
    <n v="67126"/>
    <n v="67126"/>
    <n v="67126"/>
    <n v="370398"/>
    <n v="0.18099999999999999"/>
    <n v="0.18099999999999999"/>
    <n v="0.18099999999999999"/>
    <n v="1.6E-2"/>
    <n v="6.9999999999999993E-2"/>
    <n v="8.5999999999999993E-2"/>
    <n v="0.10100000000000001"/>
    <n v="0.121"/>
    <n v="7.8E-2"/>
    <n v="858183"/>
    <n v="1.76"/>
    <n v="62306"/>
    <n v="35477"/>
    <n v="1.65"/>
    <n v="56232"/>
    <n v="34104"/>
    <n v="1.37"/>
    <n v="45053"/>
    <n v="32994"/>
    <n v="1.44"/>
    <n v="50052"/>
    <n v="34749"/>
    <n v="1.33"/>
    <n v="763135"/>
    <n v="573378"/>
  </r>
  <r>
    <x v="89"/>
    <n v="5"/>
    <n v="11916"/>
    <n v="27176"/>
    <n v="27176"/>
    <n v="27176"/>
    <n v="148956"/>
    <n v="0.182"/>
    <n v="0.182"/>
    <n v="0.182"/>
    <n v="0"/>
    <n v="7.0000000000000007E-2"/>
    <n v="7.0000000000000007E-2"/>
    <n v="8.5000000000000006E-2"/>
    <n v="0.105"/>
    <n v="9.6000000000000002E-2"/>
    <n v="281778"/>
    <n v="2.3199999999999998"/>
    <n v="36009"/>
    <n v="15532"/>
    <n v="2.52"/>
    <n v="30909"/>
    <n v="12275"/>
    <n v="1.94"/>
    <n v="24852"/>
    <n v="12783"/>
    <n v="1.91"/>
    <n v="26835"/>
    <n v="14061"/>
    <n v="2.13"/>
    <n v="215528"/>
    <n v="101215"/>
  </r>
  <r>
    <x v="90"/>
    <n v="4"/>
    <n v="82609"/>
    <n v="221818"/>
    <n v="221818"/>
    <n v="221818"/>
    <n v="1032613"/>
    <n v="0.215"/>
    <n v="0.215"/>
    <n v="0.215"/>
    <n v="0"/>
    <n v="7.3999999999999996E-2"/>
    <n v="7.3999999999999996E-2"/>
    <n v="0.09"/>
    <n v="0.112"/>
    <n v="0.106"/>
    <n v="2097539"/>
    <n v="2.12"/>
    <n v="1012968"/>
    <n v="478123"/>
    <n v="2.0499999999999998"/>
    <n v="915611"/>
    <n v="445781"/>
    <n v="2.27"/>
    <n v="830208"/>
    <n v="365089"/>
    <n v="2.52"/>
    <n v="823679"/>
    <n v="326249"/>
    <n v="1.72"/>
    <n v="1154020"/>
    <n v="669994"/>
  </r>
  <r>
    <x v="91"/>
    <n v="3"/>
    <n v="1019280"/>
    <n v="3116660"/>
    <n v="3086660"/>
    <n v="3116660"/>
    <n v="12741002"/>
    <n v="0.24199999999999999"/>
    <n v="0.245"/>
    <n v="0.245"/>
    <n v="0"/>
    <n v="7.8E-2"/>
    <n v="7.8E-2"/>
    <n v="9.6000000000000002E-2"/>
    <n v="0.12"/>
    <n v="6.5000000000000002E-2"/>
    <n v="48297297"/>
    <n v="1.88"/>
    <n v="20569756"/>
    <n v="10967236"/>
    <n v="1.84"/>
    <n v="21398224"/>
    <n v="11629634"/>
    <n v="2"/>
    <n v="22336834"/>
    <n v="11183331"/>
    <n v="2.06"/>
    <n v="22176775"/>
    <n v="10790667"/>
    <n v="1.92"/>
    <n v="22153732"/>
    <n v="11565903"/>
  </r>
  <r>
    <x v="92"/>
    <n v="4"/>
    <n v="637901"/>
    <n v="1467788"/>
    <n v="1424782"/>
    <n v="1424782"/>
    <n v="7973757"/>
    <n v="0.17899999999999999"/>
    <n v="0.17899999999999999"/>
    <n v="0.184"/>
    <n v="0"/>
    <n v="7.3999999999999996E-2"/>
    <n v="7.3999999999999996E-2"/>
    <n v="0.09"/>
    <n v="0.112"/>
    <n v="0.106"/>
    <n v="13500004"/>
    <n v="1.25"/>
    <n v="1772122"/>
    <n v="1420223"/>
    <n v="1.35"/>
    <n v="1640255"/>
    <n v="1218194"/>
    <n v="1.57"/>
    <n v="1488717"/>
    <n v="945591"/>
    <n v="1.5"/>
    <n v="1391924"/>
    <n v="930067"/>
    <n v="1.88"/>
    <n v="8911241"/>
    <n v="4736132"/>
  </r>
  <r>
    <x v="93"/>
    <n v="5"/>
    <n v="19188"/>
    <n v="73336"/>
    <n v="73336"/>
    <n v="73336"/>
    <n v="239851"/>
    <n v="0.30599999999999999"/>
    <n v="0.30599999999999999"/>
    <n v="0.30599999999999999"/>
    <n v="3.0000000000000001E-3"/>
    <n v="6.9999999999999993E-2"/>
    <n v="7.2999999999999995E-2"/>
    <n v="8.7999999999999995E-2"/>
    <n v="0.108"/>
    <n v="8.6999999999999994E-2"/>
    <n v="841836"/>
    <n v="3.25"/>
    <n v="116176"/>
    <n v="35741"/>
    <n v="3.71"/>
    <n v="141834"/>
    <n v="38209"/>
    <n v="3.83"/>
    <n v="133414"/>
    <n v="34790"/>
    <n v="3.87"/>
    <n v="136378"/>
    <n v="35199"/>
    <n v="2.3199999999999998"/>
    <n v="439410"/>
    <n v="189608"/>
  </r>
  <r>
    <x v="94"/>
    <n v="5"/>
    <n v="10434"/>
    <n v="31472"/>
    <n v="13472"/>
    <n v="31472"/>
    <n v="130422"/>
    <n v="0.10299999999999999"/>
    <n v="0.24099999999999999"/>
    <n v="0.24099999999999999"/>
    <n v="0"/>
    <n v="7.0000000000000007E-2"/>
    <n v="7.0000000000000007E-2"/>
    <n v="8.5000000000000006E-2"/>
    <n v="0.105"/>
    <n v="0.13600000000000001"/>
    <n v="230977"/>
    <n v="3.58"/>
    <n v="45942"/>
    <n v="12840"/>
    <n v="2.41"/>
    <n v="28144"/>
    <n v="11673"/>
    <n v="1.83"/>
    <n v="18628"/>
    <n v="10186"/>
    <n v="1.63"/>
    <n v="18087"/>
    <n v="11102"/>
    <n v="1.31"/>
    <n v="157925"/>
    <n v="120805"/>
  </r>
  <r>
    <x v="95"/>
    <n v="3"/>
    <n v="445010"/>
    <n v="1150664"/>
    <n v="924588"/>
    <n v="924588"/>
    <n v="5562622"/>
    <n v="0.16600000000000001"/>
    <n v="0.16600000000000001"/>
    <n v="0.20699999999999999"/>
    <n v="0"/>
    <n v="7.8E-2"/>
    <n v="7.8E-2"/>
    <n v="9.6000000000000002E-2"/>
    <n v="0.12"/>
    <n v="4.5999999999999999E-2"/>
    <n v="19933938"/>
    <n v="1.86"/>
    <n v="4156138"/>
    <n v="2228726"/>
    <n v="1.66"/>
    <n v="4685487"/>
    <n v="2827087"/>
    <n v="1.98"/>
    <n v="4727509"/>
    <n v="2390883"/>
    <n v="1.75"/>
    <n v="4109384"/>
    <n v="2352713"/>
    <n v="1.38"/>
    <n v="10879910"/>
    <n v="7898010"/>
  </r>
  <r>
    <x v="96"/>
    <n v="5"/>
    <n v="16127"/>
    <n v="77895"/>
    <n v="77895"/>
    <n v="77895"/>
    <n v="201590"/>
    <n v="0.38600000000000001"/>
    <n v="0.38600000000000001"/>
    <n v="0.38600000000000001"/>
    <n v="0"/>
    <n v="7.0000000000000007E-2"/>
    <n v="7.0000000000000007E-2"/>
    <n v="8.5000000000000006E-2"/>
    <n v="0.105"/>
    <n v="9.4E-2"/>
    <n v="826742"/>
    <n v="1.83"/>
    <n v="107250"/>
    <n v="58669"/>
    <n v="2.12"/>
    <n v="149105"/>
    <n v="70475"/>
    <n v="1.63"/>
    <n v="122637"/>
    <n v="75157"/>
    <n v="2.56"/>
    <n v="197786"/>
    <n v="77375"/>
    <n v="1.72"/>
    <n v="534384"/>
    <n v="311296"/>
  </r>
  <r>
    <x v="97"/>
    <n v="4"/>
    <n v="269172"/>
    <n v="584045"/>
    <n v="535326"/>
    <n v="535326"/>
    <n v="3364653"/>
    <n v="0.159"/>
    <n v="0.159"/>
    <n v="0.17399999999999999"/>
    <n v="1.2E-2"/>
    <n v="7.3999999999999996E-2"/>
    <n v="8.5999999999999993E-2"/>
    <n v="0.10199999999999999"/>
    <n v="0.124"/>
    <n v="7.1999999999999995E-2"/>
    <n v="7423822"/>
    <n v="2.19"/>
    <n v="1205084"/>
    <n v="551366"/>
    <n v="2.12"/>
    <n v="1156435"/>
    <n v="544849"/>
    <n v="1.94"/>
    <n v="960092"/>
    <n v="494015"/>
    <n v="1.96"/>
    <n v="1049778"/>
    <n v="534403"/>
    <n v="1.49"/>
    <n v="6279663"/>
    <n v="4201418"/>
  </r>
  <r>
    <x v="98"/>
    <n v="5"/>
    <n v="8865"/>
    <n v="24666"/>
    <n v="24666"/>
    <n v="24666"/>
    <n v="110810"/>
    <n v="0.223"/>
    <n v="0.223"/>
    <n v="0.223"/>
    <n v="0"/>
    <n v="7.0000000000000007E-2"/>
    <n v="7.0000000000000007E-2"/>
    <n v="8.5000000000000006E-2"/>
    <n v="0.105"/>
    <n v="6.8000000000000005E-2"/>
    <n v="360651"/>
    <n v="1.17"/>
    <n v="287157"/>
    <n v="244731"/>
    <n v="1.18"/>
    <n v="244560"/>
    <n v="206732"/>
    <n v="1.2"/>
    <n v="222813"/>
    <n v="185532"/>
    <n v="1.19"/>
    <n v="235552"/>
    <n v="198114"/>
    <n v="1.66"/>
    <n v="46894"/>
    <n v="28320"/>
  </r>
  <r>
    <x v="99"/>
    <n v="5"/>
    <n v="10780"/>
    <n v="20310"/>
    <n v="20310"/>
    <n v="20310"/>
    <n v="134746"/>
    <n v="0.151"/>
    <n v="0.151"/>
    <n v="0.151"/>
    <n v="0"/>
    <n v="7.0000000000000007E-2"/>
    <n v="7.0000000000000007E-2"/>
    <n v="8.5000000000000006E-2"/>
    <n v="0.105"/>
    <n v="5.5E-2"/>
    <n v="366114"/>
    <s v="2)"/>
    <s v="2)"/>
    <s v="2)"/>
    <s v="2)"/>
    <s v="2)"/>
    <s v="2)"/>
    <s v="2)"/>
    <s v="2)"/>
    <s v="2)"/>
    <s v="2)"/>
    <s v="2)"/>
    <s v="2)"/>
    <s v="2)"/>
    <s v="2)"/>
    <s v="2)"/>
  </r>
  <r>
    <x v="100"/>
    <n v="5"/>
    <n v="4498"/>
    <n v="6635"/>
    <n v="6635"/>
    <n v="6635"/>
    <n v="56227"/>
    <n v="0.11799999999999999"/>
    <n v="0.11799999999999999"/>
    <n v="0.11799999999999999"/>
    <n v="0"/>
    <n v="7.0000000000000007E-2"/>
    <n v="7.0000000000000007E-2"/>
    <n v="8.5000000000000006E-2"/>
    <n v="0.105"/>
    <n v="4.7E-2"/>
    <n v="142078"/>
    <n v="1.1399999999999999"/>
    <n v="114957"/>
    <n v="101268"/>
    <n v="1.1499999999999999"/>
    <n v="112289"/>
    <n v="97818"/>
    <n v="1.1299999999999999"/>
    <n v="119400"/>
    <n v="105605"/>
    <n v="1.1299999999999999"/>
    <n v="107623"/>
    <n v="94873"/>
    <n v="1.65"/>
    <n v="31714"/>
    <n v="19271"/>
  </r>
  <r>
    <x v="101"/>
    <n v="5"/>
    <n v="4533"/>
    <n v="6623"/>
    <n v="6623"/>
    <n v="6623"/>
    <n v="56663"/>
    <n v="0.11700000000000001"/>
    <n v="0.11700000000000001"/>
    <n v="0.11700000000000001"/>
    <n v="0"/>
    <n v="7.0000000000000007E-2"/>
    <n v="7.0000000000000007E-2"/>
    <n v="8.5000000000000006E-2"/>
    <n v="0.105"/>
    <n v="4.5999999999999999E-2"/>
    <n v="143023"/>
    <n v="1.1200000000000001"/>
    <n v="114957"/>
    <n v="102874"/>
    <n v="1.1100000000000001"/>
    <n v="110241"/>
    <n v="99417"/>
    <n v="1.1100000000000001"/>
    <n v="119400"/>
    <n v="107174"/>
    <n v="1.1100000000000001"/>
    <n v="107623"/>
    <n v="96535"/>
    <n v="1.66"/>
    <n v="28144"/>
    <n v="17000"/>
  </r>
  <r>
    <x v="102"/>
    <n v="3"/>
    <n v="1090125"/>
    <n v="5892205"/>
    <n v="5821509"/>
    <n v="5821509"/>
    <n v="13626564"/>
    <n v="0.42699999999999999"/>
    <n v="0.42699999999999999"/>
    <n v="0.432"/>
    <n v="0"/>
    <n v="7.8E-2"/>
    <n v="7.8E-2"/>
    <n v="9.6000000000000002E-2"/>
    <n v="0.12"/>
    <n v="0.123"/>
    <n v="47506735"/>
    <n v="2.72"/>
    <n v="21095762"/>
    <n v="7751291"/>
    <n v="2.79"/>
    <n v="19316720"/>
    <n v="6919704"/>
    <n v="2.31"/>
    <n v="18624668"/>
    <n v="8075054"/>
    <n v="2.4"/>
    <n v="18932199"/>
    <n v="7893348"/>
    <n v="2.06"/>
    <n v="26647361"/>
    <n v="12953274"/>
  </r>
  <r>
    <x v="103"/>
    <n v="4"/>
    <n v="344126"/>
    <n v="1063392"/>
    <n v="1063392"/>
    <n v="1063392"/>
    <n v="4301576"/>
    <n v="0.247"/>
    <n v="0.247"/>
    <n v="0.247"/>
    <n v="0"/>
    <n v="7.3999999999999996E-2"/>
    <n v="7.3999999999999996E-2"/>
    <n v="0.09"/>
    <n v="0.112"/>
    <n v="9.2999999999999999E-2"/>
    <n v="11463061"/>
    <n v="2.86"/>
    <n v="1256017"/>
    <n v="439695"/>
    <n v="2.63"/>
    <n v="1258527"/>
    <n v="478995"/>
    <n v="3.31"/>
    <n v="1121183"/>
    <n v="339061"/>
    <n v="3.44"/>
    <n v="1048760"/>
    <n v="305293"/>
    <n v="1.17"/>
    <n v="5062844"/>
    <n v="4340665"/>
  </r>
  <r>
    <x v="104"/>
    <n v="3"/>
    <n v="1615689"/>
    <n v="5326551"/>
    <n v="3588951"/>
    <n v="5256295"/>
    <n v="20196114"/>
    <n v="0.17799999999999999"/>
    <n v="0.26"/>
    <n v="0.26400000000000001"/>
    <n v="2E-3"/>
    <n v="7.8E-2"/>
    <n v="0.08"/>
    <n v="9.8000000000000004E-2"/>
    <n v="0.122"/>
    <n v="4.9000000000000002E-2"/>
    <n v="107116239"/>
    <n v="2.88"/>
    <n v="20434261"/>
    <n v="7091801"/>
    <n v="3.16"/>
    <n v="22016907"/>
    <n v="6964517"/>
    <n v="2.84"/>
    <n v="21268095"/>
    <n v="7499206"/>
    <n v="2.81"/>
    <n v="20399758"/>
    <n v="7247353"/>
    <n v="1.48"/>
    <n v="64712496"/>
    <n v="43775599"/>
  </r>
  <r>
    <x v="105"/>
    <n v="5"/>
    <n v="3662"/>
    <n v="10936"/>
    <n v="10936"/>
    <n v="10936"/>
    <n v="45775"/>
    <n v="0.23899999999999999"/>
    <n v="0.23899999999999999"/>
    <n v="0.23899999999999999"/>
    <n v="4.0000000000000001E-3"/>
    <n v="6.9999999999999993E-2"/>
    <n v="7.3999999999999996E-2"/>
    <n v="8.8999999999999996E-2"/>
    <n v="0.109"/>
    <n v="7.3999999999999996E-2"/>
    <n v="147905"/>
    <n v="1.3"/>
    <n v="29880"/>
    <n v="23030"/>
    <n v="1.53"/>
    <n v="29545"/>
    <n v="19257"/>
    <n v="2.4"/>
    <n v="31677"/>
    <n v="13204"/>
    <n v="2.4300000000000002"/>
    <n v="28372"/>
    <n v="11680"/>
    <n v="2.14"/>
    <n v="87492"/>
    <n v="40967"/>
  </r>
  <r>
    <x v="106"/>
    <n v="4"/>
    <n v="193928"/>
    <n v="684283"/>
    <n v="684283"/>
    <n v="684283"/>
    <n v="2424102"/>
    <n v="0.28199999999999997"/>
    <n v="0.28199999999999997"/>
    <n v="0.28199999999999997"/>
    <n v="6.0000000000000001E-3"/>
    <n v="7.3999999999999996E-2"/>
    <n v="0.08"/>
    <n v="9.6000000000000002E-2"/>
    <n v="0.11799999999999999"/>
    <n v="9.6000000000000002E-2"/>
    <n v="7104676"/>
    <n v="3.42"/>
    <n v="1036692"/>
    <n v="303447"/>
    <n v="3.54"/>
    <n v="1011334"/>
    <n v="285458"/>
    <n v="3.52"/>
    <n v="1003188"/>
    <n v="284819"/>
    <n v="3.52"/>
    <n v="1017353"/>
    <n v="289262"/>
    <n v="1.75"/>
    <n v="4542880"/>
    <n v="2592689"/>
  </r>
  <r>
    <x v="107"/>
    <n v="4"/>
    <n v="55737"/>
    <n v="180152"/>
    <n v="180152"/>
    <n v="180152"/>
    <n v="696717"/>
    <n v="0.25900000000000001"/>
    <n v="0.25900000000000001"/>
    <n v="0.25900000000000001"/>
    <n v="0.01"/>
    <n v="7.400000000000001E-2"/>
    <n v="8.4000000000000005E-2"/>
    <n v="0.1"/>
    <n v="0.122"/>
    <n v="0.127"/>
    <n v="1417196"/>
    <n v="1.61"/>
    <n v="265597"/>
    <n v="164662"/>
    <n v="2.0499999999999998"/>
    <n v="338410"/>
    <n v="164780"/>
    <n v="1.6"/>
    <n v="278571"/>
    <n v="174551"/>
    <n v="1.5"/>
    <n v="253433"/>
    <n v="168552"/>
    <n v="1.45"/>
    <n v="1095967"/>
    <n v="756876"/>
  </r>
  <r>
    <x v="108"/>
    <n v="4"/>
    <n v="317190"/>
    <n v="637771"/>
    <n v="637771"/>
    <n v="637771"/>
    <n v="3964876"/>
    <n v="0.161"/>
    <n v="0.161"/>
    <n v="0.161"/>
    <n v="1.2999999999999999E-2"/>
    <n v="7.3999999999999996E-2"/>
    <n v="8.6999999999999994E-2"/>
    <n v="0.10299999999999999"/>
    <n v="0.125"/>
    <n v="6.8000000000000005E-2"/>
    <n v="9359268"/>
    <n v="1.37"/>
    <n v="1390570"/>
    <n v="1015717"/>
    <n v="1.32"/>
    <n v="1320702"/>
    <n v="1002813"/>
    <n v="1.28"/>
    <n v="1237173"/>
    <n v="969400"/>
    <n v="1.75"/>
    <n v="1442413"/>
    <n v="826515"/>
    <n v="1.21"/>
    <n v="6999479"/>
    <n v="5771924"/>
  </r>
  <r>
    <x v="109"/>
    <n v="3"/>
    <n v="2256679"/>
    <n v="5210327"/>
    <n v="3917026"/>
    <n v="4727026"/>
    <n v="28208483"/>
    <n v="0.13900000000000001"/>
    <n v="0.16800000000000001"/>
    <n v="0.185"/>
    <n v="0.01"/>
    <n v="7.8E-2"/>
    <n v="8.7999999999999995E-2"/>
    <n v="0.106"/>
    <n v="0.13"/>
    <n v="7.6999999999999999E-2"/>
    <n v="61767885"/>
    <n v="1.8"/>
    <n v="8590658"/>
    <n v="4777515"/>
    <n v="1.43"/>
    <n v="7813279"/>
    <n v="5470439"/>
    <n v="1.38"/>
    <n v="7757833"/>
    <n v="5603864"/>
    <n v="1.48"/>
    <n v="7668196"/>
    <n v="5165744"/>
    <n v="1.27"/>
    <n v="41315521"/>
    <n v="32658221"/>
  </r>
  <r>
    <x v="110"/>
    <n v="5"/>
    <n v="23857"/>
    <n v="93405"/>
    <n v="67295"/>
    <n v="83295"/>
    <n v="298214"/>
    <n v="0.22600000000000001"/>
    <n v="0.27900000000000003"/>
    <n v="0.313"/>
    <n v="4.0000000000000001E-3"/>
    <n v="6.9999999999999993E-2"/>
    <n v="7.3999999999999996E-2"/>
    <n v="8.8999999999999996E-2"/>
    <n v="0.109"/>
    <n v="8.7999999999999995E-2"/>
    <n v="942761"/>
    <n v="2.38"/>
    <n v="389567"/>
    <n v="163554"/>
    <n v="2.8"/>
    <n v="426935"/>
    <n v="152696"/>
    <n v="2.77"/>
    <n v="412207"/>
    <n v="148614"/>
    <n v="4.58"/>
    <n v="420639"/>
    <n v="91757"/>
    <n v="2.59"/>
    <n v="644611"/>
    <n v="249360"/>
  </r>
  <r>
    <x v="111"/>
    <n v="5"/>
    <n v="11879"/>
    <n v="62592"/>
    <n v="61806"/>
    <n v="61806"/>
    <n v="148482"/>
    <n v="0.41599999999999998"/>
    <n v="0.41599999999999998"/>
    <n v="0.42199999999999999"/>
    <n v="0"/>
    <n v="7.0000000000000007E-2"/>
    <n v="7.0000000000000007E-2"/>
    <n v="8.5000000000000006E-2"/>
    <n v="0.105"/>
    <n v="8.8999999999999996E-2"/>
    <n v="691108"/>
    <n v="3.04"/>
    <n v="363787"/>
    <n v="119832"/>
    <n v="2.35"/>
    <n v="538081"/>
    <n v="228630"/>
    <n v="3.46"/>
    <n v="582069"/>
    <n v="168234"/>
    <n v="6.35"/>
    <n v="434027"/>
    <n v="68331"/>
    <n v="3.91"/>
    <n v="383134"/>
    <n v="97945"/>
  </r>
  <r>
    <x v="112"/>
    <n v="5"/>
    <n v="5670"/>
    <n v="33631"/>
    <n v="33631"/>
    <n v="33631"/>
    <n v="70878"/>
    <n v="0.47399999999999998"/>
    <n v="0.47399999999999998"/>
    <n v="0.47399999999999998"/>
    <n v="0"/>
    <n v="7.0000000000000007E-2"/>
    <n v="7.0000000000000007E-2"/>
    <n v="8.5000000000000006E-2"/>
    <n v="0.105"/>
    <n v="0.19500000000000001"/>
    <n v="172309"/>
    <n v="1.39"/>
    <n v="34711"/>
    <n v="25019"/>
    <n v="1.52"/>
    <n v="26621"/>
    <n v="17485"/>
    <n v="1.51"/>
    <n v="25086"/>
    <n v="16600"/>
    <n v="1.52"/>
    <n v="31566"/>
    <n v="20776"/>
    <n v="1.54"/>
    <n v="131350"/>
    <n v="85246"/>
  </r>
  <r>
    <x v="113"/>
    <n v="3"/>
    <n v="1973833"/>
    <n v="5171175"/>
    <n v="5171175"/>
    <n v="5171175"/>
    <n v="24672909"/>
    <n v="0.21"/>
    <n v="0.21"/>
    <n v="0.21"/>
    <n v="1.7000000000000001E-2"/>
    <n v="7.8E-2"/>
    <n v="9.5000000000000001E-2"/>
    <n v="0.113"/>
    <n v="0.13700000000000001"/>
    <n v="8.3000000000000004E-2"/>
    <n v="62066355"/>
    <n v="1.35"/>
    <n v="6905874"/>
    <n v="5110054"/>
    <n v="1.39"/>
    <n v="7426847"/>
    <n v="5341233"/>
    <n v="1.48"/>
    <n v="7493011"/>
    <n v="5077491"/>
    <n v="1.47"/>
    <n v="7889100"/>
    <n v="5384444"/>
    <n v="1.51"/>
    <n v="52311100"/>
    <n v="34641017"/>
  </r>
  <r>
    <x v="114"/>
    <n v="5"/>
    <n v="27903"/>
    <n v="170556"/>
    <n v="125556"/>
    <n v="170556"/>
    <n v="348792"/>
    <n v="0.36"/>
    <n v="0.48899999999999999"/>
    <n v="0.48899999999999999"/>
    <n v="0"/>
    <n v="7.0000000000000007E-2"/>
    <n v="7.0000000000000007E-2"/>
    <n v="8.5000000000000006E-2"/>
    <n v="0.105"/>
    <n v="0.185"/>
    <n v="920898"/>
    <n v="1.8"/>
    <n v="115497"/>
    <n v="64099"/>
    <n v="1.59"/>
    <n v="116921"/>
    <n v="73541"/>
    <n v="1.78"/>
    <n v="114930"/>
    <n v="64643"/>
    <n v="2.08"/>
    <n v="130947"/>
    <n v="62970"/>
    <n v="1.51"/>
    <n v="451829"/>
    <n v="298642"/>
  </r>
  <r>
    <x v="115"/>
    <n v="5"/>
    <n v="17257"/>
    <n v="72486"/>
    <n v="72486"/>
    <n v="72486"/>
    <n v="215714"/>
    <n v="0.33600000000000002"/>
    <n v="0.33600000000000002"/>
    <n v="0.33600000000000002"/>
    <n v="1E-3"/>
    <n v="6.9999999999999993E-2"/>
    <n v="7.0999999999999994E-2"/>
    <n v="8.5999999999999993E-2"/>
    <n v="0.106"/>
    <n v="0.217"/>
    <n v="334323"/>
    <n v="1.55"/>
    <n v="32789"/>
    <n v="21191"/>
    <n v="2.2599999999999998"/>
    <n v="40617"/>
    <n v="17972"/>
    <n v="2.0299999999999998"/>
    <n v="43082"/>
    <n v="21246"/>
    <n v="1.87"/>
    <n v="37135"/>
    <n v="19856"/>
    <n v="1.87"/>
    <n v="218891"/>
    <n v="117018"/>
  </r>
  <r>
    <x v="116"/>
    <n v="4"/>
    <n v="230863"/>
    <n v="544485"/>
    <n v="544485"/>
    <n v="544485"/>
    <n v="2885784"/>
    <n v="0.189"/>
    <n v="0.189"/>
    <n v="0.189"/>
    <n v="1.4E-2"/>
    <n v="7.3999999999999996E-2"/>
    <n v="8.7999999999999995E-2"/>
    <n v="0.104"/>
    <n v="0.126"/>
    <n v="8.1000000000000003E-2"/>
    <n v="6681779"/>
    <n v="1.39"/>
    <n v="978881"/>
    <n v="703506"/>
    <n v="1.47"/>
    <n v="909734"/>
    <n v="618761"/>
    <n v="1.37"/>
    <n v="738632"/>
    <n v="539691"/>
    <n v="1.3"/>
    <n v="827126"/>
    <n v="635613"/>
    <n v="1.22"/>
    <n v="5364533"/>
    <n v="4402529"/>
  </r>
  <r>
    <x v="117"/>
    <n v="5"/>
    <n v="4600"/>
    <n v="29139"/>
    <n v="29139"/>
    <n v="29139"/>
    <n v="57495"/>
    <n v="0.50700000000000001"/>
    <n v="0.50700000000000001"/>
    <n v="0.50700000000000001"/>
    <n v="0"/>
    <n v="7.0000000000000007E-2"/>
    <n v="7.0000000000000007E-2"/>
    <n v="8.5000000000000006E-2"/>
    <n v="0.105"/>
    <n v="0.216"/>
    <n v="134731"/>
    <n v="2.02"/>
    <n v="39844"/>
    <n v="19734"/>
    <n v="2.8"/>
    <n v="48965"/>
    <n v="17472"/>
    <n v="2.4"/>
    <n v="48079"/>
    <n v="20022"/>
    <n v="2.46"/>
    <n v="42711"/>
    <n v="17343"/>
    <n v="1.93"/>
    <n v="93095"/>
    <n v="48329"/>
  </r>
  <r>
    <x v="118"/>
    <n v="4"/>
    <n v="254556"/>
    <n v="561725"/>
    <n v="549039"/>
    <n v="549039"/>
    <n v="3181950"/>
    <n v="0.17299999999999999"/>
    <n v="0.17299999999999999"/>
    <n v="0.17699999999999999"/>
    <n v="8.9999999999999993E-3"/>
    <n v="7.400000000000001E-2"/>
    <n v="8.3000000000000004E-2"/>
    <n v="9.9000000000000005E-2"/>
    <n v="0.121"/>
    <n v="8.7999999999999995E-2"/>
    <n v="6228389"/>
    <n v="2.4"/>
    <n v="1184688"/>
    <n v="492697"/>
    <n v="2.5299999999999998"/>
    <n v="1200986"/>
    <n v="475361"/>
    <n v="2.0699999999999998"/>
    <n v="922103"/>
    <n v="444537"/>
    <n v="1.73"/>
    <n v="785187"/>
    <n v="453986"/>
    <n v="1.35"/>
    <n v="4940124"/>
    <n v="3672607"/>
  </r>
  <r>
    <x v="119"/>
    <n v="5"/>
    <n v="16402"/>
    <n v="59907"/>
    <n v="59907"/>
    <n v="59907"/>
    <n v="205031"/>
    <n v="0.29199999999999998"/>
    <n v="0.29199999999999998"/>
    <n v="0.29199999999999998"/>
    <n v="0"/>
    <n v="7.0000000000000007E-2"/>
    <n v="7.0000000000000007E-2"/>
    <n v="8.5000000000000006E-2"/>
    <n v="0.105"/>
    <n v="0.104"/>
    <n v="576204"/>
    <n v="2.81"/>
    <n v="84525"/>
    <n v="30028"/>
    <n v="2.36"/>
    <n v="90009"/>
    <n v="38089"/>
    <n v="2.42"/>
    <n v="88693"/>
    <n v="36631"/>
    <n v="2.68"/>
    <n v="88898"/>
    <n v="33219"/>
    <n v="2.56"/>
    <n v="379652"/>
    <n v="148460"/>
  </r>
  <r>
    <x v="120"/>
    <n v="5"/>
    <n v="13923"/>
    <n v="52555"/>
    <n v="51000"/>
    <n v="51000"/>
    <n v="174038"/>
    <n v="0.29299999999999998"/>
    <n v="0.29299999999999998"/>
    <n v="0.30199999999999999"/>
    <n v="0"/>
    <n v="7.0000000000000007E-2"/>
    <n v="7.0000000000000007E-2"/>
    <n v="0.09"/>
    <n v="0.105"/>
    <n v="0.10299999999999999"/>
    <n v="497397"/>
    <n v="5.61"/>
    <n v="217394"/>
    <n v="38748"/>
    <n v="4"/>
    <n v="139392"/>
    <n v="34881"/>
    <n v="3.65"/>
    <n v="126376"/>
    <n v="34657"/>
    <n v="3.76"/>
    <n v="117117"/>
    <n v="31186"/>
    <n v="2.64"/>
    <n v="351681"/>
    <n v="133245"/>
  </r>
  <r>
    <x v="121"/>
    <n v="4"/>
    <n v="40714"/>
    <n v="81771"/>
    <n v="81771"/>
    <n v="81771"/>
    <n v="508929"/>
    <n v="0.161"/>
    <n v="0.161"/>
    <n v="0.161"/>
    <n v="1.2E-2"/>
    <n v="7.3999999999999996E-2"/>
    <n v="8.5999999999999993E-2"/>
    <n v="0.10199999999999999"/>
    <n v="0.124"/>
    <n v="0.06"/>
    <n v="1370890"/>
    <n v="2.0299999999999998"/>
    <n v="266275"/>
    <n v="131318"/>
    <n v="2.19"/>
    <n v="237891"/>
    <n v="108587"/>
    <n v="2.04"/>
    <n v="239458"/>
    <n v="117502"/>
    <n v="2.23"/>
    <n v="217724"/>
    <n v="97469"/>
    <n v="1.47"/>
    <n v="918790"/>
    <n v="624874"/>
  </r>
  <r>
    <x v="122"/>
    <n v="4"/>
    <n v="93730"/>
    <n v="378802"/>
    <n v="378802"/>
    <n v="378802"/>
    <n v="1171629"/>
    <n v="0.32300000000000001"/>
    <n v="0.32300000000000001"/>
    <n v="0.32300000000000001"/>
    <n v="3.0000000000000001E-3"/>
    <n v="7.3999999999999996E-2"/>
    <n v="7.6999999999999999E-2"/>
    <n v="9.2999999999999999E-2"/>
    <n v="0.115"/>
    <n v="0.14399999999999999"/>
    <n v="2635053"/>
    <n v="1.77"/>
    <n v="590196"/>
    <n v="332987"/>
    <n v="1.88"/>
    <n v="584215"/>
    <n v="310997"/>
    <n v="2.09"/>
    <n v="533940"/>
    <n v="255298"/>
    <n v="2.46"/>
    <n v="609414"/>
    <n v="248003"/>
    <n v="1.56"/>
    <n v="1830678"/>
    <n v="1174189"/>
  </r>
  <r>
    <x v="123"/>
    <n v="5"/>
    <n v="10164"/>
    <n v="62276"/>
    <n v="62276"/>
    <n v="62276"/>
    <n v="127053"/>
    <n v="0.49"/>
    <n v="0.49"/>
    <n v="0.49"/>
    <n v="0"/>
    <n v="7.0000000000000007E-2"/>
    <n v="7.0000000000000007E-2"/>
    <n v="8.5000000000000006E-2"/>
    <n v="0.105"/>
    <n v="0.13600000000000001"/>
    <n v="456924"/>
    <n v="6.96"/>
    <n v="182373"/>
    <n v="26204"/>
    <n v="6.47"/>
    <n v="178743"/>
    <n v="27629"/>
    <n v="6.32"/>
    <n v="177242"/>
    <n v="28034"/>
    <n v="3.91"/>
    <n v="159363"/>
    <n v="40777"/>
    <n v="4.32"/>
    <n v="293967"/>
    <n v="67989"/>
  </r>
  <r>
    <x v="124"/>
    <n v="5"/>
    <n v="26508"/>
    <n v="90850"/>
    <n v="89866"/>
    <n v="89866"/>
    <n v="331347"/>
    <n v="0.27100000000000002"/>
    <n v="0.27100000000000002"/>
    <n v="0.27400000000000002"/>
    <n v="0.01"/>
    <n v="7.0000000000000007E-2"/>
    <n v="0.08"/>
    <n v="9.5000000000000001E-2"/>
    <n v="0.115"/>
    <n v="0.109"/>
    <n v="826854"/>
    <n v="1.24"/>
    <n v="225421"/>
    <n v="182269"/>
    <n v="1.25"/>
    <n v="214516"/>
    <n v="171842"/>
    <n v="1.41"/>
    <n v="227167"/>
    <n v="160713"/>
    <n v="1.46"/>
    <n v="159944"/>
    <n v="109399"/>
    <n v="1.36"/>
    <n v="530498"/>
    <n v="390895"/>
  </r>
  <r>
    <x v="125"/>
    <n v="5"/>
    <n v="35516"/>
    <n v="174768"/>
    <n v="159768"/>
    <n v="159768"/>
    <n v="443952"/>
    <n v="0.36"/>
    <n v="0.36"/>
    <n v="0.39400000000000002"/>
    <n v="0"/>
    <n v="7.0000000000000007E-2"/>
    <n v="7.0000000000000007E-2"/>
    <n v="8.5000000000000006E-2"/>
    <n v="0.105"/>
    <n v="0.18099999999999999"/>
    <n v="882312"/>
    <n v="11.3"/>
    <n v="48839"/>
    <n v="4324"/>
    <n v="8.24"/>
    <n v="40572"/>
    <n v="4921"/>
    <n v="11.56"/>
    <n v="51449"/>
    <n v="4452"/>
    <n v="7.58"/>
    <n v="42050"/>
    <n v="5548"/>
    <n v="1.4"/>
    <n v="800971"/>
    <n v="572140"/>
  </r>
  <r>
    <x v="126"/>
    <n v="5"/>
    <n v="672"/>
    <n v="1920"/>
    <n v="1920"/>
    <n v="1920"/>
    <n v="8396"/>
    <n v="0.22900000000000001"/>
    <n v="0.22900000000000001"/>
    <n v="0.22900000000000001"/>
    <n v="0"/>
    <n v="7.0000000000000007E-2"/>
    <n v="7.0000000000000007E-2"/>
    <n v="8.5000000000000006E-2"/>
    <n v="0.105"/>
    <n v="0.56599999999999995"/>
    <n v="3394"/>
    <n v="11.04"/>
    <n v="103"/>
    <n v="9"/>
    <n v="8.66"/>
    <n v="102"/>
    <n v="12"/>
    <n v="5.16"/>
    <n v="101"/>
    <n v="20"/>
    <n v="2.67"/>
    <n v="71"/>
    <n v="27"/>
    <n v="1.74"/>
    <n v="3024"/>
    <n v="1737"/>
  </r>
  <r>
    <x v="127"/>
    <n v="5"/>
    <n v="6713"/>
    <n v="60900"/>
    <n v="60900"/>
    <n v="60900"/>
    <n v="83915"/>
    <n v="0.72599999999999998"/>
    <n v="0.72599999999999998"/>
    <n v="0.72599999999999998"/>
    <n v="0"/>
    <n v="7.0000000000000007E-2"/>
    <n v="7.0000000000000007E-2"/>
    <n v="8.5000000000000006E-2"/>
    <n v="0.105"/>
    <n v="0.29299999999999998"/>
    <n v="208201"/>
    <n v="1.73"/>
    <n v="55528"/>
    <n v="32080"/>
    <n v="1.64"/>
    <n v="70197"/>
    <n v="42699"/>
    <n v="1.6"/>
    <n v="65729"/>
    <n v="41070"/>
    <n v="2.63"/>
    <n v="93400"/>
    <n v="35532"/>
    <n v="1.81"/>
    <n v="129092"/>
    <n v="71194"/>
  </r>
  <r>
    <x v="128"/>
    <n v="5"/>
    <n v="2702"/>
    <n v="57527"/>
    <n v="57527"/>
    <n v="57527"/>
    <n v="33773"/>
    <n v="1.7030000000000001"/>
    <n v="1.7030000000000001"/>
    <n v="1.7030000000000001"/>
    <n v="0"/>
    <n v="7.0000000000000007E-2"/>
    <n v="7.0000000000000007E-2"/>
    <n v="8.5000000000000006E-2"/>
    <n v="0.105"/>
    <n v="0.34399999999999997"/>
    <n v="167135"/>
    <s v="2)"/>
    <s v="2)"/>
    <s v="2)"/>
    <s v="2)"/>
    <s v="2)"/>
    <s v="2)"/>
    <s v="2)"/>
    <s v="2)"/>
    <s v="2)"/>
    <s v="2)"/>
    <s v="2)"/>
    <s v="2)"/>
    <s v="2)"/>
    <s v="2)"/>
    <s v="2)"/>
  </r>
  <r>
    <x v="129"/>
    <n v="4"/>
    <n v="136593"/>
    <n v="293851"/>
    <n v="281232"/>
    <n v="281232"/>
    <n v="1707416"/>
    <n v="0.16500000000000001"/>
    <n v="0.16500000000000001"/>
    <n v="0.17199999999999999"/>
    <n v="1.2E-2"/>
    <n v="7.3999999999999996E-2"/>
    <n v="8.5999999999999993E-2"/>
    <n v="0.10199999999999999"/>
    <n v="0.124"/>
    <n v="7.9000000000000001E-2"/>
    <n v="3560920"/>
    <n v="1.62"/>
    <n v="441469"/>
    <n v="273118"/>
    <n v="1.56"/>
    <n v="417771"/>
    <n v="268320"/>
    <n v="1.44"/>
    <n v="390413"/>
    <n v="270336"/>
    <n v="1.6"/>
    <n v="424576"/>
    <n v="265386"/>
    <n v="1.35"/>
    <n v="3066648"/>
    <n v="2271161"/>
  </r>
  <r>
    <x v="130"/>
    <n v="5"/>
    <n v="1312"/>
    <n v="4948"/>
    <n v="4948"/>
    <n v="4948"/>
    <n v="16406"/>
    <n v="0.30199999999999999"/>
    <n v="0.30199999999999999"/>
    <n v="0.30199999999999999"/>
    <n v="0"/>
    <n v="7.0000000000000007E-2"/>
    <n v="7.0000000000000007E-2"/>
    <n v="8.5000000000000006E-2"/>
    <n v="0.105"/>
    <n v="0.16200000000000001"/>
    <n v="30576"/>
    <n v="2.0699999999999998"/>
    <n v="21054"/>
    <n v="10162"/>
    <n v="2.15"/>
    <n v="20838"/>
    <n v="9714"/>
    <n v="2.44"/>
    <n v="20904"/>
    <n v="8565"/>
    <n v="1.9"/>
    <n v="20353"/>
    <n v="10701"/>
    <n v="1.6"/>
    <n v="10301"/>
    <n v="6430"/>
  </r>
  <r>
    <x v="131"/>
    <n v="4"/>
    <n v="67687"/>
    <n v="148398"/>
    <n v="129288"/>
    <n v="148398"/>
    <n v="846083"/>
    <n v="0.153"/>
    <n v="0.17499999999999999"/>
    <n v="0.17499999999999999"/>
    <n v="0"/>
    <n v="7.3999999999999996E-2"/>
    <n v="7.3999999999999996E-2"/>
    <n v="0.09"/>
    <n v="0.112"/>
    <n v="6.3E-2"/>
    <n v="2341782"/>
    <n v="1.54"/>
    <n v="306465"/>
    <n v="198369"/>
    <n v="1.83"/>
    <n v="327997"/>
    <n v="179466"/>
    <n v="1.78"/>
    <n v="292519"/>
    <n v="164404"/>
    <n v="1.75"/>
    <n v="315535"/>
    <n v="179865"/>
    <n v="1.37"/>
    <n v="1211089"/>
    <n v="883262"/>
  </r>
  <r>
    <x v="132"/>
    <n v="4"/>
    <n v="87338"/>
    <n v="255292"/>
    <n v="255292"/>
    <n v="255292"/>
    <n v="1091719"/>
    <n v="0.23400000000000001"/>
    <n v="0.23400000000000001"/>
    <n v="0.23400000000000001"/>
    <n v="1E-3"/>
    <n v="7.3999999999999996E-2"/>
    <n v="7.4999999999999997E-2"/>
    <n v="9.0999999999999998E-2"/>
    <n v="0.113"/>
    <n v="5.3999999999999999E-2"/>
    <n v="4698814"/>
    <n v="1.28"/>
    <n v="2419896"/>
    <n v="1892869"/>
    <n v="1.36"/>
    <n v="2317764"/>
    <n v="1700482"/>
    <n v="1.32"/>
    <n v="2267019"/>
    <n v="1716931"/>
    <n v="1.38"/>
    <n v="2107046"/>
    <n v="1526541"/>
    <n v="1.59"/>
    <n v="1829514"/>
    <n v="1151457"/>
  </r>
  <r>
    <x v="133"/>
    <n v="5"/>
    <n v="13488"/>
    <n v="51039"/>
    <n v="51039"/>
    <n v="51039"/>
    <n v="168596"/>
    <n v="0.30299999999999999"/>
    <n v="0.30299999999999999"/>
    <n v="0.30299999999999999"/>
    <n v="0"/>
    <n v="7.0000000000000007E-2"/>
    <n v="7.0000000000000007E-2"/>
    <n v="8.5000000000000006E-2"/>
    <n v="0.105"/>
    <n v="0.218"/>
    <n v="234426"/>
    <s v="2)"/>
    <s v="2)"/>
    <s v="2)"/>
    <s v="2)"/>
    <s v="2)"/>
    <s v="2)"/>
    <s v="2)"/>
    <s v="2)"/>
    <s v="2)"/>
    <s v="2)"/>
    <s v="2)"/>
    <s v="2)"/>
    <s v="2)"/>
    <s v="2)"/>
    <s v="2)"/>
  </r>
  <r>
    <x v="134"/>
    <n v="5"/>
    <n v="11459"/>
    <n v="44179"/>
    <n v="44179"/>
    <n v="44179"/>
    <n v="143243"/>
    <n v="0.308"/>
    <n v="0.308"/>
    <n v="0.308"/>
    <n v="0"/>
    <n v="7.0000000000000007E-2"/>
    <n v="7.0000000000000007E-2"/>
    <n v="8.5000000000000006E-2"/>
    <n v="0.105"/>
    <n v="7.6999999999999999E-2"/>
    <n v="572519"/>
    <n v="3.14"/>
    <n v="297366"/>
    <n v="94775"/>
    <n v="3.33"/>
    <n v="315053"/>
    <n v="94514"/>
    <n v="4.07"/>
    <n v="299984"/>
    <n v="73669"/>
    <n v="4.3899999999999997"/>
    <n v="314635"/>
    <n v="71590"/>
    <n v="4.2300000000000004"/>
    <n v="304167"/>
    <n v="71866"/>
  </r>
  <r>
    <x v="135"/>
    <n v="4"/>
    <n v="60240"/>
    <n v="158917"/>
    <n v="158917"/>
    <n v="158917"/>
    <n v="753003"/>
    <n v="0.21099999999999999"/>
    <n v="0.21099999999999999"/>
    <n v="0.21099999999999999"/>
    <n v="1.4999999999999999E-2"/>
    <n v="7.3999999999999996E-2"/>
    <n v="8.8999999999999996E-2"/>
    <n v="0.105"/>
    <n v="0.127"/>
    <n v="8.3000000000000004E-2"/>
    <n v="1920471"/>
    <n v="1.66"/>
    <n v="354703"/>
    <n v="214206"/>
    <n v="1.62"/>
    <n v="332825"/>
    <n v="206074"/>
    <n v="1.59"/>
    <n v="314152"/>
    <n v="197326"/>
    <n v="1.36"/>
    <n v="286965"/>
    <n v="210407"/>
    <n v="1.44"/>
    <n v="1616866"/>
    <n v="1123713"/>
  </r>
  <r>
    <x v="136"/>
    <n v="4"/>
    <n v="382445"/>
    <n v="1204085"/>
    <n v="1185892"/>
    <n v="1185892"/>
    <n v="4780565"/>
    <n v="0.248"/>
    <n v="0.248"/>
    <n v="0.252"/>
    <n v="1.2999999999999999E-2"/>
    <n v="7.3999999999999996E-2"/>
    <n v="8.6999999999999994E-2"/>
    <n v="0.10299999999999999"/>
    <n v="0.125"/>
    <n v="0.111"/>
    <n v="10709840"/>
    <n v="1.23"/>
    <n v="1128464"/>
    <n v="917949"/>
    <n v="1.49"/>
    <n v="1010840"/>
    <n v="677477"/>
    <n v="1.45"/>
    <n v="1195273"/>
    <n v="826838"/>
    <n v="1.4"/>
    <n v="1426358"/>
    <n v="1016782"/>
    <n v="1.25"/>
    <n v="7695060"/>
    <n v="6140414"/>
  </r>
  <r>
    <x v="137"/>
    <n v="5"/>
    <n v="25811"/>
    <n v="89990"/>
    <n v="89990"/>
    <n v="89990"/>
    <n v="322635"/>
    <n v="0.27900000000000003"/>
    <n v="0.27900000000000003"/>
    <n v="0.27900000000000003"/>
    <n v="0"/>
    <n v="7.0000000000000007E-2"/>
    <n v="7.0000000000000007E-2"/>
    <n v="8.5000000000000006E-2"/>
    <n v="0.105"/>
    <n v="0.19900000000000001"/>
    <n v="452346"/>
    <n v="3.98"/>
    <n v="275183"/>
    <n v="69213"/>
    <n v="4.6500000000000004"/>
    <n v="250598"/>
    <n v="53847"/>
    <n v="6.31"/>
    <n v="247943"/>
    <n v="39270"/>
    <n v="5.01"/>
    <n v="248169"/>
    <n v="49541"/>
    <n v="2"/>
    <n v="337637"/>
    <n v="168839"/>
  </r>
  <r>
    <x v="138"/>
    <n v="3"/>
    <n v="808807"/>
    <n v="2414048"/>
    <n v="2296630"/>
    <n v="2296630"/>
    <n v="10110081"/>
    <n v="0.22700000000000001"/>
    <n v="0.22700000000000001"/>
    <n v="0.23899999999999999"/>
    <n v="1.4E-2"/>
    <n v="7.8E-2"/>
    <n v="9.1999999999999998E-2"/>
    <n v="0.11"/>
    <n v="0.13400000000000001"/>
    <n v="9.1999999999999998E-2"/>
    <n v="24844206"/>
    <n v="1.47"/>
    <n v="3213399"/>
    <n v="2188272"/>
    <n v="1.35"/>
    <n v="3075884"/>
    <n v="2283610"/>
    <n v="1.37"/>
    <n v="2948809"/>
    <n v="2152944"/>
    <n v="1.89"/>
    <n v="3726550"/>
    <n v="1968705"/>
    <n v="1.44"/>
    <n v="18371345"/>
    <n v="12784141"/>
  </r>
  <r>
    <x v="139"/>
    <n v="5"/>
    <n v="14547"/>
    <n v="130398"/>
    <n v="121148"/>
    <n v="121148"/>
    <n v="181841"/>
    <n v="0.66600000000000004"/>
    <n v="0.66600000000000004"/>
    <n v="0.71699999999999997"/>
    <n v="0"/>
    <n v="7.0000000000000007E-2"/>
    <n v="7.0000000000000007E-2"/>
    <n v="8.5000000000000006E-2"/>
    <n v="0.105"/>
    <n v="0.13400000000000001"/>
    <n v="905396"/>
    <n v="9.69"/>
    <n v="685046"/>
    <n v="70718"/>
    <n v="9.86"/>
    <n v="845611"/>
    <n v="85787"/>
    <n v="8.09"/>
    <n v="726010"/>
    <n v="89719"/>
    <n v="13.36"/>
    <n v="555843"/>
    <n v="41595"/>
    <n v="5.87"/>
    <n v="737109"/>
    <n v="125669"/>
  </r>
  <r>
    <x v="140"/>
    <n v="5"/>
    <n v="52264"/>
    <n v="111992"/>
    <n v="110472"/>
    <n v="110472"/>
    <n v="653303"/>
    <n v="0.16900000000000001"/>
    <n v="0.16900000000000001"/>
    <n v="0.17100000000000001"/>
    <n v="1.7000000000000001E-2"/>
    <n v="6.9999999999999993E-2"/>
    <n v="8.6999999999999994E-2"/>
    <n v="0.10199999999999999"/>
    <n v="0.122"/>
    <n v="7.0000000000000007E-2"/>
    <n v="1572632"/>
    <s v="2)"/>
    <s v="2)"/>
    <s v="2)"/>
    <s v="2)"/>
    <s v="2)"/>
    <s v="2)"/>
    <s v="2)"/>
    <s v="2)"/>
    <s v="2)"/>
    <s v="2)"/>
    <s v="2)"/>
    <s v="2)"/>
    <s v="2)"/>
    <s v="2)"/>
    <s v="2)"/>
  </r>
  <r>
    <x v="141"/>
    <n v="5"/>
    <n v="745"/>
    <n v="2710"/>
    <n v="2710"/>
    <n v="2710"/>
    <n v="9312"/>
    <n v="0.29099999999999998"/>
    <n v="0.29099999999999998"/>
    <n v="0.29099999999999998"/>
    <n v="0"/>
    <n v="7.0000000000000007E-2"/>
    <n v="7.0000000000000007E-2"/>
    <n v="8.5000000000000006E-2"/>
    <n v="0.105"/>
    <n v="8.5999999999999993E-2"/>
    <n v="31610"/>
    <n v="1.69"/>
    <n v="5220"/>
    <n v="3086"/>
    <n v="1.56"/>
    <n v="4521"/>
    <n v="2905"/>
    <n v="1.52"/>
    <n v="4976"/>
    <n v="3276"/>
    <n v="1.63"/>
    <n v="5908"/>
    <n v="3621"/>
    <n v="1.37"/>
    <n v="12517"/>
    <n v="9126"/>
  </r>
  <r>
    <x v="142"/>
    <n v="4"/>
    <n v="113826"/>
    <n v="251506"/>
    <n v="251506"/>
    <n v="251506"/>
    <n v="1422820"/>
    <n v="0.17699999999999999"/>
    <n v="0.17699999999999999"/>
    <n v="0.17699999999999999"/>
    <n v="3.0000000000000001E-3"/>
    <n v="7.3999999999999996E-2"/>
    <n v="7.6999999999999999E-2"/>
    <n v="9.2999999999999999E-2"/>
    <n v="0.115"/>
    <n v="6.9000000000000006E-2"/>
    <n v="3660356"/>
    <n v="1.54"/>
    <n v="766747"/>
    <n v="496589"/>
    <n v="1.39"/>
    <n v="750578"/>
    <n v="539531"/>
    <n v="1.33"/>
    <n v="846615"/>
    <n v="637424"/>
    <n v="1.64"/>
    <n v="679647"/>
    <n v="413926"/>
    <n v="1.04"/>
    <n v="1644993"/>
    <n v="1578921"/>
  </r>
  <r>
    <x v="143"/>
    <n v="5"/>
    <n v="25197"/>
    <n v="72762"/>
    <n v="72762"/>
    <n v="72762"/>
    <n v="314966"/>
    <n v="0.23100000000000001"/>
    <n v="0.23100000000000001"/>
    <n v="0.23100000000000001"/>
    <n v="1.2999999999999999E-2"/>
    <n v="7.0000000000000007E-2"/>
    <n v="8.3000000000000004E-2"/>
    <n v="9.8000000000000004E-2"/>
    <n v="0.11799999999999999"/>
    <n v="0.11"/>
    <n v="661762"/>
    <n v="1.86"/>
    <n v="60579"/>
    <n v="32604"/>
    <n v="1.87"/>
    <n v="63012"/>
    <n v="33755"/>
    <n v="1.98"/>
    <n v="59808"/>
    <n v="30194"/>
    <n v="1.76"/>
    <n v="56315"/>
    <n v="31980"/>
    <n v="1.3"/>
    <n v="579964"/>
    <n v="446364"/>
  </r>
  <r>
    <x v="144"/>
    <n v="5"/>
    <n v="26226"/>
    <n v="55072"/>
    <n v="55072"/>
    <n v="55072"/>
    <n v="327826"/>
    <n v="0.16800000000000001"/>
    <n v="0.16800000000000001"/>
    <n v="0.16800000000000001"/>
    <n v="1.6E-2"/>
    <n v="6.9999999999999993E-2"/>
    <n v="8.5999999999999993E-2"/>
    <n v="0.10100000000000001"/>
    <n v="0.121"/>
    <n v="7.0000000000000007E-2"/>
    <n v="783708"/>
    <n v="1.88"/>
    <n v="96646"/>
    <n v="51470"/>
    <n v="2.02"/>
    <n v="93153"/>
    <n v="46064"/>
    <n v="1.76"/>
    <n v="86461"/>
    <n v="49025"/>
    <n v="1.69"/>
    <n v="81178"/>
    <n v="47901"/>
    <n v="1.28"/>
    <n v="654948"/>
    <n v="512971"/>
  </r>
  <r>
    <x v="145"/>
    <n v="5"/>
    <n v="37897"/>
    <n v="80107"/>
    <n v="80107"/>
    <n v="80107"/>
    <n v="473711"/>
    <n v="0.16900000000000001"/>
    <n v="0.16900000000000001"/>
    <n v="0.16900000000000001"/>
    <n v="1.0999999999999999E-2"/>
    <n v="7.0000000000000007E-2"/>
    <n v="8.1000000000000003E-2"/>
    <n v="9.6000000000000002E-2"/>
    <n v="0.11600000000000001"/>
    <n v="8.6999999999999994E-2"/>
    <n v="920759"/>
    <s v="2)"/>
    <s v="2)"/>
    <s v="2)"/>
    <s v="2)"/>
    <s v="2)"/>
    <s v="2)"/>
    <s v="2)"/>
    <s v="2)"/>
    <s v="2)"/>
    <s v="2)"/>
    <s v="2)"/>
    <s v="2)"/>
    <s v="2)"/>
    <s v="2)"/>
    <s v="2)"/>
  </r>
  <r>
    <x v="146"/>
    <n v="3"/>
    <n v="1517082"/>
    <n v="3318052"/>
    <n v="2886654"/>
    <n v="2886654"/>
    <n v="18963524"/>
    <n v="0.152"/>
    <n v="0.152"/>
    <n v="0.17499999999999999"/>
    <n v="1.2E-2"/>
    <n v="7.8E-2"/>
    <n v="0.09"/>
    <n v="0.108"/>
    <n v="0.13200000000000001"/>
    <n v="6.0999999999999999E-2"/>
    <n v="47136464"/>
    <n v="1.33"/>
    <n v="7372701"/>
    <n v="5533908"/>
    <n v="1.39"/>
    <n v="8219236"/>
    <n v="5897631"/>
    <n v="1.53"/>
    <n v="8754719"/>
    <n v="5709578"/>
    <n v="1.38"/>
    <n v="7853869"/>
    <n v="5672253"/>
    <n v="1.3"/>
    <n v="32976709"/>
    <n v="25334169"/>
  </r>
  <r>
    <x v="147"/>
    <n v="5"/>
    <n v="14399"/>
    <n v="35235"/>
    <n v="35235"/>
    <n v="35235"/>
    <n v="179990"/>
    <n v="0.19600000000000001"/>
    <n v="0.19600000000000001"/>
    <n v="0.19600000000000001"/>
    <n v="0"/>
    <n v="7.0000000000000007E-2"/>
    <n v="7.0000000000000007E-2"/>
    <n v="8.5000000000000006E-2"/>
    <n v="0.105"/>
    <n v="0.10100000000000001"/>
    <n v="348638"/>
    <n v="3.51"/>
    <n v="107607"/>
    <n v="30678"/>
    <n v="4.66"/>
    <n v="110806"/>
    <n v="23800"/>
    <n v="4.04"/>
    <n v="118927"/>
    <n v="29444"/>
    <n v="4.25"/>
    <n v="119977"/>
    <n v="28208"/>
    <n v="2.14"/>
    <n v="302807"/>
    <n v="141745"/>
  </r>
  <r>
    <x v="148"/>
    <n v="4"/>
    <n v="300886"/>
    <n v="754915"/>
    <n v="754063"/>
    <n v="754063"/>
    <n v="3761078"/>
    <n v="0.2"/>
    <n v="0.2"/>
    <n v="0.20100000000000001"/>
    <n v="0"/>
    <n v="7.3999999999999996E-2"/>
    <n v="7.3999999999999996E-2"/>
    <n v="0.09"/>
    <n v="0.112"/>
    <n v="6.0999999999999999E-2"/>
    <n v="12265853"/>
    <n v="3.59"/>
    <n v="5130705"/>
    <n v="1428101"/>
    <n v="3.59"/>
    <n v="5387528"/>
    <n v="1500287"/>
    <n v="3.73"/>
    <n v="5351797"/>
    <n v="1434509"/>
    <n v="3.19"/>
    <n v="5977702"/>
    <n v="1871570"/>
    <n v="2.63"/>
    <n v="8795408"/>
    <n v="3349225"/>
  </r>
  <r>
    <x v="149"/>
    <n v="4"/>
    <n v="331818"/>
    <n v="973051"/>
    <n v="968194"/>
    <n v="968194"/>
    <n v="4147726"/>
    <n v="0.23300000000000001"/>
    <n v="0.23300000000000001"/>
    <n v="0.23499999999999999"/>
    <n v="0"/>
    <n v="7.3999999999999996E-2"/>
    <n v="7.3999999999999996E-2"/>
    <n v="0.09"/>
    <n v="0.112"/>
    <n v="7.1999999999999995E-2"/>
    <n v="13358288"/>
    <n v="4.42"/>
    <n v="5351995"/>
    <n v="1209773"/>
    <n v="3.58"/>
    <n v="5685761"/>
    <n v="1590313"/>
    <n v="3.37"/>
    <n v="5611380"/>
    <n v="1664934"/>
    <n v="3.06"/>
    <n v="6289732"/>
    <n v="2052853"/>
    <s v="2)"/>
    <s v="2)"/>
    <s v="2)"/>
  </r>
  <r>
    <x v="150"/>
    <n v="5"/>
    <n v="57442"/>
    <n v="125530"/>
    <n v="125530"/>
    <n v="125530"/>
    <n v="718020"/>
    <n v="0.17499999999999999"/>
    <n v="0.17499999999999999"/>
    <n v="0.17499999999999999"/>
    <n v="0"/>
    <n v="7.0000000000000007E-2"/>
    <n v="7.0000000000000007E-2"/>
    <n v="8.5000000000000006E-2"/>
    <n v="0.105"/>
    <n v="0.152"/>
    <n v="825174"/>
    <n v="3.57"/>
    <n v="212500"/>
    <n v="59562"/>
    <n v="3.47"/>
    <n v="166745"/>
    <n v="48081"/>
    <n v="2.7"/>
    <n v="134235"/>
    <n v="49798"/>
    <n v="2.16"/>
    <n v="94057"/>
    <n v="43602"/>
    <n v="1.89"/>
    <n v="542122"/>
    <n v="286508"/>
  </r>
  <r>
    <x v="151"/>
    <n v="5"/>
    <n v="3537"/>
    <n v="57646"/>
    <n v="57646"/>
    <n v="57646"/>
    <n v="44217"/>
    <n v="1.304"/>
    <n v="1.304"/>
    <n v="1.304"/>
    <n v="0"/>
    <n v="7.0000000000000007E-2"/>
    <n v="7.0000000000000007E-2"/>
    <n v="8.5000000000000006E-2"/>
    <n v="0.105"/>
    <n v="0.93"/>
    <n v="62014"/>
    <n v="58.86"/>
    <n v="54664"/>
    <n v="929"/>
    <n v="69.959999999999994"/>
    <n v="52631"/>
    <n v="752"/>
    <n v="81.99"/>
    <n v="52061"/>
    <n v="635"/>
    <n v="58.9"/>
    <n v="47491"/>
    <n v="806"/>
    <n v="9.73"/>
    <n v="58467"/>
    <n v="6008"/>
  </r>
  <r>
    <x v="152"/>
    <n v="5"/>
    <n v="14165"/>
    <n v="31011"/>
    <n v="31011"/>
    <n v="31011"/>
    <n v="177066"/>
    <n v="0.17499999999999999"/>
    <n v="0.17499999999999999"/>
    <n v="0.17499999999999999"/>
    <n v="4.0000000000000001E-3"/>
    <n v="6.9999999999999993E-2"/>
    <n v="7.3999999999999996E-2"/>
    <n v="8.8999999999999996E-2"/>
    <n v="0.109"/>
    <n v="0.1"/>
    <n v="309623"/>
    <n v="4.66"/>
    <n v="72508"/>
    <n v="15544"/>
    <n v="4.3600000000000003"/>
    <n v="73266"/>
    <n v="16815"/>
    <n v="5.44"/>
    <n v="68047"/>
    <n v="12498"/>
    <n v="4.9000000000000004"/>
    <n v="83274"/>
    <n v="16987"/>
    <n v="1.79"/>
    <n v="173451"/>
    <n v="96712"/>
  </r>
  <r>
    <x v="153"/>
    <n v="3"/>
    <n v="1171168"/>
    <n v="2804265"/>
    <n v="2751068"/>
    <n v="2751068"/>
    <n v="14639596"/>
    <n v="0.188"/>
    <n v="0.188"/>
    <n v="0.192"/>
    <n v="1.2999999999999999E-2"/>
    <n v="7.8E-2"/>
    <n v="9.0999999999999998E-2"/>
    <n v="0.109"/>
    <n v="0.13300000000000001"/>
    <n v="7.5999999999999998E-2"/>
    <n v="36167003"/>
    <n v="1.41"/>
    <n v="5100489"/>
    <n v="3625241"/>
    <n v="1.4"/>
    <n v="5160294"/>
    <n v="3677846"/>
    <n v="1.48"/>
    <n v="4750825"/>
    <n v="3209883"/>
    <n v="1.68"/>
    <n v="5093050"/>
    <n v="3028434"/>
    <n v="1.32"/>
    <n v="27192584"/>
    <n v="20572244"/>
  </r>
  <r>
    <x v="154"/>
    <n v="5"/>
    <n v="36270"/>
    <n v="484400"/>
    <n v="484400"/>
    <n v="484400"/>
    <n v="453372"/>
    <n v="1.0680000000000001"/>
    <n v="1.0680000000000001"/>
    <n v="1.0680000000000001"/>
    <n v="0"/>
    <n v="7.0000000000000007E-2"/>
    <n v="7.0000000000000007E-2"/>
    <n v="8.5000000000000006E-2"/>
    <n v="0.105"/>
    <n v="0.75"/>
    <n v="645919"/>
    <n v="6.13"/>
    <n v="273264"/>
    <n v="44570"/>
    <n v="13.25"/>
    <n v="274718"/>
    <n v="20731"/>
    <n v="12.09"/>
    <n v="254607"/>
    <n v="21055"/>
    <n v="8.27"/>
    <n v="170757"/>
    <n v="20643"/>
    <n v="2.13"/>
    <n v="628198"/>
    <n v="294477"/>
  </r>
  <r>
    <x v="155"/>
    <n v="3"/>
    <n v="694315"/>
    <n v="2507951"/>
    <n v="2503951"/>
    <n v="2503951"/>
    <n v="8678943"/>
    <n v="0.28899999999999998"/>
    <n v="0.28899999999999998"/>
    <n v="0.28899999999999998"/>
    <n v="0"/>
    <n v="7.8E-2"/>
    <n v="7.8E-2"/>
    <n v="9.6000000000000002E-2"/>
    <n v="0.12"/>
    <n v="0.06"/>
    <n v="41427436"/>
    <n v="3.06"/>
    <n v="14233627"/>
    <n v="4654238"/>
    <n v="2.81"/>
    <n v="14060425"/>
    <n v="5012610"/>
    <n v="3"/>
    <n v="12959390"/>
    <n v="4324800"/>
    <n v="3.2"/>
    <n v="15073563"/>
    <n v="4706388"/>
    <n v="1.8"/>
    <n v="23735559"/>
    <n v="13170004"/>
  </r>
  <r>
    <x v="156"/>
    <n v="4"/>
    <n v="147572"/>
    <n v="362084"/>
    <n v="352628"/>
    <n v="352628"/>
    <n v="1844655"/>
    <n v="0.191"/>
    <n v="0.191"/>
    <n v="0.19600000000000001"/>
    <n v="1.2E-2"/>
    <n v="7.3999999999999996E-2"/>
    <n v="8.5999999999999993E-2"/>
    <n v="0.10199999999999999"/>
    <n v="0.124"/>
    <n v="8.8999999999999996E-2"/>
    <n v="3943627"/>
    <n v="1.47"/>
    <n v="368891"/>
    <n v="250869"/>
    <n v="1.43"/>
    <n v="372268"/>
    <n v="260780"/>
    <n v="1.5"/>
    <n v="367423"/>
    <n v="245121"/>
    <n v="1.58"/>
    <n v="395268"/>
    <n v="249640"/>
    <n v="1.25"/>
    <n v="3201896"/>
    <n v="2565115"/>
  </r>
  <r>
    <x v="157"/>
    <n v="3"/>
    <n v="1234769"/>
    <n v="2469298"/>
    <n v="2467070"/>
    <n v="2467070"/>
    <n v="15434612"/>
    <n v="0.16"/>
    <n v="0.16"/>
    <n v="0.16"/>
    <n v="1.6E-2"/>
    <n v="7.8E-2"/>
    <n v="9.4E-2"/>
    <n v="0.112"/>
    <n v="0.13600000000000001"/>
    <n v="6.6000000000000003E-2"/>
    <n v="37607765"/>
    <n v="1.35"/>
    <n v="5368338"/>
    <n v="3980543"/>
    <n v="1.37"/>
    <n v="5503842"/>
    <n v="4018130"/>
    <n v="1.43"/>
    <n v="5339696"/>
    <n v="3744384"/>
    <n v="1.33"/>
    <n v="5393399"/>
    <n v="4063492"/>
    <n v="1.1499999999999999"/>
    <n v="29622265"/>
    <n v="25860411"/>
  </r>
  <r>
    <x v="158"/>
    <n v="3"/>
    <n v="1252273"/>
    <n v="2583186"/>
    <n v="2580958"/>
    <n v="2580958"/>
    <n v="15653408"/>
    <n v="0.16500000000000001"/>
    <n v="0.16500000000000001"/>
    <n v="0.16500000000000001"/>
    <n v="1.4999999999999999E-2"/>
    <n v="7.8E-2"/>
    <n v="9.2999999999999999E-2"/>
    <n v="0.111"/>
    <n v="0.13500000000000001"/>
    <n v="6.6000000000000003E-2"/>
    <n v="38916287"/>
    <s v="2)"/>
    <s v="2)"/>
    <s v="2)"/>
    <s v="2)"/>
    <s v="2)"/>
    <s v="2)"/>
    <s v="2)"/>
    <s v="2)"/>
    <s v="2)"/>
    <s v="2)"/>
    <s v="2)"/>
    <s v="2)"/>
    <s v="2)"/>
    <s v="2)"/>
    <s v="2)"/>
  </r>
  <r>
    <x v="159"/>
    <n v="5"/>
    <n v="4896"/>
    <n v="30010"/>
    <n v="30010"/>
    <n v="30010"/>
    <n v="61199"/>
    <n v="0.49"/>
    <n v="0.49"/>
    <n v="0.49"/>
    <n v="0"/>
    <n v="7.0000000000000007E-2"/>
    <n v="7.0000000000000007E-2"/>
    <n v="8.5000000000000006E-2"/>
    <n v="0.105"/>
    <n v="8.2000000000000003E-2"/>
    <n v="365681"/>
    <n v="2.31"/>
    <n v="59547"/>
    <n v="25763"/>
    <n v="4.1500000000000004"/>
    <n v="57710"/>
    <n v="13891"/>
    <n v="5.85"/>
    <n v="56566"/>
    <n v="9675"/>
    <n v="3.47"/>
    <n v="52913"/>
    <n v="15270"/>
    <n v="1.58"/>
    <n v="182305"/>
    <n v="115145"/>
  </r>
  <r>
    <x v="160"/>
    <n v="3"/>
    <n v="601485"/>
    <n v="1574947"/>
    <n v="1210323"/>
    <n v="1574947"/>
    <n v="7518561"/>
    <n v="0.161"/>
    <n v="0.20899999999999999"/>
    <n v="0.20899999999999999"/>
    <n v="2E-3"/>
    <n v="7.8E-2"/>
    <n v="0.08"/>
    <n v="9.8000000000000004E-2"/>
    <n v="0.122"/>
    <n v="4.8000000000000001E-2"/>
    <n v="32743305"/>
    <n v="2.0299999999999998"/>
    <n v="9552253"/>
    <n v="4715731"/>
    <n v="2.15"/>
    <n v="9986906"/>
    <n v="4640540"/>
    <n v="1.97"/>
    <n v="10251794"/>
    <n v="5191000"/>
    <n v="1.83"/>
    <n v="10069595"/>
    <n v="5509035"/>
    <n v="1.22"/>
    <n v="16726779"/>
    <n v="13701087"/>
  </r>
  <r>
    <x v="161"/>
    <n v="4"/>
    <n v="25786"/>
    <n v="120379"/>
    <n v="120379"/>
    <n v="120379"/>
    <n v="322321"/>
    <n v="0.373"/>
    <n v="0.373"/>
    <n v="0.373"/>
    <n v="1.0999999999999999E-2"/>
    <n v="7.400000000000001E-2"/>
    <n v="8.5000000000000006E-2"/>
    <n v="0.10100000000000001"/>
    <n v="0.123"/>
    <n v="0.10100000000000001"/>
    <n v="1188643"/>
    <n v="2.65"/>
    <n v="332471"/>
    <n v="125492"/>
    <n v="2.44"/>
    <n v="281822"/>
    <n v="115267"/>
    <n v="2.5099999999999998"/>
    <n v="261432"/>
    <n v="104164"/>
    <n v="1.89"/>
    <n v="234150"/>
    <n v="124124"/>
    <n v="1.57"/>
    <n v="704800"/>
    <n v="450345"/>
  </r>
  <r>
    <x v="162"/>
    <n v="4"/>
    <n v="211539"/>
    <n v="601745"/>
    <n v="601745"/>
    <n v="601745"/>
    <n v="2644239"/>
    <n v="0.22800000000000001"/>
    <n v="0.22800000000000001"/>
    <n v="0.22800000000000001"/>
    <n v="1.4E-2"/>
    <n v="7.3999999999999996E-2"/>
    <n v="8.7999999999999995E-2"/>
    <n v="0.104"/>
    <n v="0.126"/>
    <n v="8.5000000000000006E-2"/>
    <n v="7094939"/>
    <n v="2.14"/>
    <n v="1600380"/>
    <n v="747761"/>
    <n v="2.06"/>
    <n v="1470413"/>
    <n v="712495"/>
    <n v="1.88"/>
    <n v="1435309"/>
    <n v="763035"/>
    <n v="2.14"/>
    <n v="1601602"/>
    <n v="747604"/>
    <n v="1.66"/>
    <n v="5851520"/>
    <n v="3524344"/>
  </r>
  <r>
    <x v="163"/>
    <n v="4"/>
    <n v="276150"/>
    <n v="778897"/>
    <n v="778897"/>
    <n v="778897"/>
    <n v="3451871"/>
    <n v="0.22600000000000001"/>
    <n v="0.22600000000000001"/>
    <n v="0.22600000000000001"/>
    <n v="1.0999999999999999E-2"/>
    <n v="7.400000000000001E-2"/>
    <n v="8.5000000000000006E-2"/>
    <n v="0.10100000000000001"/>
    <n v="0.123"/>
    <n v="0.10100000000000001"/>
    <n v="7734471"/>
    <s v="2)"/>
    <s v="2)"/>
    <s v="2)"/>
    <s v="2)"/>
    <s v="2)"/>
    <s v="2)"/>
    <s v="2)"/>
    <s v="2)"/>
    <s v="2)"/>
    <s v="2)"/>
    <s v="2)"/>
    <s v="2)"/>
    <s v="2)"/>
    <s v="2)"/>
    <s v="2)"/>
  </r>
  <r>
    <x v="164"/>
    <n v="4"/>
    <n v="303359"/>
    <n v="627444"/>
    <n v="604745"/>
    <n v="604745"/>
    <n v="3791987"/>
    <n v="0.159"/>
    <n v="0.159"/>
    <n v="0.16500000000000001"/>
    <n v="0.01"/>
    <n v="7.400000000000001E-2"/>
    <n v="8.4000000000000005E-2"/>
    <n v="0.1"/>
    <n v="0.122"/>
    <n v="9.0999999999999998E-2"/>
    <n v="6661630"/>
    <n v="1.46"/>
    <n v="394191"/>
    <n v="269422"/>
    <n v="2.2000000000000002"/>
    <n v="521790"/>
    <n v="236776"/>
    <n v="1.92"/>
    <n v="517117"/>
    <n v="269684"/>
    <n v="2.11"/>
    <n v="476738"/>
    <n v="225454"/>
    <n v="1.2"/>
    <n v="5026961"/>
    <n v="4190491"/>
  </r>
  <r>
    <x v="165"/>
    <n v="3"/>
    <n v="672182"/>
    <n v="1665379"/>
    <n v="1456109"/>
    <n v="1456109"/>
    <n v="8402275"/>
    <n v="0.17299999999999999"/>
    <n v="0.17299999999999999"/>
    <n v="0.19800000000000001"/>
    <n v="1.4E-2"/>
    <n v="7.8E-2"/>
    <n v="9.1999999999999998E-2"/>
    <n v="0.11"/>
    <n v="0.13400000000000001"/>
    <n v="7.5999999999999998E-2"/>
    <n v="19273050"/>
    <n v="1.52"/>
    <n v="2993865"/>
    <n v="1966554"/>
    <n v="1.49"/>
    <n v="2811022"/>
    <n v="1891126"/>
    <n v="1.49"/>
    <n v="2900728"/>
    <n v="1944857"/>
    <n v="1.35"/>
    <n v="2760000"/>
    <n v="2044358"/>
    <n v="1.44"/>
    <n v="16360725"/>
    <n v="11396059"/>
  </r>
  <r>
    <x v="166"/>
    <n v="5"/>
    <n v="38044"/>
    <n v="78742"/>
    <n v="74081"/>
    <n v="74081"/>
    <n v="475556"/>
    <n v="0.156"/>
    <n v="0.156"/>
    <n v="0.16600000000000001"/>
    <n v="1.4E-2"/>
    <n v="7.0000000000000007E-2"/>
    <n v="8.4000000000000005E-2"/>
    <n v="9.9000000000000005E-2"/>
    <n v="0.11899999999999999"/>
    <n v="6.9000000000000006E-2"/>
    <n v="1076910"/>
    <n v="1.71"/>
    <n v="89425"/>
    <n v="52210"/>
    <n v="2.08"/>
    <n v="98888"/>
    <n v="47629"/>
    <n v="2.0499999999999998"/>
    <n v="97004"/>
    <n v="47386"/>
    <n v="2.06"/>
    <n v="102395"/>
    <n v="49775"/>
    <n v="1.41"/>
    <n v="977980"/>
    <n v="6913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2B632-1574-864B-B81E-8355E7DA4E6E}" name="PivotTable1" cacheId="3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28" firstHeaderRow="1" firstDataRow="1" firstDataCol="1"/>
  <pivotFields count="32">
    <pivotField axis="axisRow" showAll="0">
      <items count="168"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h="1" x="33"/>
        <item x="34"/>
        <item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h="1" x="49"/>
        <item h="1" x="50"/>
        <item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x="138"/>
        <item h="1" x="139"/>
        <item h="1" x="140"/>
        <item h="1" x="141"/>
        <item h="1" x="142"/>
        <item h="1" x="1"/>
        <item h="1" x="143"/>
        <item h="1" x="144"/>
        <item h="1" x="145"/>
        <item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x="157"/>
        <item h="1" x="158"/>
        <item h="1" x="159"/>
        <item h="1" x="160"/>
        <item h="1" x="161"/>
        <item h="1" x="162"/>
        <item h="1" x="163"/>
        <item h="1" x="164"/>
        <item x="165"/>
        <item h="1" x="166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11"/>
    </i>
    <i>
      <x v="18"/>
    </i>
    <i>
      <x v="29"/>
    </i>
    <i>
      <x v="30"/>
    </i>
    <i>
      <x v="32"/>
    </i>
    <i>
      <x v="33"/>
    </i>
    <i>
      <x v="34"/>
    </i>
    <i>
      <x v="45"/>
    </i>
    <i>
      <x v="46"/>
    </i>
    <i>
      <x v="49"/>
    </i>
    <i>
      <x v="61"/>
    </i>
    <i>
      <x v="63"/>
    </i>
    <i>
      <x v="83"/>
    </i>
    <i>
      <x v="85"/>
    </i>
    <i>
      <x v="106"/>
    </i>
    <i>
      <x v="107"/>
    </i>
    <i>
      <x v="111"/>
    </i>
    <i>
      <x v="134"/>
    </i>
    <i>
      <x v="136"/>
    </i>
    <i>
      <x v="145"/>
    </i>
    <i>
      <x v="152"/>
    </i>
    <i>
      <x v="156"/>
    </i>
    <i>
      <x v="164"/>
    </i>
    <i t="grand">
      <x/>
    </i>
  </rowItems>
  <colItems count="1">
    <i/>
  </colItems>
  <dataFields count="1">
    <dataField name="Summe von Risiko-gewichtete Aktiven (RWA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15EAE-4AA2-4E4E-81DB-FF7BC403518D}" name="Tabelle12" displayName="Tabelle12" ref="A8:AF173" totalsRowShown="0" headerRowDxfId="34" dataDxfId="33" tableBorderDxfId="32">
  <autoFilter ref="A8:AF173" xr:uid="{75E5C339-D799-4B04-9B23-421523957A97}"/>
  <sortState xmlns:xlrd2="http://schemas.microsoft.com/office/spreadsheetml/2017/richdata2" ref="A9:AF173">
    <sortCondition ref="A8:A173"/>
  </sortState>
  <tableColumns count="32">
    <tableColumn id="1" xr3:uid="{B971F345-DB06-4387-BBE2-F16A298B6AAF}" name="Spalte1" dataDxfId="31"/>
    <tableColumn id="2" xr3:uid="{D2F2B23C-91E6-4AA3-8C51-A9A8F5D63906}" name="Spalte2" dataDxfId="30"/>
    <tableColumn id="3" xr3:uid="{CDB7BCBF-59E5-418E-96C0-3D3E0B028C53}" name="Spalte3" dataDxfId="29"/>
    <tableColumn id="4" xr3:uid="{554E5361-42C1-4EA7-A740-BEDC7277AC4A}" name="Spalte4" dataDxfId="28"/>
    <tableColumn id="5" xr3:uid="{6D2775D3-C499-43C1-B38F-393AB94DA094}" name="Spalte5" dataDxfId="27"/>
    <tableColumn id="6" xr3:uid="{4E419AC9-BD33-4085-95AC-9BA4B063100A}" name="Spalte6" dataDxfId="26"/>
    <tableColumn id="7" xr3:uid="{FEA42023-1220-4087-96E1-C544482271AC}" name="Spalte7" dataDxfId="25"/>
    <tableColumn id="8" xr3:uid="{1D0A9B24-EBA4-4D54-B7FB-4699D86CFED6}" name="Spalte8" dataDxfId="24"/>
    <tableColumn id="9" xr3:uid="{A83CADBC-7F2B-4260-A7EB-983021CC0221}" name="Spalte9" dataDxfId="23"/>
    <tableColumn id="10" xr3:uid="{DE0C9FA3-8223-414A-A260-FD0B3015B3A7}" name="Spalte10" dataDxfId="22"/>
    <tableColumn id="11" xr3:uid="{EA2CC95F-BCE0-4484-BEB2-190759DBE50A}" name="Spalte11" dataDxfId="21"/>
    <tableColumn id="32" xr3:uid="{FF4B3781-C208-8848-9811-3AEFCF904A6D}" name="Spalte112" dataDxfId="20">
      <calculatedColumnFormula>Tabelle12[[#This Row],[Spalte12]]-Tabelle12[[#This Row],[Spalte11]]</calculatedColumnFormula>
    </tableColumn>
    <tableColumn id="12" xr3:uid="{848F9516-6DC1-4D43-960E-5C9416390FE2}" name="Spalte12" dataDxfId="19"/>
    <tableColumn id="13" xr3:uid="{AD286C98-62B4-47CA-94C9-401C53B9DEAF}" name="Spalte13" dataDxfId="18"/>
    <tableColumn id="14" xr3:uid="{8A0CB9CD-815F-4F57-B6BB-7613B31ADCBE}" name="Spalte14" dataDxfId="17"/>
    <tableColumn id="15" xr3:uid="{F04D3CAB-63AF-4E8A-B632-0A3082DA0F6A}" name="Spalte15" dataDxfId="16"/>
    <tableColumn id="16" xr3:uid="{AE95F859-6A18-41B4-AF6E-6DAB7491B9D0}" name="Spalte16" dataDxfId="15"/>
    <tableColumn id="17" xr3:uid="{B1269BCD-16E5-499D-86C4-B49674AA7CCD}" name="Spalte17" dataDxfId="14"/>
    <tableColumn id="18" xr3:uid="{9C6AF644-B74B-44C3-927C-810C7C682E80}" name="Spalte18" dataDxfId="13"/>
    <tableColumn id="19" xr3:uid="{78387F72-4502-40ED-B784-FBC7291B413D}" name="Spalte19" dataDxfId="12"/>
    <tableColumn id="20" xr3:uid="{2FBA94B0-B40F-4FB8-BEB1-C65BA0C71A8E}" name="Spalte20" dataDxfId="11"/>
    <tableColumn id="21" xr3:uid="{B33A41BE-F6FC-41AF-B266-376DF4F2D602}" name="Spalte21" dataDxfId="10"/>
    <tableColumn id="22" xr3:uid="{E4875610-52E3-4F96-A60F-3FC562AB4FCA}" name="Spalte22" dataDxfId="9"/>
    <tableColumn id="23" xr3:uid="{6FE167F4-09DB-4AC5-A552-8E4444F971FA}" name="Spalte23" dataDxfId="8"/>
    <tableColumn id="24" xr3:uid="{7FDE2DBF-8009-4EC5-B1E9-B56F48038F2A}" name="Spalte24" dataDxfId="7"/>
    <tableColumn id="25" xr3:uid="{2D530AD2-1571-40A5-9A44-D9DA40CC7223}" name="Spalte25" dataDxfId="6"/>
    <tableColumn id="26" xr3:uid="{DE8E0237-5236-4A42-AE0E-8947B42AD859}" name="Spalte26" dataDxfId="5"/>
    <tableColumn id="27" xr3:uid="{700ABAB0-858B-40A2-B9B6-A2E3909ECF3B}" name="Spalte27" dataDxfId="4"/>
    <tableColumn id="28" xr3:uid="{0C2F5817-B02B-425E-A01F-BFFCCBFC2F0C}" name="Spalte28" dataDxfId="3"/>
    <tableColumn id="29" xr3:uid="{3574CF60-61DA-4B13-9EC8-66B23035BE5F}" name="Spalte29" dataDxfId="2" dataCellStyle="Prozent"/>
    <tableColumn id="30" xr3:uid="{814EAD97-DA38-48A4-901A-7CFB6EA752E2}" name="Spalte30" dataDxfId="1"/>
    <tableColumn id="31" xr3:uid="{DC03D4C0-922E-48E8-9989-9564C2EFFBA9}" name="Spalte3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FB75-5DFC-1249-814F-C8E13E0EAE08}">
  <dimension ref="A3:B28"/>
  <sheetViews>
    <sheetView tabSelected="1" workbookViewId="0">
      <selection activeCell="B27" sqref="B27"/>
    </sheetView>
  </sheetViews>
  <sheetFormatPr baseColWidth="10" defaultRowHeight="13" x14ac:dyDescent="0.15"/>
  <cols>
    <col min="1" max="1" width="30.5" bestFit="1" customWidth="1"/>
    <col min="2" max="2" width="38.6640625" bestFit="1" customWidth="1"/>
  </cols>
  <sheetData>
    <row r="3" spans="1:2" x14ac:dyDescent="0.15">
      <c r="A3" s="64" t="s">
        <v>231</v>
      </c>
      <c r="B3" t="s">
        <v>230</v>
      </c>
    </row>
    <row r="4" spans="1:2" x14ac:dyDescent="0.15">
      <c r="A4" s="66" t="s">
        <v>76</v>
      </c>
      <c r="B4" s="65">
        <v>16714636</v>
      </c>
    </row>
    <row r="5" spans="1:2" x14ac:dyDescent="0.15">
      <c r="A5" s="66" t="s">
        <v>22</v>
      </c>
      <c r="B5" s="65">
        <v>9739964</v>
      </c>
    </row>
    <row r="6" spans="1:2" x14ac:dyDescent="0.15">
      <c r="A6" s="66" t="s">
        <v>51</v>
      </c>
      <c r="B6" s="65">
        <v>7983884</v>
      </c>
    </row>
    <row r="7" spans="1:2" x14ac:dyDescent="0.15">
      <c r="A7" s="66" t="s">
        <v>10</v>
      </c>
      <c r="B7" s="65">
        <v>13878975</v>
      </c>
    </row>
    <row r="8" spans="1:2" x14ac:dyDescent="0.15">
      <c r="A8" s="66" t="s">
        <v>11</v>
      </c>
      <c r="B8" s="65">
        <v>15045351</v>
      </c>
    </row>
    <row r="9" spans="1:2" x14ac:dyDescent="0.15">
      <c r="A9" s="66" t="s">
        <v>16</v>
      </c>
      <c r="B9" s="65">
        <v>9195670</v>
      </c>
    </row>
    <row r="10" spans="1:2" x14ac:dyDescent="0.15">
      <c r="A10" s="66" t="s">
        <v>211</v>
      </c>
      <c r="B10" s="65">
        <v>4876934</v>
      </c>
    </row>
    <row r="11" spans="1:2" x14ac:dyDescent="0.15">
      <c r="A11" s="66" t="s">
        <v>25</v>
      </c>
      <c r="B11" s="65">
        <v>20894080</v>
      </c>
    </row>
    <row r="12" spans="1:2" x14ac:dyDescent="0.15">
      <c r="A12" s="66" t="s">
        <v>13</v>
      </c>
      <c r="B12" s="65">
        <v>14626630</v>
      </c>
    </row>
    <row r="13" spans="1:2" x14ac:dyDescent="0.15">
      <c r="A13" s="66" t="s">
        <v>9</v>
      </c>
      <c r="B13" s="65">
        <v>25105560</v>
      </c>
    </row>
    <row r="14" spans="1:2" x14ac:dyDescent="0.15">
      <c r="A14" s="66" t="s">
        <v>23</v>
      </c>
      <c r="B14" s="65">
        <v>16658058</v>
      </c>
    </row>
    <row r="15" spans="1:2" x14ac:dyDescent="0.15">
      <c r="A15" s="66" t="s">
        <v>103</v>
      </c>
      <c r="B15" s="65">
        <v>6616319</v>
      </c>
    </row>
    <row r="16" spans="1:2" x14ac:dyDescent="0.15">
      <c r="A16" s="66" t="s">
        <v>93</v>
      </c>
      <c r="B16" s="65">
        <v>2550787</v>
      </c>
    </row>
    <row r="17" spans="1:2" x14ac:dyDescent="0.15">
      <c r="A17" s="66" t="s">
        <v>12</v>
      </c>
      <c r="B17" s="65">
        <v>3698246</v>
      </c>
    </row>
    <row r="18" spans="1:2" x14ac:dyDescent="0.15">
      <c r="A18" s="66" t="s">
        <v>24</v>
      </c>
      <c r="B18" s="65">
        <v>14865607</v>
      </c>
    </row>
    <row r="19" spans="1:2" x14ac:dyDescent="0.15">
      <c r="A19" s="66" t="s">
        <v>218</v>
      </c>
      <c r="B19" s="65">
        <v>3964876</v>
      </c>
    </row>
    <row r="20" spans="1:2" x14ac:dyDescent="0.15">
      <c r="A20" s="66" t="s">
        <v>14</v>
      </c>
      <c r="B20" s="65">
        <v>28208483</v>
      </c>
    </row>
    <row r="21" spans="1:2" x14ac:dyDescent="0.15">
      <c r="A21" s="66" t="s">
        <v>60</v>
      </c>
      <c r="B21" s="65">
        <v>24672909</v>
      </c>
    </row>
    <row r="22" spans="1:2" x14ac:dyDescent="0.15">
      <c r="A22" s="66" t="s">
        <v>27</v>
      </c>
      <c r="B22" s="65">
        <v>4780565</v>
      </c>
    </row>
    <row r="23" spans="1:2" x14ac:dyDescent="0.15">
      <c r="A23" s="66" t="s">
        <v>28</v>
      </c>
      <c r="B23" s="65">
        <v>10110081</v>
      </c>
    </row>
    <row r="24" spans="1:2" x14ac:dyDescent="0.15">
      <c r="A24" s="66" t="s">
        <v>26</v>
      </c>
      <c r="B24" s="65">
        <v>18963524</v>
      </c>
    </row>
    <row r="25" spans="1:2" x14ac:dyDescent="0.15">
      <c r="A25" s="66" t="s">
        <v>17</v>
      </c>
      <c r="B25" s="65">
        <v>14639596</v>
      </c>
    </row>
    <row r="26" spans="1:2" x14ac:dyDescent="0.15">
      <c r="A26" s="66" t="s">
        <v>2</v>
      </c>
      <c r="B26" s="65">
        <v>15434612</v>
      </c>
    </row>
    <row r="27" spans="1:2" x14ac:dyDescent="0.15">
      <c r="A27" s="66" t="s">
        <v>29</v>
      </c>
      <c r="B27" s="65">
        <v>8402275</v>
      </c>
    </row>
    <row r="28" spans="1:2" x14ac:dyDescent="0.15">
      <c r="A28" s="66" t="s">
        <v>232</v>
      </c>
      <c r="B28" s="65">
        <v>311627622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AE9C-DE5E-4E24-A54C-19DF2828401F}">
  <sheetPr>
    <pageSetUpPr fitToPage="1"/>
  </sheetPr>
  <dimension ref="A1:AG178"/>
  <sheetViews>
    <sheetView zoomScale="90" zoomScaleNormal="100" workbookViewId="0">
      <pane ySplit="8" topLeftCell="A9" activePane="bottomLeft" state="frozen"/>
      <selection pane="bottomLeft" activeCell="B1" sqref="B1:K1048576"/>
    </sheetView>
  </sheetViews>
  <sheetFormatPr baseColWidth="10" defaultColWidth="11.5" defaultRowHeight="11" x14ac:dyDescent="0.15"/>
  <cols>
    <col min="1" max="1" width="52.83203125" style="2" customWidth="1"/>
    <col min="2" max="2" width="11.1640625" style="2" customWidth="1"/>
    <col min="3" max="3" width="11.1640625" style="3" customWidth="1"/>
    <col min="4" max="4" width="12.33203125" style="3" customWidth="1"/>
    <col min="5" max="5" width="15.33203125" style="3" customWidth="1"/>
    <col min="6" max="6" width="9.83203125" style="3" customWidth="1"/>
    <col min="7" max="7" width="10.6640625" style="3" customWidth="1"/>
    <col min="8" max="8" width="10.1640625" style="4" customWidth="1"/>
    <col min="9" max="9" width="11.33203125" style="4" customWidth="1"/>
    <col min="10" max="10" width="14" style="4" customWidth="1"/>
    <col min="11" max="11" width="12.33203125" style="4" bestFit="1" customWidth="1"/>
    <col min="12" max="12" width="12.33203125" style="4" customWidth="1"/>
    <col min="13" max="13" width="9.83203125" style="4" bestFit="1" customWidth="1"/>
    <col min="14" max="14" width="9.6640625" style="4" customWidth="1"/>
    <col min="15" max="15" width="13.83203125" style="4" customWidth="1"/>
    <col min="16" max="16" width="9.83203125" style="4" bestFit="1" customWidth="1"/>
    <col min="17" max="17" width="11.5" style="3" customWidth="1"/>
    <col min="18" max="18" width="9.83203125" style="5" bestFit="1" customWidth="1"/>
    <col min="19" max="19" width="10" style="3" bestFit="1" customWidth="1"/>
    <col min="20" max="20" width="13.5" style="3" bestFit="1" customWidth="1"/>
    <col min="21" max="21" width="9.83203125" style="5" bestFit="1" customWidth="1"/>
    <col min="22" max="22" width="10" style="3" bestFit="1" customWidth="1"/>
    <col min="23" max="23" width="13.5" style="3" bestFit="1" customWidth="1"/>
    <col min="24" max="24" width="9.83203125" style="5" bestFit="1" customWidth="1"/>
    <col min="25" max="25" width="10" style="3" bestFit="1" customWidth="1"/>
    <col min="26" max="26" width="13.5" style="3" bestFit="1" customWidth="1"/>
    <col min="27" max="27" width="9.83203125" style="5" bestFit="1" customWidth="1"/>
    <col min="28" max="28" width="10" style="3" bestFit="1" customWidth="1"/>
    <col min="29" max="29" width="13.5" style="3" bestFit="1" customWidth="1"/>
    <col min="30" max="32" width="13.5" style="3" customWidth="1"/>
    <col min="33" max="16384" width="11.5" style="2"/>
  </cols>
  <sheetData>
    <row r="1" spans="1:33" ht="25.5" customHeight="1" x14ac:dyDescent="0.15">
      <c r="A1" s="1" t="s">
        <v>221</v>
      </c>
    </row>
    <row r="2" spans="1:33" ht="19.5" customHeight="1" x14ac:dyDescent="0.15">
      <c r="A2" s="6" t="s">
        <v>222</v>
      </c>
      <c r="R2" s="22"/>
    </row>
    <row r="3" spans="1:33" ht="19.5" customHeight="1" x14ac:dyDescent="0.15"/>
    <row r="4" spans="1:33" ht="30" customHeight="1" x14ac:dyDescent="0.15"/>
    <row r="5" spans="1:33" ht="23.25" customHeight="1" x14ac:dyDescent="0.15"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9"/>
      <c r="O5" s="9"/>
      <c r="P5" s="9"/>
      <c r="Q5" s="7"/>
      <c r="R5" s="58" t="s">
        <v>125</v>
      </c>
      <c r="S5" s="59"/>
      <c r="T5" s="60"/>
      <c r="U5" s="58" t="s">
        <v>126</v>
      </c>
      <c r="V5" s="59"/>
      <c r="W5" s="60"/>
      <c r="X5" s="58" t="s">
        <v>127</v>
      </c>
      <c r="Y5" s="59"/>
      <c r="Z5" s="60"/>
      <c r="AA5" s="58" t="s">
        <v>128</v>
      </c>
      <c r="AB5" s="59"/>
      <c r="AC5" s="60"/>
      <c r="AD5" s="61">
        <v>45657</v>
      </c>
      <c r="AE5" s="62"/>
      <c r="AF5" s="63"/>
    </row>
    <row r="6" spans="1:33" ht="46.5" customHeight="1" x14ac:dyDescent="0.15">
      <c r="A6" s="10" t="s">
        <v>0</v>
      </c>
      <c r="B6" s="11" t="s">
        <v>129</v>
      </c>
      <c r="C6" s="12" t="s">
        <v>171</v>
      </c>
      <c r="D6" s="13" t="s">
        <v>130</v>
      </c>
      <c r="E6" s="14" t="s">
        <v>131</v>
      </c>
      <c r="F6" s="14" t="s">
        <v>132</v>
      </c>
      <c r="G6" s="14" t="s">
        <v>212</v>
      </c>
      <c r="H6" s="14" t="s">
        <v>133</v>
      </c>
      <c r="I6" s="14" t="s">
        <v>134</v>
      </c>
      <c r="J6" s="14" t="s">
        <v>135</v>
      </c>
      <c r="K6" s="14" t="s">
        <v>205</v>
      </c>
      <c r="L6" s="14" t="s">
        <v>229</v>
      </c>
      <c r="M6" s="14" t="s">
        <v>206</v>
      </c>
      <c r="N6" s="14" t="s">
        <v>207</v>
      </c>
      <c r="O6" s="14" t="s">
        <v>208</v>
      </c>
      <c r="P6" s="14" t="s">
        <v>172</v>
      </c>
      <c r="Q6" s="15" t="s">
        <v>173</v>
      </c>
      <c r="R6" s="16" t="s">
        <v>136</v>
      </c>
      <c r="S6" s="15" t="s">
        <v>137</v>
      </c>
      <c r="T6" s="17" t="s">
        <v>138</v>
      </c>
      <c r="U6" s="16" t="s">
        <v>136</v>
      </c>
      <c r="V6" s="15" t="s">
        <v>137</v>
      </c>
      <c r="W6" s="17" t="s">
        <v>138</v>
      </c>
      <c r="X6" s="15" t="s">
        <v>136</v>
      </c>
      <c r="Y6" s="15" t="s">
        <v>137</v>
      </c>
      <c r="Z6" s="15" t="s">
        <v>138</v>
      </c>
      <c r="AA6" s="16" t="s">
        <v>136</v>
      </c>
      <c r="AB6" s="15" t="s">
        <v>137</v>
      </c>
      <c r="AC6" s="17" t="s">
        <v>138</v>
      </c>
      <c r="AD6" s="16" t="s">
        <v>188</v>
      </c>
      <c r="AE6" s="15" t="s">
        <v>189</v>
      </c>
      <c r="AF6" s="17" t="s">
        <v>190</v>
      </c>
    </row>
    <row r="7" spans="1:33" ht="10.5" customHeight="1" x14ac:dyDescent="0.15">
      <c r="C7" s="7" t="s">
        <v>139</v>
      </c>
      <c r="D7" s="7" t="s">
        <v>139</v>
      </c>
      <c r="E7" s="7" t="s">
        <v>139</v>
      </c>
      <c r="F7" s="7" t="s">
        <v>139</v>
      </c>
      <c r="G7" s="7" t="s">
        <v>139</v>
      </c>
      <c r="H7" s="18"/>
      <c r="I7" s="18"/>
      <c r="J7" s="18"/>
      <c r="K7" s="18"/>
      <c r="L7" s="18"/>
      <c r="M7" s="18"/>
      <c r="N7" s="19"/>
      <c r="O7" s="19"/>
      <c r="P7" s="19"/>
      <c r="Q7" s="7" t="s">
        <v>139</v>
      </c>
      <c r="R7" s="20"/>
      <c r="S7" s="7" t="s">
        <v>139</v>
      </c>
      <c r="T7" s="21" t="s">
        <v>139</v>
      </c>
      <c r="U7" s="20"/>
      <c r="V7" s="7" t="s">
        <v>139</v>
      </c>
      <c r="W7" s="21" t="s">
        <v>139</v>
      </c>
      <c r="Y7" s="7" t="s">
        <v>139</v>
      </c>
      <c r="Z7" s="7" t="s">
        <v>139</v>
      </c>
      <c r="AA7" s="20"/>
      <c r="AB7" s="7" t="s">
        <v>139</v>
      </c>
      <c r="AC7" s="21" t="s">
        <v>139</v>
      </c>
      <c r="AD7" s="20"/>
      <c r="AE7" s="7" t="s">
        <v>139</v>
      </c>
      <c r="AF7" s="21" t="s">
        <v>139</v>
      </c>
    </row>
    <row r="8" spans="1:33" ht="14.25" hidden="1" customHeight="1" x14ac:dyDescent="0.15">
      <c r="A8" s="49" t="s">
        <v>140</v>
      </c>
      <c r="B8" s="50" t="s">
        <v>141</v>
      </c>
      <c r="C8" s="51" t="s">
        <v>142</v>
      </c>
      <c r="D8" s="51" t="s">
        <v>143</v>
      </c>
      <c r="E8" s="51" t="s">
        <v>144</v>
      </c>
      <c r="F8" s="51" t="s">
        <v>145</v>
      </c>
      <c r="G8" s="51" t="s">
        <v>146</v>
      </c>
      <c r="H8" s="52" t="s">
        <v>147</v>
      </c>
      <c r="I8" s="52" t="s">
        <v>148</v>
      </c>
      <c r="J8" s="52" t="s">
        <v>149</v>
      </c>
      <c r="K8" s="52" t="s">
        <v>150</v>
      </c>
      <c r="L8" s="52" t="s">
        <v>228</v>
      </c>
      <c r="M8" s="52" t="s">
        <v>151</v>
      </c>
      <c r="N8" s="52" t="s">
        <v>152</v>
      </c>
      <c r="O8" s="52" t="s">
        <v>153</v>
      </c>
      <c r="P8" s="52" t="s">
        <v>154</v>
      </c>
      <c r="Q8" s="51" t="s">
        <v>155</v>
      </c>
      <c r="R8" s="53" t="s">
        <v>156</v>
      </c>
      <c r="S8" s="51" t="s">
        <v>157</v>
      </c>
      <c r="T8" s="51" t="s">
        <v>158</v>
      </c>
      <c r="U8" s="53" t="s">
        <v>159</v>
      </c>
      <c r="V8" s="51" t="s">
        <v>160</v>
      </c>
      <c r="W8" s="51" t="s">
        <v>161</v>
      </c>
      <c r="X8" s="53" t="s">
        <v>162</v>
      </c>
      <c r="Y8" s="51" t="s">
        <v>163</v>
      </c>
      <c r="Z8" s="51" t="s">
        <v>164</v>
      </c>
      <c r="AA8" s="53" t="s">
        <v>165</v>
      </c>
      <c r="AB8" s="51" t="s">
        <v>166</v>
      </c>
      <c r="AC8" s="51" t="s">
        <v>167</v>
      </c>
      <c r="AD8" s="51" t="s">
        <v>185</v>
      </c>
      <c r="AE8" s="51" t="s">
        <v>186</v>
      </c>
      <c r="AF8" s="51" t="s">
        <v>187</v>
      </c>
    </row>
    <row r="9" spans="1:33" ht="10.5" customHeight="1" x14ac:dyDescent="0.15">
      <c r="A9" s="47" t="s">
        <v>76</v>
      </c>
      <c r="B9" s="37">
        <v>3</v>
      </c>
      <c r="C9" s="38">
        <v>1337171</v>
      </c>
      <c r="D9" s="38">
        <v>3127432</v>
      </c>
      <c r="E9" s="38">
        <v>3035322</v>
      </c>
      <c r="F9" s="38">
        <v>3035322</v>
      </c>
      <c r="G9" s="38">
        <v>16714636</v>
      </c>
      <c r="H9" s="39">
        <v>0.182</v>
      </c>
      <c r="I9" s="39">
        <v>0.182</v>
      </c>
      <c r="J9" s="39">
        <v>0.187</v>
      </c>
      <c r="K9" s="39">
        <v>1.0999999999999999E-2</v>
      </c>
      <c r="L9" s="39">
        <f>Tabelle12[[#This Row],[Spalte12]]-Tabelle12[[#This Row],[Spalte11]]</f>
        <v>7.8E-2</v>
      </c>
      <c r="M9" s="39">
        <v>8.8999999999999996E-2</v>
      </c>
      <c r="N9" s="39">
        <v>0.107</v>
      </c>
      <c r="O9" s="39">
        <v>0.13100000000000001</v>
      </c>
      <c r="P9" s="39">
        <v>7.3999999999999996E-2</v>
      </c>
      <c r="Q9" s="38">
        <v>40972326</v>
      </c>
      <c r="R9" s="40">
        <v>1.49</v>
      </c>
      <c r="S9" s="38">
        <v>8026427</v>
      </c>
      <c r="T9" s="38">
        <v>5401780</v>
      </c>
      <c r="U9" s="40">
        <v>1.58</v>
      </c>
      <c r="V9" s="38">
        <v>8603620</v>
      </c>
      <c r="W9" s="38">
        <v>5431014</v>
      </c>
      <c r="X9" s="40">
        <v>1.38</v>
      </c>
      <c r="Y9" s="38">
        <v>7547807</v>
      </c>
      <c r="Z9" s="38">
        <v>5459647</v>
      </c>
      <c r="AA9" s="40">
        <v>1.49</v>
      </c>
      <c r="AB9" s="38">
        <v>7182973</v>
      </c>
      <c r="AC9" s="38">
        <v>4808044</v>
      </c>
      <c r="AD9" s="41">
        <v>1.4</v>
      </c>
      <c r="AE9" s="38">
        <v>28056009</v>
      </c>
      <c r="AF9" s="38">
        <v>20022343</v>
      </c>
      <c r="AG9" s="22"/>
    </row>
    <row r="10" spans="1:33" ht="10.5" customHeight="1" x14ac:dyDescent="0.15">
      <c r="A10" s="48" t="s">
        <v>3</v>
      </c>
      <c r="B10" s="42">
        <v>4</v>
      </c>
      <c r="C10" s="43">
        <v>122313</v>
      </c>
      <c r="D10" s="43">
        <v>275649</v>
      </c>
      <c r="E10" s="43">
        <v>275649</v>
      </c>
      <c r="F10" s="43">
        <v>275649</v>
      </c>
      <c r="G10" s="43">
        <v>1528912</v>
      </c>
      <c r="H10" s="44">
        <v>0.18</v>
      </c>
      <c r="I10" s="44">
        <v>0.18</v>
      </c>
      <c r="J10" s="44">
        <v>0.18</v>
      </c>
      <c r="K10" s="44">
        <v>1.2E-2</v>
      </c>
      <c r="L10" s="44">
        <f>Tabelle12[[#This Row],[Spalte12]]-Tabelle12[[#This Row],[Spalte11]]</f>
        <v>7.3999999999999996E-2</v>
      </c>
      <c r="M10" s="44">
        <v>8.5999999999999993E-2</v>
      </c>
      <c r="N10" s="44">
        <v>0.10199999999999999</v>
      </c>
      <c r="O10" s="44">
        <v>0.124</v>
      </c>
      <c r="P10" s="44">
        <v>9.0999999999999998E-2</v>
      </c>
      <c r="Q10" s="43">
        <v>3021631</v>
      </c>
      <c r="R10" s="45">
        <v>1.36</v>
      </c>
      <c r="S10" s="43">
        <v>251605</v>
      </c>
      <c r="T10" s="43">
        <v>184906</v>
      </c>
      <c r="U10" s="45">
        <v>1.36</v>
      </c>
      <c r="V10" s="43">
        <v>274081</v>
      </c>
      <c r="W10" s="43">
        <v>201378</v>
      </c>
      <c r="X10" s="45">
        <v>1.31</v>
      </c>
      <c r="Y10" s="43">
        <v>259167</v>
      </c>
      <c r="Z10" s="43">
        <v>197342</v>
      </c>
      <c r="AA10" s="45">
        <v>1.46</v>
      </c>
      <c r="AB10" s="43">
        <v>279498</v>
      </c>
      <c r="AC10" s="43">
        <v>191276</v>
      </c>
      <c r="AD10" s="46">
        <v>1.24</v>
      </c>
      <c r="AE10" s="43">
        <v>2341680</v>
      </c>
      <c r="AF10" s="43">
        <v>1896033</v>
      </c>
      <c r="AG10" s="22"/>
    </row>
    <row r="11" spans="1:33" ht="10.5" customHeight="1" x14ac:dyDescent="0.15">
      <c r="A11" s="47" t="s">
        <v>192</v>
      </c>
      <c r="B11" s="37">
        <v>5</v>
      </c>
      <c r="C11" s="38">
        <v>2353</v>
      </c>
      <c r="D11" s="38">
        <v>42938</v>
      </c>
      <c r="E11" s="38">
        <v>42938</v>
      </c>
      <c r="F11" s="38">
        <v>42938</v>
      </c>
      <c r="G11" s="38">
        <v>29417</v>
      </c>
      <c r="H11" s="39">
        <v>1.46</v>
      </c>
      <c r="I11" s="39">
        <v>1.46</v>
      </c>
      <c r="J11" s="39">
        <v>1.46</v>
      </c>
      <c r="K11" s="39">
        <v>0</v>
      </c>
      <c r="L11" s="39">
        <f>Tabelle12[[#This Row],[Spalte12]]-Tabelle12[[#This Row],[Spalte11]]</f>
        <v>7.0000000000000007E-2</v>
      </c>
      <c r="M11" s="39">
        <v>7.0000000000000007E-2</v>
      </c>
      <c r="N11" s="39">
        <v>8.5000000000000006E-2</v>
      </c>
      <c r="O11" s="39">
        <v>0.105</v>
      </c>
      <c r="P11" s="39">
        <v>0.247</v>
      </c>
      <c r="Q11" s="38">
        <v>173913</v>
      </c>
      <c r="R11" s="40">
        <v>41</v>
      </c>
      <c r="S11" s="38">
        <v>55886</v>
      </c>
      <c r="T11" s="38">
        <v>1363</v>
      </c>
      <c r="U11" s="40">
        <v>27.18</v>
      </c>
      <c r="V11" s="38">
        <v>70046</v>
      </c>
      <c r="W11" s="38">
        <v>2577</v>
      </c>
      <c r="X11" s="40">
        <v>33.71</v>
      </c>
      <c r="Y11" s="38">
        <v>97863</v>
      </c>
      <c r="Z11" s="38">
        <v>2903</v>
      </c>
      <c r="AA11" s="40">
        <v>45.56</v>
      </c>
      <c r="AB11" s="38">
        <v>129209</v>
      </c>
      <c r="AC11" s="38">
        <v>2836</v>
      </c>
      <c r="AD11" s="41">
        <v>2.2200000000000002</v>
      </c>
      <c r="AE11" s="38">
        <v>243471</v>
      </c>
      <c r="AF11" s="38">
        <v>109592</v>
      </c>
      <c r="AG11" s="22"/>
    </row>
    <row r="12" spans="1:33" ht="10.5" customHeight="1" x14ac:dyDescent="0.15">
      <c r="A12" s="48" t="s">
        <v>213</v>
      </c>
      <c r="B12" s="42">
        <v>5</v>
      </c>
      <c r="C12" s="43">
        <v>21885</v>
      </c>
      <c r="D12" s="43">
        <v>93132</v>
      </c>
      <c r="E12" s="43">
        <v>93132</v>
      </c>
      <c r="F12" s="43">
        <v>93132</v>
      </c>
      <c r="G12" s="43">
        <v>273569</v>
      </c>
      <c r="H12" s="44">
        <v>0.34</v>
      </c>
      <c r="I12" s="44">
        <v>0.34</v>
      </c>
      <c r="J12" s="44">
        <v>0.34</v>
      </c>
      <c r="K12" s="44">
        <v>0</v>
      </c>
      <c r="L12" s="44">
        <f>Tabelle12[[#This Row],[Spalte12]]-Tabelle12[[#This Row],[Spalte11]]</f>
        <v>7.0000000000000007E-2</v>
      </c>
      <c r="M12" s="44">
        <v>7.0000000000000007E-2</v>
      </c>
      <c r="N12" s="44">
        <v>8.5000000000000006E-2</v>
      </c>
      <c r="O12" s="44">
        <v>0.105</v>
      </c>
      <c r="P12" s="44">
        <v>0.23100000000000001</v>
      </c>
      <c r="Q12" s="43">
        <v>402466</v>
      </c>
      <c r="R12" s="45">
        <v>2.68</v>
      </c>
      <c r="S12" s="43">
        <v>170705</v>
      </c>
      <c r="T12" s="43">
        <v>63751</v>
      </c>
      <c r="U12" s="45">
        <v>2.0699999999999998</v>
      </c>
      <c r="V12" s="43">
        <v>191977</v>
      </c>
      <c r="W12" s="43">
        <v>92531</v>
      </c>
      <c r="X12" s="45">
        <v>2.1</v>
      </c>
      <c r="Y12" s="43">
        <v>122961</v>
      </c>
      <c r="Z12" s="43">
        <v>58472</v>
      </c>
      <c r="AA12" s="45">
        <v>2.25</v>
      </c>
      <c r="AB12" s="43">
        <v>140077</v>
      </c>
      <c r="AC12" s="43">
        <v>62348</v>
      </c>
      <c r="AD12" s="46">
        <v>1.95</v>
      </c>
      <c r="AE12" s="43">
        <v>219331</v>
      </c>
      <c r="AF12" s="43">
        <v>112559</v>
      </c>
      <c r="AG12" s="22"/>
    </row>
    <row r="13" spans="1:33" ht="10.5" customHeight="1" x14ac:dyDescent="0.15">
      <c r="A13" s="47" t="s">
        <v>8</v>
      </c>
      <c r="B13" s="37">
        <v>4</v>
      </c>
      <c r="C13" s="38">
        <v>153454</v>
      </c>
      <c r="D13" s="38">
        <v>385192</v>
      </c>
      <c r="E13" s="38">
        <v>385192</v>
      </c>
      <c r="F13" s="38">
        <v>385192</v>
      </c>
      <c r="G13" s="38">
        <v>1918180</v>
      </c>
      <c r="H13" s="39">
        <v>0.20100000000000001</v>
      </c>
      <c r="I13" s="39">
        <v>0.20100000000000001</v>
      </c>
      <c r="J13" s="39">
        <v>0.20100000000000001</v>
      </c>
      <c r="K13" s="39">
        <v>1.4E-2</v>
      </c>
      <c r="L13" s="39">
        <f>Tabelle12[[#This Row],[Spalte12]]-Tabelle12[[#This Row],[Spalte11]]</f>
        <v>7.3999999999999996E-2</v>
      </c>
      <c r="M13" s="39">
        <v>8.7999999999999995E-2</v>
      </c>
      <c r="N13" s="39">
        <v>0.104</v>
      </c>
      <c r="O13" s="39">
        <v>0.126</v>
      </c>
      <c r="P13" s="39">
        <v>8.5999999999999993E-2</v>
      </c>
      <c r="Q13" s="38">
        <v>4462145</v>
      </c>
      <c r="R13" s="40">
        <v>1.38</v>
      </c>
      <c r="S13" s="38">
        <v>449981</v>
      </c>
      <c r="T13" s="38">
        <v>327239</v>
      </c>
      <c r="U13" s="40">
        <v>1.47</v>
      </c>
      <c r="V13" s="38">
        <v>458350</v>
      </c>
      <c r="W13" s="38">
        <v>312198</v>
      </c>
      <c r="X13" s="40">
        <v>1.31</v>
      </c>
      <c r="Y13" s="38">
        <v>433913</v>
      </c>
      <c r="Z13" s="38">
        <v>330296</v>
      </c>
      <c r="AA13" s="40">
        <v>1.18</v>
      </c>
      <c r="AB13" s="38">
        <v>402185</v>
      </c>
      <c r="AC13" s="38">
        <v>340463</v>
      </c>
      <c r="AD13" s="41">
        <v>1.36</v>
      </c>
      <c r="AE13" s="38">
        <v>3784002</v>
      </c>
      <c r="AF13" s="38">
        <v>2776039</v>
      </c>
      <c r="AG13" s="22"/>
    </row>
    <row r="14" spans="1:33" ht="10.5" customHeight="1" x14ac:dyDescent="0.15">
      <c r="A14" s="48" t="s">
        <v>223</v>
      </c>
      <c r="B14" s="42">
        <v>4</v>
      </c>
      <c r="C14" s="43">
        <v>247504</v>
      </c>
      <c r="D14" s="43">
        <v>590804</v>
      </c>
      <c r="E14" s="43">
        <v>584946</v>
      </c>
      <c r="F14" s="43">
        <v>590804</v>
      </c>
      <c r="G14" s="43">
        <v>3093802</v>
      </c>
      <c r="H14" s="44">
        <v>0.189</v>
      </c>
      <c r="I14" s="44">
        <v>0.191</v>
      </c>
      <c r="J14" s="44">
        <v>0.191</v>
      </c>
      <c r="K14" s="44">
        <v>0</v>
      </c>
      <c r="L14" s="44">
        <f>Tabelle12[[#This Row],[Spalte12]]-Tabelle12[[#This Row],[Spalte11]]</f>
        <v>7.3999999999999996E-2</v>
      </c>
      <c r="M14" s="44">
        <v>7.3999999999999996E-2</v>
      </c>
      <c r="N14" s="44">
        <v>0.09</v>
      </c>
      <c r="O14" s="44">
        <v>0.112</v>
      </c>
      <c r="P14" s="44">
        <v>9.2999999999999999E-2</v>
      </c>
      <c r="Q14" s="43">
        <v>6364036</v>
      </c>
      <c r="R14" s="45">
        <v>3.02</v>
      </c>
      <c r="S14" s="43">
        <v>1640459</v>
      </c>
      <c r="T14" s="43">
        <v>543196</v>
      </c>
      <c r="U14" s="45">
        <v>4.1399999999999997</v>
      </c>
      <c r="V14" s="43">
        <v>1860811</v>
      </c>
      <c r="W14" s="43">
        <v>449208</v>
      </c>
      <c r="X14" s="45">
        <v>5.65</v>
      </c>
      <c r="Y14" s="43">
        <v>1978809</v>
      </c>
      <c r="Z14" s="43">
        <v>350250</v>
      </c>
      <c r="AA14" s="45">
        <v>6.91</v>
      </c>
      <c r="AB14" s="43">
        <v>2077960</v>
      </c>
      <c r="AC14" s="43">
        <v>300579</v>
      </c>
      <c r="AD14" s="46">
        <v>1.7</v>
      </c>
      <c r="AE14" s="43">
        <v>2790151</v>
      </c>
      <c r="AF14" s="43">
        <v>1644925</v>
      </c>
      <c r="AG14" s="22"/>
    </row>
    <row r="15" spans="1:33" ht="10.5" customHeight="1" x14ac:dyDescent="0.15">
      <c r="A15" s="47" t="s">
        <v>83</v>
      </c>
      <c r="B15" s="37">
        <v>5</v>
      </c>
      <c r="C15" s="38">
        <v>21828</v>
      </c>
      <c r="D15" s="38">
        <v>95919</v>
      </c>
      <c r="E15" s="38">
        <v>75919</v>
      </c>
      <c r="F15" s="38">
        <v>95919</v>
      </c>
      <c r="G15" s="38">
        <v>272852</v>
      </c>
      <c r="H15" s="39">
        <v>0.27800000000000002</v>
      </c>
      <c r="I15" s="39">
        <v>0.35199999999999998</v>
      </c>
      <c r="J15" s="39">
        <v>0.35199999999999998</v>
      </c>
      <c r="K15" s="39">
        <v>0</v>
      </c>
      <c r="L15" s="39">
        <f>Tabelle12[[#This Row],[Spalte12]]-Tabelle12[[#This Row],[Spalte11]]</f>
        <v>7.0000000000000007E-2</v>
      </c>
      <c r="M15" s="39">
        <v>7.0000000000000007E-2</v>
      </c>
      <c r="N15" s="39">
        <v>8.5000000000000006E-2</v>
      </c>
      <c r="O15" s="39">
        <v>0.105</v>
      </c>
      <c r="P15" s="39">
        <v>7.0000000000000007E-2</v>
      </c>
      <c r="Q15" s="38">
        <v>1373249</v>
      </c>
      <c r="R15" s="40">
        <v>5.45</v>
      </c>
      <c r="S15" s="38">
        <v>559699</v>
      </c>
      <c r="T15" s="38">
        <v>102684</v>
      </c>
      <c r="U15" s="40">
        <v>5.0199999999999996</v>
      </c>
      <c r="V15" s="38">
        <v>437476</v>
      </c>
      <c r="W15" s="38">
        <v>87190</v>
      </c>
      <c r="X15" s="40">
        <v>4.32</v>
      </c>
      <c r="Y15" s="38">
        <v>423801</v>
      </c>
      <c r="Z15" s="38">
        <v>98171</v>
      </c>
      <c r="AA15" s="40">
        <v>4.3099999999999996</v>
      </c>
      <c r="AB15" s="38">
        <v>692137</v>
      </c>
      <c r="AC15" s="38">
        <v>160638</v>
      </c>
      <c r="AD15" s="41">
        <v>3.92</v>
      </c>
      <c r="AE15" s="38">
        <v>986184</v>
      </c>
      <c r="AF15" s="38">
        <v>251364</v>
      </c>
      <c r="AG15" s="22"/>
    </row>
    <row r="16" spans="1:33" ht="10.5" customHeight="1" x14ac:dyDescent="0.15">
      <c r="A16" s="48" t="s">
        <v>193</v>
      </c>
      <c r="B16" s="42">
        <v>4</v>
      </c>
      <c r="C16" s="43">
        <v>294469</v>
      </c>
      <c r="D16" s="43">
        <v>568800</v>
      </c>
      <c r="E16" s="43">
        <v>462041</v>
      </c>
      <c r="F16" s="43">
        <v>502041</v>
      </c>
      <c r="G16" s="43">
        <v>3680868</v>
      </c>
      <c r="H16" s="44">
        <v>0.126</v>
      </c>
      <c r="I16" s="44">
        <v>0.13600000000000001</v>
      </c>
      <c r="J16" s="44">
        <v>0.155</v>
      </c>
      <c r="K16" s="44">
        <v>1.7999999999999999E-2</v>
      </c>
      <c r="L16" s="44">
        <f>Tabelle12[[#This Row],[Spalte12]]-Tabelle12[[#This Row],[Spalte11]]</f>
        <v>7.3999999999999996E-2</v>
      </c>
      <c r="M16" s="44">
        <v>9.1999999999999998E-2</v>
      </c>
      <c r="N16" s="44">
        <v>0.108</v>
      </c>
      <c r="O16" s="44">
        <v>0.13</v>
      </c>
      <c r="P16" s="44">
        <v>5.2999999999999999E-2</v>
      </c>
      <c r="Q16" s="43">
        <v>9481590</v>
      </c>
      <c r="R16" s="45">
        <v>1.89</v>
      </c>
      <c r="S16" s="43">
        <v>977776</v>
      </c>
      <c r="T16" s="43">
        <v>518632</v>
      </c>
      <c r="U16" s="45">
        <v>1.74</v>
      </c>
      <c r="V16" s="43">
        <v>898296</v>
      </c>
      <c r="W16" s="43">
        <v>516662</v>
      </c>
      <c r="X16" s="45">
        <v>1.55</v>
      </c>
      <c r="Y16" s="43">
        <v>824054</v>
      </c>
      <c r="Z16" s="43">
        <v>530634</v>
      </c>
      <c r="AA16" s="45">
        <v>1.5</v>
      </c>
      <c r="AB16" s="43">
        <v>864287</v>
      </c>
      <c r="AC16" s="43">
        <v>574305</v>
      </c>
      <c r="AD16" s="46">
        <v>1.29</v>
      </c>
      <c r="AE16" s="43">
        <v>8303706</v>
      </c>
      <c r="AF16" s="43">
        <v>6433684</v>
      </c>
      <c r="AG16" s="22"/>
    </row>
    <row r="17" spans="1:33" ht="10.5" customHeight="1" x14ac:dyDescent="0.15">
      <c r="A17" s="47" t="s">
        <v>84</v>
      </c>
      <c r="B17" s="37">
        <v>5</v>
      </c>
      <c r="C17" s="38">
        <v>1795</v>
      </c>
      <c r="D17" s="38">
        <v>26027</v>
      </c>
      <c r="E17" s="38">
        <v>26027</v>
      </c>
      <c r="F17" s="38">
        <v>26027</v>
      </c>
      <c r="G17" s="38">
        <v>22440</v>
      </c>
      <c r="H17" s="39">
        <v>1.1599999999999999</v>
      </c>
      <c r="I17" s="39">
        <v>1.1599999999999999</v>
      </c>
      <c r="J17" s="39">
        <v>1.1599999999999999</v>
      </c>
      <c r="K17" s="39">
        <v>0</v>
      </c>
      <c r="L17" s="39">
        <f>Tabelle12[[#This Row],[Spalte12]]-Tabelle12[[#This Row],[Spalte11]]</f>
        <v>7.0000000000000007E-2</v>
      </c>
      <c r="M17" s="39">
        <v>7.0000000000000007E-2</v>
      </c>
      <c r="N17" s="39">
        <v>8.5000000000000006E-2</v>
      </c>
      <c r="O17" s="39">
        <v>0.105</v>
      </c>
      <c r="P17" s="39">
        <v>0.38100000000000001</v>
      </c>
      <c r="Q17" s="38">
        <v>68269</v>
      </c>
      <c r="R17" s="40">
        <v>1.66</v>
      </c>
      <c r="S17" s="38">
        <v>7870</v>
      </c>
      <c r="T17" s="38">
        <v>4749</v>
      </c>
      <c r="U17" s="40">
        <v>1.39</v>
      </c>
      <c r="V17" s="38">
        <v>8427</v>
      </c>
      <c r="W17" s="38">
        <v>6080</v>
      </c>
      <c r="X17" s="40">
        <v>1.57</v>
      </c>
      <c r="Y17" s="38">
        <v>4315</v>
      </c>
      <c r="Z17" s="38">
        <v>2740</v>
      </c>
      <c r="AA17" s="40">
        <v>1.61</v>
      </c>
      <c r="AB17" s="38">
        <v>5081</v>
      </c>
      <c r="AC17" s="38">
        <v>3148</v>
      </c>
      <c r="AD17" s="41">
        <v>3.13</v>
      </c>
      <c r="AE17" s="38">
        <v>49931</v>
      </c>
      <c r="AF17" s="38">
        <v>15935</v>
      </c>
      <c r="AG17" s="22"/>
    </row>
    <row r="18" spans="1:33" ht="10.5" customHeight="1" x14ac:dyDescent="0.15">
      <c r="A18" s="48" t="s">
        <v>224</v>
      </c>
      <c r="B18" s="42">
        <v>5</v>
      </c>
      <c r="C18" s="43">
        <v>9944</v>
      </c>
      <c r="D18" s="43">
        <v>35145</v>
      </c>
      <c r="E18" s="43">
        <v>35145</v>
      </c>
      <c r="F18" s="43">
        <v>35145</v>
      </c>
      <c r="G18" s="43">
        <v>124301</v>
      </c>
      <c r="H18" s="44">
        <v>0.28299999999999997</v>
      </c>
      <c r="I18" s="44">
        <v>0.28299999999999997</v>
      </c>
      <c r="J18" s="44">
        <v>0.28299999999999997</v>
      </c>
      <c r="K18" s="44">
        <v>1E-3</v>
      </c>
      <c r="L18" s="44">
        <f>Tabelle12[[#This Row],[Spalte12]]-Tabelle12[[#This Row],[Spalte11]]</f>
        <v>6.9999999999999993E-2</v>
      </c>
      <c r="M18" s="44">
        <v>7.0999999999999994E-2</v>
      </c>
      <c r="N18" s="44">
        <v>8.5999999999999993E-2</v>
      </c>
      <c r="O18" s="44">
        <v>0.106</v>
      </c>
      <c r="P18" s="44">
        <v>6.6000000000000003E-2</v>
      </c>
      <c r="Q18" s="43">
        <v>533870</v>
      </c>
      <c r="R18" s="45">
        <v>1.43</v>
      </c>
      <c r="S18" s="43">
        <v>45168</v>
      </c>
      <c r="T18" s="43">
        <v>31667</v>
      </c>
      <c r="U18" s="45">
        <v>1.29</v>
      </c>
      <c r="V18" s="43">
        <v>64700</v>
      </c>
      <c r="W18" s="43">
        <v>50238</v>
      </c>
      <c r="X18" s="45">
        <v>1.37</v>
      </c>
      <c r="Y18" s="43">
        <v>67565</v>
      </c>
      <c r="Z18" s="43">
        <v>49335</v>
      </c>
      <c r="AA18" s="45">
        <v>1.34</v>
      </c>
      <c r="AB18" s="43">
        <v>110764</v>
      </c>
      <c r="AC18" s="43">
        <v>82434</v>
      </c>
      <c r="AD18" s="46">
        <v>1.48</v>
      </c>
      <c r="AE18" s="43">
        <v>238163</v>
      </c>
      <c r="AF18" s="43">
        <v>160696</v>
      </c>
      <c r="AG18" s="22"/>
    </row>
    <row r="19" spans="1:33" ht="10.5" customHeight="1" x14ac:dyDescent="0.15">
      <c r="A19" s="47" t="s">
        <v>43</v>
      </c>
      <c r="B19" s="37">
        <v>5</v>
      </c>
      <c r="C19" s="38">
        <v>35256</v>
      </c>
      <c r="D19" s="38">
        <v>132398</v>
      </c>
      <c r="E19" s="38">
        <v>132398</v>
      </c>
      <c r="F19" s="38">
        <v>132398</v>
      </c>
      <c r="G19" s="38">
        <v>440694</v>
      </c>
      <c r="H19" s="39">
        <v>0.3</v>
      </c>
      <c r="I19" s="39">
        <v>0.3</v>
      </c>
      <c r="J19" s="39">
        <v>0.3</v>
      </c>
      <c r="K19" s="39">
        <v>2E-3</v>
      </c>
      <c r="L19" s="39">
        <f>Tabelle12[[#This Row],[Spalte12]]-Tabelle12[[#This Row],[Spalte11]]</f>
        <v>6.9999999999999993E-2</v>
      </c>
      <c r="M19" s="39">
        <v>7.1999999999999995E-2</v>
      </c>
      <c r="N19" s="39">
        <v>8.6999999999999994E-2</v>
      </c>
      <c r="O19" s="39">
        <v>0.107</v>
      </c>
      <c r="P19" s="39">
        <v>0.17100000000000001</v>
      </c>
      <c r="Q19" s="38">
        <v>772333</v>
      </c>
      <c r="R19" s="40">
        <v>3.33</v>
      </c>
      <c r="S19" s="38">
        <v>74160</v>
      </c>
      <c r="T19" s="38">
        <v>22288</v>
      </c>
      <c r="U19" s="40">
        <v>2.34</v>
      </c>
      <c r="V19" s="38">
        <v>59557</v>
      </c>
      <c r="W19" s="38">
        <v>25472</v>
      </c>
      <c r="X19" s="40">
        <v>3.04</v>
      </c>
      <c r="Y19" s="38">
        <v>73709</v>
      </c>
      <c r="Z19" s="38">
        <v>24263</v>
      </c>
      <c r="AA19" s="40">
        <v>3.68</v>
      </c>
      <c r="AB19" s="38">
        <v>76595</v>
      </c>
      <c r="AC19" s="38">
        <v>20821</v>
      </c>
      <c r="AD19" s="41">
        <v>1.8</v>
      </c>
      <c r="AE19" s="38">
        <v>627041</v>
      </c>
      <c r="AF19" s="38">
        <v>347870</v>
      </c>
      <c r="AG19" s="22"/>
    </row>
    <row r="20" spans="1:33" ht="10.5" customHeight="1" x14ac:dyDescent="0.15">
      <c r="A20" s="48" t="s">
        <v>22</v>
      </c>
      <c r="B20" s="42">
        <v>3</v>
      </c>
      <c r="C20" s="43">
        <v>779197</v>
      </c>
      <c r="D20" s="43">
        <v>1817475</v>
      </c>
      <c r="E20" s="43">
        <v>1520587</v>
      </c>
      <c r="F20" s="43">
        <v>1570587</v>
      </c>
      <c r="G20" s="43">
        <v>9739964</v>
      </c>
      <c r="H20" s="44">
        <v>0.156</v>
      </c>
      <c r="I20" s="44">
        <v>0.161</v>
      </c>
      <c r="J20" s="44">
        <v>0.187</v>
      </c>
      <c r="K20" s="44">
        <v>8.9999999999999993E-3</v>
      </c>
      <c r="L20" s="44">
        <f>Tabelle12[[#This Row],[Spalte12]]-Tabelle12[[#This Row],[Spalte11]]</f>
        <v>7.8E-2</v>
      </c>
      <c r="M20" s="44">
        <v>8.6999999999999994E-2</v>
      </c>
      <c r="N20" s="44">
        <v>0.105</v>
      </c>
      <c r="O20" s="44">
        <v>0.129</v>
      </c>
      <c r="P20" s="44">
        <v>7.9000000000000001E-2</v>
      </c>
      <c r="Q20" s="43">
        <v>19870273</v>
      </c>
      <c r="R20" s="45">
        <v>1.57</v>
      </c>
      <c r="S20" s="43">
        <v>2521328</v>
      </c>
      <c r="T20" s="43">
        <v>1610793</v>
      </c>
      <c r="U20" s="45">
        <v>1.79</v>
      </c>
      <c r="V20" s="43">
        <v>2775136</v>
      </c>
      <c r="W20" s="43">
        <v>1553846</v>
      </c>
      <c r="X20" s="45">
        <v>1.85</v>
      </c>
      <c r="Y20" s="43">
        <v>2541562</v>
      </c>
      <c r="Z20" s="43">
        <v>1374007</v>
      </c>
      <c r="AA20" s="45">
        <v>1.82</v>
      </c>
      <c r="AB20" s="43">
        <v>2878352</v>
      </c>
      <c r="AC20" s="43">
        <v>1585275</v>
      </c>
      <c r="AD20" s="46">
        <v>1.37</v>
      </c>
      <c r="AE20" s="43">
        <v>15451901</v>
      </c>
      <c r="AF20" s="43">
        <v>11275572</v>
      </c>
      <c r="AG20" s="22"/>
    </row>
    <row r="21" spans="1:33" ht="10.5" customHeight="1" x14ac:dyDescent="0.15">
      <c r="A21" s="47" t="s">
        <v>82</v>
      </c>
      <c r="B21" s="37">
        <v>4</v>
      </c>
      <c r="C21" s="38">
        <v>205019</v>
      </c>
      <c r="D21" s="38">
        <v>488395</v>
      </c>
      <c r="E21" s="38">
        <v>488395</v>
      </c>
      <c r="F21" s="38">
        <v>488395</v>
      </c>
      <c r="G21" s="38">
        <v>2562737</v>
      </c>
      <c r="H21" s="39">
        <v>0.191</v>
      </c>
      <c r="I21" s="39">
        <v>0.191</v>
      </c>
      <c r="J21" s="39">
        <v>0.191</v>
      </c>
      <c r="K21" s="39">
        <v>1.6E-2</v>
      </c>
      <c r="L21" s="39">
        <f>Tabelle12[[#This Row],[Spalte12]]-Tabelle12[[#This Row],[Spalte11]]</f>
        <v>7.3999999999999996E-2</v>
      </c>
      <c r="M21" s="39">
        <v>0.09</v>
      </c>
      <c r="N21" s="39">
        <v>0.106</v>
      </c>
      <c r="O21" s="39">
        <v>0.128</v>
      </c>
      <c r="P21" s="39">
        <v>7.0999999999999994E-2</v>
      </c>
      <c r="Q21" s="38">
        <v>6901872</v>
      </c>
      <c r="R21" s="40">
        <v>1.29</v>
      </c>
      <c r="S21" s="38">
        <v>662944</v>
      </c>
      <c r="T21" s="38">
        <v>514011</v>
      </c>
      <c r="U21" s="40">
        <v>1.46</v>
      </c>
      <c r="V21" s="38">
        <v>753705</v>
      </c>
      <c r="W21" s="38">
        <v>516132</v>
      </c>
      <c r="X21" s="40">
        <v>1.39</v>
      </c>
      <c r="Y21" s="38">
        <v>829284</v>
      </c>
      <c r="Z21" s="38">
        <v>598670</v>
      </c>
      <c r="AA21" s="40">
        <v>1.43</v>
      </c>
      <c r="AB21" s="38">
        <v>827611</v>
      </c>
      <c r="AC21" s="38">
        <v>580144</v>
      </c>
      <c r="AD21" s="41">
        <v>1.2</v>
      </c>
      <c r="AE21" s="38">
        <v>4782169</v>
      </c>
      <c r="AF21" s="38">
        <v>4001549</v>
      </c>
      <c r="AG21" s="22"/>
    </row>
    <row r="22" spans="1:33" ht="10.5" customHeight="1" x14ac:dyDescent="0.15">
      <c r="A22" s="48" t="s">
        <v>95</v>
      </c>
      <c r="B22" s="42">
        <v>5</v>
      </c>
      <c r="C22" s="43">
        <v>16902</v>
      </c>
      <c r="D22" s="43">
        <v>69592</v>
      </c>
      <c r="E22" s="43">
        <v>69592</v>
      </c>
      <c r="F22" s="43">
        <v>69592</v>
      </c>
      <c r="G22" s="43">
        <v>211270</v>
      </c>
      <c r="H22" s="44">
        <v>0.32900000000000001</v>
      </c>
      <c r="I22" s="44">
        <v>0.32900000000000001</v>
      </c>
      <c r="J22" s="44">
        <v>0.32900000000000001</v>
      </c>
      <c r="K22" s="44">
        <v>1E-3</v>
      </c>
      <c r="L22" s="44">
        <f>Tabelle12[[#This Row],[Spalte12]]-Tabelle12[[#This Row],[Spalte11]]</f>
        <v>6.9999999999999993E-2</v>
      </c>
      <c r="M22" s="44">
        <v>7.0999999999999994E-2</v>
      </c>
      <c r="N22" s="44">
        <v>8.5999999999999993E-2</v>
      </c>
      <c r="O22" s="44">
        <v>0.106</v>
      </c>
      <c r="P22" s="44">
        <v>0.20899999999999999</v>
      </c>
      <c r="Q22" s="43">
        <v>332781</v>
      </c>
      <c r="R22" s="45">
        <v>1.53</v>
      </c>
      <c r="S22" s="43">
        <v>32789</v>
      </c>
      <c r="T22" s="43">
        <v>21453</v>
      </c>
      <c r="U22" s="45">
        <v>2.2000000000000002</v>
      </c>
      <c r="V22" s="43">
        <v>40617</v>
      </c>
      <c r="W22" s="43">
        <v>18470</v>
      </c>
      <c r="X22" s="45">
        <v>1.99</v>
      </c>
      <c r="Y22" s="43">
        <v>43082</v>
      </c>
      <c r="Z22" s="43">
        <v>21696</v>
      </c>
      <c r="AA22" s="45">
        <v>1.84</v>
      </c>
      <c r="AB22" s="43">
        <v>37135</v>
      </c>
      <c r="AC22" s="43">
        <v>20150</v>
      </c>
      <c r="AD22" s="46">
        <v>1.85</v>
      </c>
      <c r="AE22" s="43">
        <v>217050</v>
      </c>
      <c r="AF22" s="43">
        <v>117210</v>
      </c>
      <c r="AG22" s="22"/>
    </row>
    <row r="23" spans="1:33" ht="10.5" customHeight="1" x14ac:dyDescent="0.15">
      <c r="A23" s="47" t="s">
        <v>121</v>
      </c>
      <c r="B23" s="37">
        <v>4</v>
      </c>
      <c r="C23" s="38">
        <v>103824</v>
      </c>
      <c r="D23" s="38">
        <v>1236385</v>
      </c>
      <c r="E23" s="38">
        <v>1235615</v>
      </c>
      <c r="F23" s="38">
        <v>1235615</v>
      </c>
      <c r="G23" s="38">
        <v>1297802</v>
      </c>
      <c r="H23" s="39">
        <v>0.95199999999999996</v>
      </c>
      <c r="I23" s="39">
        <v>0.95199999999999996</v>
      </c>
      <c r="J23" s="39">
        <v>0.95299999999999996</v>
      </c>
      <c r="K23" s="39">
        <v>0</v>
      </c>
      <c r="L23" s="39">
        <f>Tabelle12[[#This Row],[Spalte12]]-Tabelle12[[#This Row],[Spalte11]]</f>
        <v>7.3999999999999996E-2</v>
      </c>
      <c r="M23" s="39">
        <v>7.3999999999999996E-2</v>
      </c>
      <c r="N23" s="39">
        <v>0.09</v>
      </c>
      <c r="O23" s="39">
        <v>0.112</v>
      </c>
      <c r="P23" s="39">
        <v>0.29299999999999998</v>
      </c>
      <c r="Q23" s="38">
        <v>4217623</v>
      </c>
      <c r="R23" s="40">
        <v>2.2000000000000002</v>
      </c>
      <c r="S23" s="38">
        <v>965768</v>
      </c>
      <c r="T23" s="38">
        <v>439941</v>
      </c>
      <c r="U23" s="40">
        <v>2.1</v>
      </c>
      <c r="V23" s="38">
        <v>862033</v>
      </c>
      <c r="W23" s="38">
        <v>410167</v>
      </c>
      <c r="X23" s="40">
        <v>1.65</v>
      </c>
      <c r="Y23" s="38">
        <v>750151</v>
      </c>
      <c r="Z23" s="38">
        <v>454059</v>
      </c>
      <c r="AA23" s="40">
        <v>1.55</v>
      </c>
      <c r="AB23" s="38">
        <v>721708</v>
      </c>
      <c r="AC23" s="38">
        <v>464741</v>
      </c>
      <c r="AD23" s="41">
        <v>1.62</v>
      </c>
      <c r="AE23" s="38">
        <v>2697033</v>
      </c>
      <c r="AF23" s="38">
        <v>1662839</v>
      </c>
      <c r="AG23" s="22"/>
    </row>
    <row r="24" spans="1:33" ht="10.5" customHeight="1" x14ac:dyDescent="0.15">
      <c r="A24" s="48" t="s">
        <v>122</v>
      </c>
      <c r="B24" s="42">
        <v>4</v>
      </c>
      <c r="C24" s="43">
        <v>186806</v>
      </c>
      <c r="D24" s="43">
        <v>347882</v>
      </c>
      <c r="E24" s="43">
        <v>347882</v>
      </c>
      <c r="F24" s="43">
        <v>347882</v>
      </c>
      <c r="G24" s="43">
        <v>2335079</v>
      </c>
      <c r="H24" s="44">
        <v>0.14899999999999999</v>
      </c>
      <c r="I24" s="44">
        <v>0.14899999999999999</v>
      </c>
      <c r="J24" s="44">
        <v>0.14899999999999999</v>
      </c>
      <c r="K24" s="44">
        <v>1.4999999999999999E-2</v>
      </c>
      <c r="L24" s="44">
        <f>Tabelle12[[#This Row],[Spalte12]]-Tabelle12[[#This Row],[Spalte11]]</f>
        <v>7.3999999999999996E-2</v>
      </c>
      <c r="M24" s="44">
        <v>8.8999999999999996E-2</v>
      </c>
      <c r="N24" s="44">
        <v>0.105</v>
      </c>
      <c r="O24" s="44">
        <v>0.127</v>
      </c>
      <c r="P24" s="44">
        <v>6.4000000000000001E-2</v>
      </c>
      <c r="Q24" s="43">
        <v>5426605</v>
      </c>
      <c r="R24" s="45">
        <v>1.65</v>
      </c>
      <c r="S24" s="43">
        <v>543445</v>
      </c>
      <c r="T24" s="43">
        <v>328714</v>
      </c>
      <c r="U24" s="45">
        <v>1.88</v>
      </c>
      <c r="V24" s="43">
        <v>580013</v>
      </c>
      <c r="W24" s="43">
        <v>308688</v>
      </c>
      <c r="X24" s="45">
        <v>1.78</v>
      </c>
      <c r="Y24" s="43">
        <v>538264</v>
      </c>
      <c r="Z24" s="43">
        <v>302488</v>
      </c>
      <c r="AA24" s="45">
        <v>1.9</v>
      </c>
      <c r="AB24" s="43">
        <v>601982</v>
      </c>
      <c r="AC24" s="43">
        <v>316428</v>
      </c>
      <c r="AD24" s="46">
        <v>1.38</v>
      </c>
      <c r="AE24" s="43">
        <v>4769049</v>
      </c>
      <c r="AF24" s="43">
        <v>3458308</v>
      </c>
      <c r="AG24" s="22"/>
    </row>
    <row r="25" spans="1:33" ht="10.5" customHeight="1" x14ac:dyDescent="0.15">
      <c r="A25" s="47" t="s">
        <v>59</v>
      </c>
      <c r="B25" s="37">
        <v>5</v>
      </c>
      <c r="C25" s="38">
        <v>40286</v>
      </c>
      <c r="D25" s="38">
        <v>90410</v>
      </c>
      <c r="E25" s="38">
        <v>90410</v>
      </c>
      <c r="F25" s="38">
        <v>90410</v>
      </c>
      <c r="G25" s="38">
        <v>503569</v>
      </c>
      <c r="H25" s="39">
        <v>0.18</v>
      </c>
      <c r="I25" s="39">
        <v>0.18</v>
      </c>
      <c r="J25" s="39">
        <v>0.18</v>
      </c>
      <c r="K25" s="39">
        <v>1.7999999999999999E-2</v>
      </c>
      <c r="L25" s="39">
        <f>Tabelle12[[#This Row],[Spalte12]]-Tabelle12[[#This Row],[Spalte11]]</f>
        <v>6.9999999999999993E-2</v>
      </c>
      <c r="M25" s="39">
        <v>8.7999999999999995E-2</v>
      </c>
      <c r="N25" s="39">
        <v>0.10299999999999999</v>
      </c>
      <c r="O25" s="39">
        <v>0.123</v>
      </c>
      <c r="P25" s="39">
        <v>7.3999999999999996E-2</v>
      </c>
      <c r="Q25" s="38">
        <v>1229878</v>
      </c>
      <c r="R25" s="40">
        <v>1.88</v>
      </c>
      <c r="S25" s="38">
        <v>87619</v>
      </c>
      <c r="T25" s="38">
        <v>46583</v>
      </c>
      <c r="U25" s="40">
        <v>1.53</v>
      </c>
      <c r="V25" s="38">
        <v>76540</v>
      </c>
      <c r="W25" s="38">
        <v>49914</v>
      </c>
      <c r="X25" s="40">
        <v>1.38</v>
      </c>
      <c r="Y25" s="38">
        <v>66654</v>
      </c>
      <c r="Z25" s="38">
        <v>48425</v>
      </c>
      <c r="AA25" s="40">
        <v>1.38</v>
      </c>
      <c r="AB25" s="38">
        <v>71151</v>
      </c>
      <c r="AC25" s="38">
        <v>51675</v>
      </c>
      <c r="AD25" s="41">
        <v>1.28</v>
      </c>
      <c r="AE25" s="38">
        <v>1102951</v>
      </c>
      <c r="AF25" s="38">
        <v>859027</v>
      </c>
      <c r="AG25" s="22"/>
    </row>
    <row r="26" spans="1:33" ht="10.5" customHeight="1" x14ac:dyDescent="0.15">
      <c r="A26" s="48" t="s">
        <v>66</v>
      </c>
      <c r="B26" s="42">
        <v>4</v>
      </c>
      <c r="C26" s="43">
        <v>511519</v>
      </c>
      <c r="D26" s="43">
        <v>1184501</v>
      </c>
      <c r="E26" s="43">
        <v>968187</v>
      </c>
      <c r="F26" s="43">
        <v>1058187</v>
      </c>
      <c r="G26" s="43">
        <v>6393993</v>
      </c>
      <c r="H26" s="44">
        <v>0.151</v>
      </c>
      <c r="I26" s="44">
        <v>0.16500000000000001</v>
      </c>
      <c r="J26" s="44">
        <v>0.185</v>
      </c>
      <c r="K26" s="44">
        <v>8.0000000000000002E-3</v>
      </c>
      <c r="L26" s="44">
        <f>Tabelle12[[#This Row],[Spalte12]]-Tabelle12[[#This Row],[Spalte11]]</f>
        <v>7.400000000000001E-2</v>
      </c>
      <c r="M26" s="44">
        <v>8.2000000000000003E-2</v>
      </c>
      <c r="N26" s="44">
        <v>9.8000000000000004E-2</v>
      </c>
      <c r="O26" s="44">
        <v>0.12</v>
      </c>
      <c r="P26" s="44">
        <v>7.6999999999999999E-2</v>
      </c>
      <c r="Q26" s="43">
        <v>13758062</v>
      </c>
      <c r="R26" s="45">
        <v>2.1</v>
      </c>
      <c r="S26" s="43">
        <v>1648257</v>
      </c>
      <c r="T26" s="43">
        <v>786225</v>
      </c>
      <c r="U26" s="45">
        <v>2.37</v>
      </c>
      <c r="V26" s="43">
        <v>1451363</v>
      </c>
      <c r="W26" s="43">
        <v>613366</v>
      </c>
      <c r="X26" s="45">
        <v>2.29</v>
      </c>
      <c r="Y26" s="43">
        <v>1796265</v>
      </c>
      <c r="Z26" s="43">
        <v>783978</v>
      </c>
      <c r="AA26" s="45">
        <v>2.4500000000000002</v>
      </c>
      <c r="AB26" s="43">
        <v>1953972</v>
      </c>
      <c r="AC26" s="43">
        <v>798094</v>
      </c>
      <c r="AD26" s="46">
        <v>1.2</v>
      </c>
      <c r="AE26" s="43">
        <v>8860069</v>
      </c>
      <c r="AF26" s="43">
        <v>7364988</v>
      </c>
      <c r="AG26" s="22"/>
    </row>
    <row r="27" spans="1:33" ht="10.5" customHeight="1" x14ac:dyDescent="0.15">
      <c r="A27" s="47" t="s">
        <v>51</v>
      </c>
      <c r="B27" s="37">
        <v>3</v>
      </c>
      <c r="C27" s="38">
        <v>638711</v>
      </c>
      <c r="D27" s="38">
        <v>1495292</v>
      </c>
      <c r="E27" s="38">
        <v>1385523</v>
      </c>
      <c r="F27" s="38">
        <v>1475523</v>
      </c>
      <c r="G27" s="38">
        <v>7983884</v>
      </c>
      <c r="H27" s="39">
        <v>0.17399999999999999</v>
      </c>
      <c r="I27" s="39">
        <v>0.185</v>
      </c>
      <c r="J27" s="39">
        <v>0.187</v>
      </c>
      <c r="K27" s="39">
        <v>1.7999999999999999E-2</v>
      </c>
      <c r="L27" s="39">
        <f>Tabelle12[[#This Row],[Spalte12]]-Tabelle12[[#This Row],[Spalte11]]</f>
        <v>7.8E-2</v>
      </c>
      <c r="M27" s="39">
        <v>9.6000000000000002E-2</v>
      </c>
      <c r="N27" s="39">
        <v>0.114</v>
      </c>
      <c r="O27" s="39">
        <v>0.13800000000000001</v>
      </c>
      <c r="P27" s="39">
        <v>7.1999999999999995E-2</v>
      </c>
      <c r="Q27" s="38">
        <v>20469201</v>
      </c>
      <c r="R27" s="40">
        <v>1.7</v>
      </c>
      <c r="S27" s="38">
        <v>2295092</v>
      </c>
      <c r="T27" s="38">
        <v>1350304</v>
      </c>
      <c r="U27" s="40">
        <v>1.85</v>
      </c>
      <c r="V27" s="38">
        <v>2633686</v>
      </c>
      <c r="W27" s="38">
        <v>1419912</v>
      </c>
      <c r="X27" s="40">
        <v>1.67</v>
      </c>
      <c r="Y27" s="38">
        <v>1927575</v>
      </c>
      <c r="Z27" s="38">
        <v>1156789</v>
      </c>
      <c r="AA27" s="40">
        <v>1.43</v>
      </c>
      <c r="AB27" s="38">
        <v>1785848</v>
      </c>
      <c r="AC27" s="38">
        <v>1250926</v>
      </c>
      <c r="AD27" s="41">
        <v>1.31</v>
      </c>
      <c r="AE27" s="38">
        <v>16498159</v>
      </c>
      <c r="AF27" s="38">
        <v>12597254</v>
      </c>
      <c r="AG27" s="22"/>
    </row>
    <row r="28" spans="1:33" ht="10.5" customHeight="1" x14ac:dyDescent="0.15">
      <c r="A28" s="48" t="s">
        <v>19</v>
      </c>
      <c r="B28" s="42">
        <v>4</v>
      </c>
      <c r="C28" s="43">
        <v>59477</v>
      </c>
      <c r="D28" s="43">
        <v>148478</v>
      </c>
      <c r="E28" s="43">
        <v>142909</v>
      </c>
      <c r="F28" s="43">
        <v>142909</v>
      </c>
      <c r="G28" s="43">
        <v>743459</v>
      </c>
      <c r="H28" s="44">
        <v>0.192</v>
      </c>
      <c r="I28" s="44">
        <v>0.192</v>
      </c>
      <c r="J28" s="44">
        <v>0.2</v>
      </c>
      <c r="K28" s="44">
        <v>1.4999999999999999E-2</v>
      </c>
      <c r="L28" s="44">
        <f>Tabelle12[[#This Row],[Spalte12]]-Tabelle12[[#This Row],[Spalte11]]</f>
        <v>7.3999999999999996E-2</v>
      </c>
      <c r="M28" s="44">
        <v>8.8999999999999996E-2</v>
      </c>
      <c r="N28" s="44">
        <v>0.105</v>
      </c>
      <c r="O28" s="44">
        <v>0.127</v>
      </c>
      <c r="P28" s="44">
        <v>8.1000000000000003E-2</v>
      </c>
      <c r="Q28" s="43">
        <v>1756915</v>
      </c>
      <c r="R28" s="45">
        <v>2.14</v>
      </c>
      <c r="S28" s="43">
        <v>232710</v>
      </c>
      <c r="T28" s="43">
        <v>108741</v>
      </c>
      <c r="U28" s="45">
        <v>2.04</v>
      </c>
      <c r="V28" s="43">
        <v>228743</v>
      </c>
      <c r="W28" s="43">
        <v>112288</v>
      </c>
      <c r="X28" s="45">
        <v>1.81</v>
      </c>
      <c r="Y28" s="43">
        <v>206461</v>
      </c>
      <c r="Z28" s="43">
        <v>114068</v>
      </c>
      <c r="AA28" s="45">
        <v>1.89</v>
      </c>
      <c r="AB28" s="43">
        <v>215098</v>
      </c>
      <c r="AC28" s="43">
        <v>113575</v>
      </c>
      <c r="AD28" s="46">
        <v>1.26</v>
      </c>
      <c r="AE28" s="43">
        <v>1420658</v>
      </c>
      <c r="AF28" s="43">
        <v>1128185</v>
      </c>
      <c r="AG28" s="22"/>
    </row>
    <row r="29" spans="1:33" ht="10.5" customHeight="1" x14ac:dyDescent="0.15">
      <c r="A29" s="47" t="s">
        <v>40</v>
      </c>
      <c r="B29" s="37">
        <v>3</v>
      </c>
      <c r="C29" s="38">
        <v>904944</v>
      </c>
      <c r="D29" s="38">
        <v>3491671</v>
      </c>
      <c r="E29" s="38">
        <v>3426083</v>
      </c>
      <c r="F29" s="38">
        <v>3426083</v>
      </c>
      <c r="G29" s="38">
        <v>11311806</v>
      </c>
      <c r="H29" s="39">
        <v>0.30299999999999999</v>
      </c>
      <c r="I29" s="39">
        <v>0.30299999999999999</v>
      </c>
      <c r="J29" s="39">
        <v>0.309</v>
      </c>
      <c r="K29" s="39">
        <v>0</v>
      </c>
      <c r="L29" s="39">
        <f>Tabelle12[[#This Row],[Spalte12]]-Tabelle12[[#This Row],[Spalte11]]</f>
        <v>7.8E-2</v>
      </c>
      <c r="M29" s="39">
        <v>7.8E-2</v>
      </c>
      <c r="N29" s="39">
        <v>9.6000000000000002E-2</v>
      </c>
      <c r="O29" s="39">
        <v>0.12</v>
      </c>
      <c r="P29" s="39">
        <v>8.5999999999999993E-2</v>
      </c>
      <c r="Q29" s="38">
        <v>39801417</v>
      </c>
      <c r="R29" s="40">
        <v>1.66</v>
      </c>
      <c r="S29" s="38">
        <v>18484006</v>
      </c>
      <c r="T29" s="38">
        <v>11110114</v>
      </c>
      <c r="U29" s="40">
        <v>1.88</v>
      </c>
      <c r="V29" s="38">
        <v>16297039</v>
      </c>
      <c r="W29" s="38">
        <v>8655635</v>
      </c>
      <c r="X29" s="40">
        <v>1.74</v>
      </c>
      <c r="Y29" s="38">
        <v>15635851</v>
      </c>
      <c r="Z29" s="38">
        <v>9006645</v>
      </c>
      <c r="AA29" s="40">
        <v>1.93</v>
      </c>
      <c r="AB29" s="38">
        <v>15898666</v>
      </c>
      <c r="AC29" s="38">
        <v>8236523</v>
      </c>
      <c r="AD29" s="41">
        <v>1.61</v>
      </c>
      <c r="AE29" s="38">
        <v>16742207</v>
      </c>
      <c r="AF29" s="38">
        <v>10400033</v>
      </c>
      <c r="AG29" s="22"/>
    </row>
    <row r="30" spans="1:33" ht="10.5" customHeight="1" x14ac:dyDescent="0.15">
      <c r="A30" s="48" t="s">
        <v>34</v>
      </c>
      <c r="B30" s="42">
        <v>3</v>
      </c>
      <c r="C30" s="43">
        <v>1511479</v>
      </c>
      <c r="D30" s="43">
        <v>5071680</v>
      </c>
      <c r="E30" s="43">
        <v>3793148</v>
      </c>
      <c r="F30" s="43">
        <v>5003370</v>
      </c>
      <c r="G30" s="43">
        <v>18893483</v>
      </c>
      <c r="H30" s="44">
        <v>0.20100000000000001</v>
      </c>
      <c r="I30" s="44">
        <v>0.26500000000000001</v>
      </c>
      <c r="J30" s="44">
        <v>0.26800000000000002</v>
      </c>
      <c r="K30" s="44">
        <v>2E-3</v>
      </c>
      <c r="L30" s="44">
        <f>Tabelle12[[#This Row],[Spalte12]]-Tabelle12[[#This Row],[Spalte11]]</f>
        <v>7.8E-2</v>
      </c>
      <c r="M30" s="44">
        <v>0.08</v>
      </c>
      <c r="N30" s="44">
        <v>9.8000000000000004E-2</v>
      </c>
      <c r="O30" s="44">
        <v>0.122</v>
      </c>
      <c r="P30" s="44">
        <v>0.05</v>
      </c>
      <c r="Q30" s="43">
        <v>100841101</v>
      </c>
      <c r="R30" s="45">
        <v>2.52</v>
      </c>
      <c r="S30" s="43">
        <v>17865395</v>
      </c>
      <c r="T30" s="43">
        <v>7090034</v>
      </c>
      <c r="U30" s="45">
        <v>2.75</v>
      </c>
      <c r="V30" s="43">
        <v>19401052</v>
      </c>
      <c r="W30" s="43">
        <v>7057229</v>
      </c>
      <c r="X30" s="45">
        <v>2.35</v>
      </c>
      <c r="Y30" s="43">
        <v>18753535</v>
      </c>
      <c r="Z30" s="43">
        <v>7989143</v>
      </c>
      <c r="AA30" s="45">
        <v>2.4</v>
      </c>
      <c r="AB30" s="43">
        <v>18103939</v>
      </c>
      <c r="AC30" s="43">
        <v>7544769</v>
      </c>
      <c r="AD30" s="46">
        <v>1.47</v>
      </c>
      <c r="AE30" s="43">
        <v>58293309</v>
      </c>
      <c r="AF30" s="43">
        <v>39548636</v>
      </c>
      <c r="AG30" s="22"/>
    </row>
    <row r="31" spans="1:33" ht="10.5" customHeight="1" x14ac:dyDescent="0.15">
      <c r="A31" s="47" t="s">
        <v>113</v>
      </c>
      <c r="B31" s="37">
        <v>5</v>
      </c>
      <c r="C31" s="38">
        <v>7624</v>
      </c>
      <c r="D31" s="38">
        <v>32765</v>
      </c>
      <c r="E31" s="38">
        <v>32765</v>
      </c>
      <c r="F31" s="38">
        <v>32765</v>
      </c>
      <c r="G31" s="38">
        <v>95295</v>
      </c>
      <c r="H31" s="39">
        <v>0.34399999999999997</v>
      </c>
      <c r="I31" s="39">
        <v>0.34399999999999997</v>
      </c>
      <c r="J31" s="39">
        <v>0.34399999999999997</v>
      </c>
      <c r="K31" s="39">
        <v>0</v>
      </c>
      <c r="L31" s="39">
        <f>Tabelle12[[#This Row],[Spalte12]]-Tabelle12[[#This Row],[Spalte11]]</f>
        <v>7.0000000000000007E-2</v>
      </c>
      <c r="M31" s="39">
        <v>7.0000000000000007E-2</v>
      </c>
      <c r="N31" s="39">
        <v>8.5000000000000006E-2</v>
      </c>
      <c r="O31" s="39">
        <v>0.105</v>
      </c>
      <c r="P31" s="39">
        <v>0.16300000000000001</v>
      </c>
      <c r="Q31" s="38">
        <v>200553</v>
      </c>
      <c r="R31" s="40">
        <v>2.96</v>
      </c>
      <c r="S31" s="38">
        <v>25185</v>
      </c>
      <c r="T31" s="38">
        <v>8523</v>
      </c>
      <c r="U31" s="40">
        <v>3.41</v>
      </c>
      <c r="V31" s="38">
        <v>28333</v>
      </c>
      <c r="W31" s="38">
        <v>8309</v>
      </c>
      <c r="X31" s="40">
        <v>2.82</v>
      </c>
      <c r="Y31" s="38">
        <v>17157</v>
      </c>
      <c r="Z31" s="38">
        <v>6082</v>
      </c>
      <c r="AA31" s="40">
        <v>3.37</v>
      </c>
      <c r="AB31" s="38">
        <v>30281</v>
      </c>
      <c r="AC31" s="38">
        <v>8997</v>
      </c>
      <c r="AD31" s="41">
        <v>1.85</v>
      </c>
      <c r="AE31" s="38">
        <v>137774</v>
      </c>
      <c r="AF31" s="38">
        <v>74560</v>
      </c>
      <c r="AG31" s="22"/>
    </row>
    <row r="32" spans="1:33" ht="10.5" customHeight="1" x14ac:dyDescent="0.15">
      <c r="A32" s="48" t="s">
        <v>38</v>
      </c>
      <c r="B32" s="42">
        <v>3</v>
      </c>
      <c r="C32" s="43">
        <v>397409</v>
      </c>
      <c r="D32" s="43">
        <v>1150129</v>
      </c>
      <c r="E32" s="43">
        <v>1048764</v>
      </c>
      <c r="F32" s="43">
        <v>1048764</v>
      </c>
      <c r="G32" s="43">
        <v>4967610</v>
      </c>
      <c r="H32" s="44">
        <v>0.21099999999999999</v>
      </c>
      <c r="I32" s="44">
        <v>0.21099999999999999</v>
      </c>
      <c r="J32" s="44">
        <v>0.23200000000000001</v>
      </c>
      <c r="K32" s="44">
        <v>2E-3</v>
      </c>
      <c r="L32" s="44">
        <f>Tabelle12[[#This Row],[Spalte12]]-Tabelle12[[#This Row],[Spalte11]]</f>
        <v>7.8E-2</v>
      </c>
      <c r="M32" s="44">
        <v>0.08</v>
      </c>
      <c r="N32" s="44">
        <v>9.8000000000000004E-2</v>
      </c>
      <c r="O32" s="44">
        <v>0.122</v>
      </c>
      <c r="P32" s="44">
        <v>5.0999999999999997E-2</v>
      </c>
      <c r="Q32" s="43">
        <v>20561602</v>
      </c>
      <c r="R32" s="45">
        <v>1.59</v>
      </c>
      <c r="S32" s="43">
        <v>4849872</v>
      </c>
      <c r="T32" s="43">
        <v>3043191</v>
      </c>
      <c r="U32" s="45">
        <v>1.51</v>
      </c>
      <c r="V32" s="43">
        <v>5098275</v>
      </c>
      <c r="W32" s="43">
        <v>3367627</v>
      </c>
      <c r="X32" s="45">
        <v>1.75</v>
      </c>
      <c r="Y32" s="43">
        <v>5325015</v>
      </c>
      <c r="Z32" s="43">
        <v>3037575</v>
      </c>
      <c r="AA32" s="45">
        <v>1.72</v>
      </c>
      <c r="AB32" s="43">
        <v>5254489</v>
      </c>
      <c r="AC32" s="43">
        <v>3051793</v>
      </c>
      <c r="AD32" s="46">
        <v>1.32</v>
      </c>
      <c r="AE32" s="43">
        <v>10088383</v>
      </c>
      <c r="AF32" s="43">
        <v>7670315</v>
      </c>
      <c r="AG32" s="22"/>
    </row>
    <row r="33" spans="1:33" ht="10.5" customHeight="1" x14ac:dyDescent="0.15">
      <c r="A33" s="47" t="s">
        <v>18</v>
      </c>
      <c r="B33" s="37">
        <v>5</v>
      </c>
      <c r="C33" s="38">
        <v>51338</v>
      </c>
      <c r="D33" s="38">
        <v>103292</v>
      </c>
      <c r="E33" s="38">
        <v>99540</v>
      </c>
      <c r="F33" s="38">
        <v>99540</v>
      </c>
      <c r="G33" s="38">
        <v>641725</v>
      </c>
      <c r="H33" s="39">
        <v>0.155</v>
      </c>
      <c r="I33" s="39">
        <v>0.155</v>
      </c>
      <c r="J33" s="39">
        <v>0.161</v>
      </c>
      <c r="K33" s="39">
        <v>1.7999999999999999E-2</v>
      </c>
      <c r="L33" s="39">
        <f>Tabelle12[[#This Row],[Spalte12]]-Tabelle12[[#This Row],[Spalte11]]</f>
        <v>6.9999999999999993E-2</v>
      </c>
      <c r="M33" s="39">
        <v>8.7999999999999995E-2</v>
      </c>
      <c r="N33" s="39">
        <v>0.10299999999999999</v>
      </c>
      <c r="O33" s="39">
        <v>0.123</v>
      </c>
      <c r="P33" s="39">
        <v>6.4000000000000001E-2</v>
      </c>
      <c r="Q33" s="38">
        <v>1566669</v>
      </c>
      <c r="R33" s="40">
        <v>1.29</v>
      </c>
      <c r="S33" s="38">
        <v>95675</v>
      </c>
      <c r="T33" s="38">
        <v>74211</v>
      </c>
      <c r="U33" s="40">
        <v>1.54</v>
      </c>
      <c r="V33" s="38">
        <v>113130</v>
      </c>
      <c r="W33" s="38">
        <v>73318</v>
      </c>
      <c r="X33" s="40">
        <v>1.99</v>
      </c>
      <c r="Y33" s="38">
        <v>133505</v>
      </c>
      <c r="Z33" s="38">
        <v>66974</v>
      </c>
      <c r="AA33" s="40">
        <v>1.42</v>
      </c>
      <c r="AB33" s="38">
        <v>110629</v>
      </c>
      <c r="AC33" s="38">
        <v>78082</v>
      </c>
      <c r="AD33" s="41">
        <v>1.1299999999999999</v>
      </c>
      <c r="AE33" s="38">
        <v>1299988</v>
      </c>
      <c r="AF33" s="38">
        <v>1154911</v>
      </c>
      <c r="AG33" s="22"/>
    </row>
    <row r="34" spans="1:33" ht="10.5" customHeight="1" x14ac:dyDescent="0.15">
      <c r="A34" s="48" t="s">
        <v>111</v>
      </c>
      <c r="B34" s="42">
        <v>5</v>
      </c>
      <c r="C34" s="43">
        <v>10913</v>
      </c>
      <c r="D34" s="43">
        <v>76014</v>
      </c>
      <c r="E34" s="43">
        <v>75951</v>
      </c>
      <c r="F34" s="43">
        <v>75951</v>
      </c>
      <c r="G34" s="43">
        <v>136410</v>
      </c>
      <c r="H34" s="44">
        <v>0.55700000000000005</v>
      </c>
      <c r="I34" s="44">
        <v>0.55700000000000005</v>
      </c>
      <c r="J34" s="44">
        <v>0.55700000000000005</v>
      </c>
      <c r="K34" s="44">
        <v>0</v>
      </c>
      <c r="L34" s="44">
        <f>Tabelle12[[#This Row],[Spalte12]]-Tabelle12[[#This Row],[Spalte11]]</f>
        <v>7.0000000000000007E-2</v>
      </c>
      <c r="M34" s="44">
        <v>7.0000000000000007E-2</v>
      </c>
      <c r="N34" s="44">
        <v>8.5000000000000006E-2</v>
      </c>
      <c r="O34" s="44">
        <v>0.105</v>
      </c>
      <c r="P34" s="44">
        <v>0.14799999999999999</v>
      </c>
      <c r="Q34" s="43">
        <v>511475</v>
      </c>
      <c r="R34" s="45">
        <v>11.53</v>
      </c>
      <c r="S34" s="43">
        <v>361080</v>
      </c>
      <c r="T34" s="43">
        <v>31305</v>
      </c>
      <c r="U34" s="45">
        <v>12.42</v>
      </c>
      <c r="V34" s="43">
        <v>356431</v>
      </c>
      <c r="W34" s="43">
        <v>28697</v>
      </c>
      <c r="X34" s="45">
        <v>12.35</v>
      </c>
      <c r="Y34" s="43">
        <v>360756</v>
      </c>
      <c r="Z34" s="43">
        <v>29217</v>
      </c>
      <c r="AA34" s="45">
        <v>13.19</v>
      </c>
      <c r="AB34" s="43">
        <v>356086</v>
      </c>
      <c r="AC34" s="43">
        <v>27000</v>
      </c>
      <c r="AD34" s="46">
        <v>22.04</v>
      </c>
      <c r="AE34" s="43">
        <v>444509</v>
      </c>
      <c r="AF34" s="43">
        <v>20171</v>
      </c>
      <c r="AG34" s="22"/>
    </row>
    <row r="35" spans="1:33" ht="10.5" customHeight="1" x14ac:dyDescent="0.15">
      <c r="A35" s="47" t="s">
        <v>108</v>
      </c>
      <c r="B35" s="37">
        <v>5</v>
      </c>
      <c r="C35" s="38">
        <v>273208</v>
      </c>
      <c r="D35" s="38">
        <v>398593</v>
      </c>
      <c r="E35" s="38">
        <v>293593</v>
      </c>
      <c r="F35" s="38">
        <v>333593</v>
      </c>
      <c r="G35" s="38">
        <v>3415099</v>
      </c>
      <c r="H35" s="39">
        <v>8.5999999999999993E-2</v>
      </c>
      <c r="I35" s="39">
        <v>9.8000000000000004E-2</v>
      </c>
      <c r="J35" s="39">
        <v>0.11700000000000001</v>
      </c>
      <c r="K35" s="39">
        <v>0</v>
      </c>
      <c r="L35" s="39">
        <f>Tabelle12[[#This Row],[Spalte12]]-Tabelle12[[#This Row],[Spalte11]]</f>
        <v>7.0000000000000007E-2</v>
      </c>
      <c r="M35" s="39">
        <v>7.0000000000000007E-2</v>
      </c>
      <c r="N35" s="39">
        <v>8.5000000000000006E-2</v>
      </c>
      <c r="O35" s="39">
        <v>0.105</v>
      </c>
      <c r="P35" s="39">
        <v>6.3E-2</v>
      </c>
      <c r="Q35" s="38">
        <v>5321410</v>
      </c>
      <c r="R35" s="55" t="s">
        <v>209</v>
      </c>
      <c r="S35" s="55" t="s">
        <v>209</v>
      </c>
      <c r="T35" s="55" t="s">
        <v>209</v>
      </c>
      <c r="U35" s="56" t="s">
        <v>209</v>
      </c>
      <c r="V35" s="55" t="s">
        <v>209</v>
      </c>
      <c r="W35" s="55" t="s">
        <v>209</v>
      </c>
      <c r="X35" s="56" t="s">
        <v>209</v>
      </c>
      <c r="Y35" s="55" t="s">
        <v>209</v>
      </c>
      <c r="Z35" s="55" t="s">
        <v>209</v>
      </c>
      <c r="AA35" s="56" t="s">
        <v>209</v>
      </c>
      <c r="AB35" s="55" t="s">
        <v>209</v>
      </c>
      <c r="AC35" s="55" t="s">
        <v>209</v>
      </c>
      <c r="AD35" s="57" t="s">
        <v>209</v>
      </c>
      <c r="AE35" s="55" t="s">
        <v>209</v>
      </c>
      <c r="AF35" s="55" t="s">
        <v>209</v>
      </c>
      <c r="AG35" s="22"/>
    </row>
    <row r="36" spans="1:33" ht="10.5" customHeight="1" x14ac:dyDescent="0.15">
      <c r="A36" s="48" t="s">
        <v>168</v>
      </c>
      <c r="B36" s="42">
        <v>5</v>
      </c>
      <c r="C36" s="43">
        <v>24518</v>
      </c>
      <c r="D36" s="43">
        <v>224887</v>
      </c>
      <c r="E36" s="43">
        <v>217079</v>
      </c>
      <c r="F36" s="43">
        <v>217079</v>
      </c>
      <c r="G36" s="43">
        <v>306479</v>
      </c>
      <c r="H36" s="44">
        <v>0.70799999999999996</v>
      </c>
      <c r="I36" s="44">
        <v>0.70799999999999996</v>
      </c>
      <c r="J36" s="44">
        <v>0.73399999999999999</v>
      </c>
      <c r="K36" s="44">
        <v>0</v>
      </c>
      <c r="L36" s="44">
        <f>Tabelle12[[#This Row],[Spalte12]]-Tabelle12[[#This Row],[Spalte11]]</f>
        <v>7.0000000000000007E-2</v>
      </c>
      <c r="M36" s="44">
        <v>7.0000000000000007E-2</v>
      </c>
      <c r="N36" s="44">
        <v>8.5000000000000006E-2</v>
      </c>
      <c r="O36" s="44">
        <v>0.105</v>
      </c>
      <c r="P36" s="44">
        <v>0.19</v>
      </c>
      <c r="Q36" s="43">
        <v>1141994</v>
      </c>
      <c r="R36" s="45">
        <v>5</v>
      </c>
      <c r="S36" s="43">
        <v>193080</v>
      </c>
      <c r="T36" s="43">
        <v>38582</v>
      </c>
      <c r="U36" s="45">
        <v>6.24</v>
      </c>
      <c r="V36" s="43">
        <v>237093</v>
      </c>
      <c r="W36" s="43">
        <v>37975</v>
      </c>
      <c r="X36" s="45">
        <v>7.35</v>
      </c>
      <c r="Y36" s="43">
        <v>318051</v>
      </c>
      <c r="Z36" s="43">
        <v>43253</v>
      </c>
      <c r="AA36" s="45">
        <v>8.76</v>
      </c>
      <c r="AB36" s="43">
        <v>352326</v>
      </c>
      <c r="AC36" s="43">
        <v>40208</v>
      </c>
      <c r="AD36" s="46">
        <v>3.03</v>
      </c>
      <c r="AE36" s="43">
        <v>850566</v>
      </c>
      <c r="AF36" s="43">
        <v>280448</v>
      </c>
      <c r="AG36" s="22"/>
    </row>
    <row r="37" spans="1:33" ht="10.5" customHeight="1" x14ac:dyDescent="0.15">
      <c r="A37" s="47" t="s">
        <v>194</v>
      </c>
      <c r="B37" s="37">
        <v>5</v>
      </c>
      <c r="C37" s="38">
        <v>10420</v>
      </c>
      <c r="D37" s="38">
        <v>108599</v>
      </c>
      <c r="E37" s="38">
        <v>108337</v>
      </c>
      <c r="F37" s="38">
        <v>108337</v>
      </c>
      <c r="G37" s="38">
        <v>130247</v>
      </c>
      <c r="H37" s="39">
        <v>0.83199999999999996</v>
      </c>
      <c r="I37" s="39">
        <v>0.83199999999999996</v>
      </c>
      <c r="J37" s="39">
        <v>0.83399999999999996</v>
      </c>
      <c r="K37" s="39">
        <v>0</v>
      </c>
      <c r="L37" s="39">
        <f>Tabelle12[[#This Row],[Spalte12]]-Tabelle12[[#This Row],[Spalte11]]</f>
        <v>7.0000000000000007E-2</v>
      </c>
      <c r="M37" s="39">
        <v>7.0000000000000007E-2</v>
      </c>
      <c r="N37" s="39">
        <v>8.5000000000000006E-2</v>
      </c>
      <c r="O37" s="39">
        <v>0.105</v>
      </c>
      <c r="P37" s="39">
        <v>0.34799999999999998</v>
      </c>
      <c r="Q37" s="38">
        <v>311732</v>
      </c>
      <c r="R37" s="40">
        <v>3.18</v>
      </c>
      <c r="S37" s="38">
        <v>84737</v>
      </c>
      <c r="T37" s="38">
        <v>26662</v>
      </c>
      <c r="U37" s="40">
        <v>2.98</v>
      </c>
      <c r="V37" s="38">
        <v>87226</v>
      </c>
      <c r="W37" s="38">
        <v>29309</v>
      </c>
      <c r="X37" s="40">
        <v>2.61</v>
      </c>
      <c r="Y37" s="38">
        <v>77326</v>
      </c>
      <c r="Z37" s="38">
        <v>29606</v>
      </c>
      <c r="AA37" s="40">
        <v>2.54</v>
      </c>
      <c r="AB37" s="38">
        <v>82088</v>
      </c>
      <c r="AC37" s="38">
        <v>32297</v>
      </c>
      <c r="AD37" s="41">
        <v>1.69</v>
      </c>
      <c r="AE37" s="38">
        <v>252069</v>
      </c>
      <c r="AF37" s="38">
        <v>149536</v>
      </c>
      <c r="AG37" s="22"/>
    </row>
    <row r="38" spans="1:33" ht="10.5" customHeight="1" x14ac:dyDescent="0.15">
      <c r="A38" s="48" t="s">
        <v>10</v>
      </c>
      <c r="B38" s="42">
        <v>3</v>
      </c>
      <c r="C38" s="43">
        <v>1110318</v>
      </c>
      <c r="D38" s="43">
        <v>2633153</v>
      </c>
      <c r="E38" s="43">
        <v>2627821</v>
      </c>
      <c r="F38" s="43">
        <v>2627821</v>
      </c>
      <c r="G38" s="43">
        <v>13878975</v>
      </c>
      <c r="H38" s="44">
        <v>0.189</v>
      </c>
      <c r="I38" s="44">
        <v>0.189</v>
      </c>
      <c r="J38" s="44">
        <v>0.19</v>
      </c>
      <c r="K38" s="44">
        <v>1.0999999999999999E-2</v>
      </c>
      <c r="L38" s="44">
        <f>Tabelle12[[#This Row],[Spalte12]]-Tabelle12[[#This Row],[Spalte11]]</f>
        <v>7.8E-2</v>
      </c>
      <c r="M38" s="44">
        <v>8.8999999999999996E-2</v>
      </c>
      <c r="N38" s="44">
        <v>0.107</v>
      </c>
      <c r="O38" s="44">
        <v>0.13100000000000001</v>
      </c>
      <c r="P38" s="44">
        <v>0.09</v>
      </c>
      <c r="Q38" s="43">
        <v>29173698</v>
      </c>
      <c r="R38" s="45">
        <v>2.2400000000000002</v>
      </c>
      <c r="S38" s="43">
        <v>4262194</v>
      </c>
      <c r="T38" s="43">
        <v>1900304</v>
      </c>
      <c r="U38" s="45">
        <v>2.37</v>
      </c>
      <c r="V38" s="43">
        <v>4534539</v>
      </c>
      <c r="W38" s="43">
        <v>1909802</v>
      </c>
      <c r="X38" s="45">
        <v>2.2799999999999998</v>
      </c>
      <c r="Y38" s="43">
        <v>4055335</v>
      </c>
      <c r="Z38" s="43">
        <v>1778415</v>
      </c>
      <c r="AA38" s="45">
        <v>1.98</v>
      </c>
      <c r="AB38" s="43">
        <v>3883684</v>
      </c>
      <c r="AC38" s="43">
        <v>1959892</v>
      </c>
      <c r="AD38" s="46">
        <v>1.31</v>
      </c>
      <c r="AE38" s="43">
        <v>24749338</v>
      </c>
      <c r="AF38" s="43">
        <v>18873448</v>
      </c>
      <c r="AG38" s="22"/>
    </row>
    <row r="39" spans="1:33" ht="10.5" customHeight="1" x14ac:dyDescent="0.15">
      <c r="A39" s="47" t="s">
        <v>11</v>
      </c>
      <c r="B39" s="37">
        <v>3</v>
      </c>
      <c r="C39" s="38">
        <v>1203628</v>
      </c>
      <c r="D39" s="38">
        <v>2506412</v>
      </c>
      <c r="E39" s="38">
        <v>2259991</v>
      </c>
      <c r="F39" s="38">
        <v>2391526</v>
      </c>
      <c r="G39" s="38">
        <v>15045351</v>
      </c>
      <c r="H39" s="39">
        <v>0.15</v>
      </c>
      <c r="I39" s="39">
        <v>0.159</v>
      </c>
      <c r="J39" s="39">
        <v>0.16700000000000001</v>
      </c>
      <c r="K39" s="39">
        <v>7.0000000000000001E-3</v>
      </c>
      <c r="L39" s="39">
        <f>Tabelle12[[#This Row],[Spalte12]]-Tabelle12[[#This Row],[Spalte11]]</f>
        <v>7.8E-2</v>
      </c>
      <c r="M39" s="39">
        <v>8.5000000000000006E-2</v>
      </c>
      <c r="N39" s="39">
        <v>0.10299999999999999</v>
      </c>
      <c r="O39" s="39">
        <v>0.127</v>
      </c>
      <c r="P39" s="39">
        <v>7.0999999999999994E-2</v>
      </c>
      <c r="Q39" s="38">
        <v>33859160</v>
      </c>
      <c r="R39" s="40">
        <v>1.71</v>
      </c>
      <c r="S39" s="38">
        <v>8657697</v>
      </c>
      <c r="T39" s="38">
        <v>5073673</v>
      </c>
      <c r="U39" s="40">
        <v>1.55</v>
      </c>
      <c r="V39" s="38">
        <v>8433605</v>
      </c>
      <c r="W39" s="38">
        <v>5436937</v>
      </c>
      <c r="X39" s="40">
        <v>1.67</v>
      </c>
      <c r="Y39" s="38">
        <v>7763547</v>
      </c>
      <c r="Z39" s="38">
        <v>4653367</v>
      </c>
      <c r="AA39" s="40">
        <v>1.62</v>
      </c>
      <c r="AB39" s="38">
        <v>8318435</v>
      </c>
      <c r="AC39" s="38">
        <v>5134129</v>
      </c>
      <c r="AD39" s="41">
        <v>1.4</v>
      </c>
      <c r="AE39" s="38">
        <v>23727021</v>
      </c>
      <c r="AF39" s="38">
        <v>16888458</v>
      </c>
      <c r="AG39" s="22"/>
    </row>
    <row r="40" spans="1:33" ht="10.5" customHeight="1" x14ac:dyDescent="0.15">
      <c r="A40" s="48" t="s">
        <v>15</v>
      </c>
      <c r="B40" s="42">
        <v>4</v>
      </c>
      <c r="C40" s="43">
        <v>148590</v>
      </c>
      <c r="D40" s="43">
        <v>319987</v>
      </c>
      <c r="E40" s="43">
        <v>316933</v>
      </c>
      <c r="F40" s="43">
        <v>316933</v>
      </c>
      <c r="G40" s="43">
        <v>1857380</v>
      </c>
      <c r="H40" s="44">
        <v>0.17100000000000001</v>
      </c>
      <c r="I40" s="44">
        <v>0.17100000000000001</v>
      </c>
      <c r="J40" s="44">
        <v>0.17199999999999999</v>
      </c>
      <c r="K40" s="44">
        <v>1.4E-2</v>
      </c>
      <c r="L40" s="44">
        <f>Tabelle12[[#This Row],[Spalte12]]-Tabelle12[[#This Row],[Spalte11]]</f>
        <v>7.3999999999999996E-2</v>
      </c>
      <c r="M40" s="44">
        <v>8.7999999999999995E-2</v>
      </c>
      <c r="N40" s="44">
        <v>0.104</v>
      </c>
      <c r="O40" s="44">
        <v>0.126</v>
      </c>
      <c r="P40" s="44">
        <v>7.0999999999999994E-2</v>
      </c>
      <c r="Q40" s="43">
        <v>4454426</v>
      </c>
      <c r="R40" s="45">
        <v>1.19</v>
      </c>
      <c r="S40" s="43">
        <v>434074</v>
      </c>
      <c r="T40" s="43">
        <v>363739</v>
      </c>
      <c r="U40" s="45">
        <v>1.29</v>
      </c>
      <c r="V40" s="43">
        <v>514194</v>
      </c>
      <c r="W40" s="43">
        <v>397103</v>
      </c>
      <c r="X40" s="45">
        <v>1.35</v>
      </c>
      <c r="Y40" s="43">
        <v>616036</v>
      </c>
      <c r="Z40" s="43">
        <v>456769</v>
      </c>
      <c r="AA40" s="45">
        <v>1.42</v>
      </c>
      <c r="AB40" s="43">
        <v>630185</v>
      </c>
      <c r="AC40" s="43">
        <v>442985</v>
      </c>
      <c r="AD40" s="46">
        <v>1.28</v>
      </c>
      <c r="AE40" s="43">
        <v>3588524</v>
      </c>
      <c r="AF40" s="43">
        <v>2804256</v>
      </c>
      <c r="AG40" s="22"/>
    </row>
    <row r="41" spans="1:33" ht="10.5" customHeight="1" x14ac:dyDescent="0.15">
      <c r="A41" s="47" t="s">
        <v>16</v>
      </c>
      <c r="B41" s="37">
        <v>3</v>
      </c>
      <c r="C41" s="38">
        <v>735654</v>
      </c>
      <c r="D41" s="38">
        <v>1646015</v>
      </c>
      <c r="E41" s="38">
        <v>1581015</v>
      </c>
      <c r="F41" s="38">
        <v>1581015</v>
      </c>
      <c r="G41" s="38">
        <v>9195670</v>
      </c>
      <c r="H41" s="39">
        <v>0.17199999999999999</v>
      </c>
      <c r="I41" s="39">
        <v>0.17199999999999999</v>
      </c>
      <c r="J41" s="39">
        <v>0.17899999999999999</v>
      </c>
      <c r="K41" s="39">
        <v>1.2999999999999999E-2</v>
      </c>
      <c r="L41" s="39">
        <f>Tabelle12[[#This Row],[Spalte12]]-Tabelle12[[#This Row],[Spalte11]]</f>
        <v>7.8E-2</v>
      </c>
      <c r="M41" s="39">
        <v>9.0999999999999998E-2</v>
      </c>
      <c r="N41" s="39">
        <v>0.109</v>
      </c>
      <c r="O41" s="39">
        <v>0.13300000000000001</v>
      </c>
      <c r="P41" s="39">
        <v>7.4999999999999997E-2</v>
      </c>
      <c r="Q41" s="38">
        <v>21145697</v>
      </c>
      <c r="R41" s="40">
        <v>1.64</v>
      </c>
      <c r="S41" s="38">
        <v>3853061</v>
      </c>
      <c r="T41" s="38">
        <v>2355060</v>
      </c>
      <c r="U41" s="40">
        <v>1.49</v>
      </c>
      <c r="V41" s="38">
        <v>3807746</v>
      </c>
      <c r="W41" s="38">
        <v>2562839</v>
      </c>
      <c r="X41" s="40">
        <v>1.56</v>
      </c>
      <c r="Y41" s="38">
        <v>3894793</v>
      </c>
      <c r="Z41" s="38">
        <v>2495271</v>
      </c>
      <c r="AA41" s="40">
        <v>1.56</v>
      </c>
      <c r="AB41" s="38">
        <v>3867591</v>
      </c>
      <c r="AC41" s="38">
        <v>2476115</v>
      </c>
      <c r="AD41" s="41">
        <v>1.29</v>
      </c>
      <c r="AE41" s="38">
        <v>16147101</v>
      </c>
      <c r="AF41" s="38">
        <v>12533796</v>
      </c>
      <c r="AG41" s="22"/>
    </row>
    <row r="42" spans="1:33" ht="10.5" customHeight="1" x14ac:dyDescent="0.15">
      <c r="A42" s="48" t="s">
        <v>211</v>
      </c>
      <c r="B42" s="42">
        <v>4</v>
      </c>
      <c r="C42" s="43">
        <v>390155</v>
      </c>
      <c r="D42" s="43">
        <v>1091656</v>
      </c>
      <c r="E42" s="43">
        <v>1062013</v>
      </c>
      <c r="F42" s="43">
        <v>1062013</v>
      </c>
      <c r="G42" s="43">
        <v>4876934</v>
      </c>
      <c r="H42" s="44">
        <v>0.218</v>
      </c>
      <c r="I42" s="44">
        <v>0.218</v>
      </c>
      <c r="J42" s="44">
        <v>0.224</v>
      </c>
      <c r="K42" s="44">
        <v>1.4E-2</v>
      </c>
      <c r="L42" s="44">
        <f>Tabelle12[[#This Row],[Spalte12]]-Tabelle12[[#This Row],[Spalte11]]</f>
        <v>7.3999999999999996E-2</v>
      </c>
      <c r="M42" s="44">
        <v>8.7999999999999995E-2</v>
      </c>
      <c r="N42" s="44">
        <v>0.104</v>
      </c>
      <c r="O42" s="44">
        <v>0.126</v>
      </c>
      <c r="P42" s="44">
        <v>8.6999999999999994E-2</v>
      </c>
      <c r="Q42" s="43">
        <v>12235134</v>
      </c>
      <c r="R42" s="45">
        <v>1.82</v>
      </c>
      <c r="S42" s="43">
        <v>1880167</v>
      </c>
      <c r="T42" s="43">
        <v>1033666</v>
      </c>
      <c r="U42" s="45">
        <v>1.74</v>
      </c>
      <c r="V42" s="43">
        <v>1800518</v>
      </c>
      <c r="W42" s="43">
        <v>1035337</v>
      </c>
      <c r="X42" s="45">
        <v>1.76</v>
      </c>
      <c r="Y42" s="43">
        <v>1786871</v>
      </c>
      <c r="Z42" s="43">
        <v>1012767</v>
      </c>
      <c r="AA42" s="45">
        <v>1.75</v>
      </c>
      <c r="AB42" s="43">
        <v>1796265</v>
      </c>
      <c r="AC42" s="43">
        <v>1024791</v>
      </c>
      <c r="AD42" s="46">
        <v>1.29</v>
      </c>
      <c r="AE42" s="43">
        <v>9598298</v>
      </c>
      <c r="AF42" s="43">
        <v>7432266</v>
      </c>
      <c r="AG42" s="22"/>
    </row>
    <row r="43" spans="1:33" ht="10.5" customHeight="1" x14ac:dyDescent="0.15">
      <c r="A43" s="47" t="s">
        <v>25</v>
      </c>
      <c r="B43" s="37">
        <v>3</v>
      </c>
      <c r="C43" s="38">
        <v>1671526</v>
      </c>
      <c r="D43" s="38">
        <v>3538695</v>
      </c>
      <c r="E43" s="38">
        <v>3518727</v>
      </c>
      <c r="F43" s="38">
        <v>3518727</v>
      </c>
      <c r="G43" s="38">
        <v>20894080</v>
      </c>
      <c r="H43" s="39">
        <v>0.16800000000000001</v>
      </c>
      <c r="I43" s="39">
        <v>0.16800000000000001</v>
      </c>
      <c r="J43" s="39">
        <v>0.16900000000000001</v>
      </c>
      <c r="K43" s="39">
        <v>0.01</v>
      </c>
      <c r="L43" s="39">
        <f>Tabelle12[[#This Row],[Spalte12]]-Tabelle12[[#This Row],[Spalte11]]</f>
        <v>7.8E-2</v>
      </c>
      <c r="M43" s="39">
        <v>8.7999999999999995E-2</v>
      </c>
      <c r="N43" s="39">
        <v>0.106</v>
      </c>
      <c r="O43" s="39">
        <v>0.13</v>
      </c>
      <c r="P43" s="39">
        <v>5.5E-2</v>
      </c>
      <c r="Q43" s="38">
        <v>63441720</v>
      </c>
      <c r="R43" s="40">
        <v>1.28</v>
      </c>
      <c r="S43" s="38">
        <v>12454523</v>
      </c>
      <c r="T43" s="38">
        <v>9732485</v>
      </c>
      <c r="U43" s="40">
        <v>1.27</v>
      </c>
      <c r="V43" s="38">
        <v>13410865</v>
      </c>
      <c r="W43" s="38">
        <v>10566616</v>
      </c>
      <c r="X43" s="40">
        <v>1.34</v>
      </c>
      <c r="Y43" s="38">
        <v>12285910</v>
      </c>
      <c r="Z43" s="38">
        <v>9186194</v>
      </c>
      <c r="AA43" s="40">
        <v>1.24</v>
      </c>
      <c r="AB43" s="38">
        <v>11403705</v>
      </c>
      <c r="AC43" s="38">
        <v>9173112</v>
      </c>
      <c r="AD43" s="41">
        <v>1.18</v>
      </c>
      <c r="AE43" s="38">
        <v>40313650</v>
      </c>
      <c r="AF43" s="38">
        <v>34071829</v>
      </c>
      <c r="AG43" s="22"/>
    </row>
    <row r="44" spans="1:33" ht="10.5" customHeight="1" x14ac:dyDescent="0.15">
      <c r="A44" s="48" t="s">
        <v>102</v>
      </c>
      <c r="B44" s="42">
        <v>5</v>
      </c>
      <c r="C44" s="43">
        <v>21095</v>
      </c>
      <c r="D44" s="43">
        <v>88473</v>
      </c>
      <c r="E44" s="43">
        <v>82896</v>
      </c>
      <c r="F44" s="43">
        <v>82896</v>
      </c>
      <c r="G44" s="43">
        <v>263683</v>
      </c>
      <c r="H44" s="44">
        <v>0.314</v>
      </c>
      <c r="I44" s="44">
        <v>0.314</v>
      </c>
      <c r="J44" s="44">
        <v>0.33600000000000002</v>
      </c>
      <c r="K44" s="44">
        <v>6.0000000000000001E-3</v>
      </c>
      <c r="L44" s="44">
        <f>Tabelle12[[#This Row],[Spalte12]]-Tabelle12[[#This Row],[Spalte11]]</f>
        <v>6.9999999999999993E-2</v>
      </c>
      <c r="M44" s="44">
        <v>7.5999999999999998E-2</v>
      </c>
      <c r="N44" s="44">
        <v>9.0999999999999998E-2</v>
      </c>
      <c r="O44" s="44">
        <v>0.111</v>
      </c>
      <c r="P44" s="44">
        <v>0.128</v>
      </c>
      <c r="Q44" s="43">
        <v>646873</v>
      </c>
      <c r="R44" s="45">
        <v>4.22</v>
      </c>
      <c r="S44" s="43">
        <v>157249</v>
      </c>
      <c r="T44" s="43">
        <v>37264</v>
      </c>
      <c r="U44" s="45">
        <v>3.07</v>
      </c>
      <c r="V44" s="43">
        <v>122831</v>
      </c>
      <c r="W44" s="43">
        <v>39975</v>
      </c>
      <c r="X44" s="45">
        <v>3.25</v>
      </c>
      <c r="Y44" s="43">
        <v>117287</v>
      </c>
      <c r="Z44" s="43">
        <v>36103</v>
      </c>
      <c r="AA44" s="45">
        <v>3.65</v>
      </c>
      <c r="AB44" s="43">
        <v>161517</v>
      </c>
      <c r="AC44" s="43">
        <v>44239</v>
      </c>
      <c r="AD44" s="46">
        <v>1.98</v>
      </c>
      <c r="AE44" s="43">
        <v>427974</v>
      </c>
      <c r="AF44" s="43">
        <v>216341</v>
      </c>
      <c r="AG44" s="22"/>
    </row>
    <row r="45" spans="1:33" ht="10.5" customHeight="1" x14ac:dyDescent="0.15">
      <c r="A45" s="47" t="s">
        <v>67</v>
      </c>
      <c r="B45" s="37">
        <v>5</v>
      </c>
      <c r="C45" s="38">
        <v>272284</v>
      </c>
      <c r="D45" s="38">
        <v>647856</v>
      </c>
      <c r="E45" s="38">
        <v>647856</v>
      </c>
      <c r="F45" s="38">
        <v>647856</v>
      </c>
      <c r="G45" s="38">
        <v>3403554</v>
      </c>
      <c r="H45" s="39">
        <v>0.19</v>
      </c>
      <c r="I45" s="39">
        <v>0.19</v>
      </c>
      <c r="J45" s="39">
        <v>0.19</v>
      </c>
      <c r="K45" s="39">
        <v>0</v>
      </c>
      <c r="L45" s="39">
        <f>Tabelle12[[#This Row],[Spalte12]]-Tabelle12[[#This Row],[Spalte11]]</f>
        <v>7.0000000000000007E-2</v>
      </c>
      <c r="M45" s="39">
        <v>7.0000000000000007E-2</v>
      </c>
      <c r="N45" s="39">
        <v>8.5000000000000006E-2</v>
      </c>
      <c r="O45" s="39">
        <v>0.105</v>
      </c>
      <c r="P45" s="39">
        <v>0.13900000000000001</v>
      </c>
      <c r="Q45" s="38">
        <v>4677143</v>
      </c>
      <c r="R45" s="40">
        <v>2.19</v>
      </c>
      <c r="S45" s="38">
        <v>666475</v>
      </c>
      <c r="T45" s="38">
        <v>304049</v>
      </c>
      <c r="U45" s="40">
        <v>2.77</v>
      </c>
      <c r="V45" s="38">
        <v>998909</v>
      </c>
      <c r="W45" s="38">
        <v>360537</v>
      </c>
      <c r="X45" s="40">
        <v>2.35</v>
      </c>
      <c r="Y45" s="38">
        <v>1112510</v>
      </c>
      <c r="Z45" s="38">
        <v>473574</v>
      </c>
      <c r="AA45" s="40">
        <v>2.46</v>
      </c>
      <c r="AB45" s="38">
        <v>716722</v>
      </c>
      <c r="AC45" s="38">
        <v>291411</v>
      </c>
      <c r="AD45" s="41">
        <v>1.19</v>
      </c>
      <c r="AE45" s="38">
        <v>1881348</v>
      </c>
      <c r="AF45" s="38">
        <v>1585642</v>
      </c>
      <c r="AG45" s="22"/>
    </row>
    <row r="46" spans="1:33" ht="10.5" customHeight="1" x14ac:dyDescent="0.15">
      <c r="A46" s="48" t="s">
        <v>118</v>
      </c>
      <c r="B46" s="42">
        <v>5</v>
      </c>
      <c r="C46" s="43">
        <v>52496</v>
      </c>
      <c r="D46" s="43">
        <v>125499</v>
      </c>
      <c r="E46" s="43">
        <v>121542</v>
      </c>
      <c r="F46" s="43">
        <v>121542</v>
      </c>
      <c r="G46" s="43">
        <v>656195</v>
      </c>
      <c r="H46" s="44">
        <v>0.185</v>
      </c>
      <c r="I46" s="44">
        <v>0.185</v>
      </c>
      <c r="J46" s="44">
        <v>0.191</v>
      </c>
      <c r="K46" s="44">
        <v>1.6E-2</v>
      </c>
      <c r="L46" s="44">
        <f>Tabelle12[[#This Row],[Spalte12]]-Tabelle12[[#This Row],[Spalte11]]</f>
        <v>6.9999999999999993E-2</v>
      </c>
      <c r="M46" s="44">
        <v>8.5999999999999993E-2</v>
      </c>
      <c r="N46" s="44">
        <v>0.10100000000000001</v>
      </c>
      <c r="O46" s="44">
        <v>0.121</v>
      </c>
      <c r="P46" s="44">
        <v>7.6999999999999999E-2</v>
      </c>
      <c r="Q46" s="43">
        <v>1581230</v>
      </c>
      <c r="R46" s="45">
        <v>2.0099999999999998</v>
      </c>
      <c r="S46" s="43">
        <v>102717</v>
      </c>
      <c r="T46" s="43">
        <v>51148</v>
      </c>
      <c r="U46" s="45">
        <v>1.86</v>
      </c>
      <c r="V46" s="43">
        <v>114232</v>
      </c>
      <c r="W46" s="43">
        <v>61436</v>
      </c>
      <c r="X46" s="45">
        <v>1.62</v>
      </c>
      <c r="Y46" s="43">
        <v>108678</v>
      </c>
      <c r="Z46" s="43">
        <v>67227</v>
      </c>
      <c r="AA46" s="45">
        <v>1.81</v>
      </c>
      <c r="AB46" s="43">
        <v>146195</v>
      </c>
      <c r="AC46" s="43">
        <v>80924</v>
      </c>
      <c r="AD46" s="46">
        <v>1.31</v>
      </c>
      <c r="AE46" s="43">
        <v>1170988</v>
      </c>
      <c r="AF46" s="43">
        <v>894953</v>
      </c>
      <c r="AG46" s="22"/>
    </row>
    <row r="47" spans="1:33" ht="10.5" customHeight="1" x14ac:dyDescent="0.15">
      <c r="A47" s="47" t="s">
        <v>174</v>
      </c>
      <c r="B47" s="37">
        <v>5</v>
      </c>
      <c r="C47" s="38">
        <v>9826</v>
      </c>
      <c r="D47" s="38">
        <v>30262</v>
      </c>
      <c r="E47" s="38">
        <v>30262</v>
      </c>
      <c r="F47" s="38">
        <v>30262</v>
      </c>
      <c r="G47" s="38">
        <v>122829</v>
      </c>
      <c r="H47" s="39">
        <v>0.246</v>
      </c>
      <c r="I47" s="39">
        <v>0.246</v>
      </c>
      <c r="J47" s="39">
        <v>0.246</v>
      </c>
      <c r="K47" s="39">
        <v>0</v>
      </c>
      <c r="L47" s="39">
        <f>Tabelle12[[#This Row],[Spalte12]]-Tabelle12[[#This Row],[Spalte11]]</f>
        <v>7.0000000000000007E-2</v>
      </c>
      <c r="M47" s="39">
        <v>7.0000000000000007E-2</v>
      </c>
      <c r="N47" s="39">
        <v>8.5000000000000006E-2</v>
      </c>
      <c r="O47" s="39">
        <v>0.105</v>
      </c>
      <c r="P47" s="39">
        <v>0.108</v>
      </c>
      <c r="Q47" s="38">
        <v>280454</v>
      </c>
      <c r="R47" s="40">
        <v>2.21</v>
      </c>
      <c r="S47" s="38">
        <v>35997</v>
      </c>
      <c r="T47" s="38">
        <v>16314</v>
      </c>
      <c r="U47" s="40">
        <v>2.2200000000000002</v>
      </c>
      <c r="V47" s="38">
        <v>30896</v>
      </c>
      <c r="W47" s="38">
        <v>13914</v>
      </c>
      <c r="X47" s="40">
        <v>1.87</v>
      </c>
      <c r="Y47" s="38">
        <v>24840</v>
      </c>
      <c r="Z47" s="38">
        <v>13298</v>
      </c>
      <c r="AA47" s="40">
        <v>1.87</v>
      </c>
      <c r="AB47" s="38">
        <v>26823</v>
      </c>
      <c r="AC47" s="38">
        <v>14358</v>
      </c>
      <c r="AD47" s="41">
        <v>2.11</v>
      </c>
      <c r="AE47" s="38">
        <v>218810</v>
      </c>
      <c r="AF47" s="38">
        <v>102943</v>
      </c>
      <c r="AG47" s="22"/>
    </row>
    <row r="48" spans="1:33" ht="10.5" customHeight="1" x14ac:dyDescent="0.15">
      <c r="A48" s="48" t="s">
        <v>86</v>
      </c>
      <c r="B48" s="42">
        <v>5</v>
      </c>
      <c r="C48" s="43">
        <v>38126</v>
      </c>
      <c r="D48" s="43">
        <v>109019</v>
      </c>
      <c r="E48" s="43">
        <v>101755</v>
      </c>
      <c r="F48" s="43">
        <v>101755</v>
      </c>
      <c r="G48" s="43">
        <v>476572</v>
      </c>
      <c r="H48" s="44">
        <v>0.214</v>
      </c>
      <c r="I48" s="44">
        <v>0.214</v>
      </c>
      <c r="J48" s="44">
        <v>0.22900000000000001</v>
      </c>
      <c r="K48" s="44">
        <v>1E-3</v>
      </c>
      <c r="L48" s="44">
        <f>Tabelle12[[#This Row],[Spalte12]]-Tabelle12[[#This Row],[Spalte11]]</f>
        <v>6.9999999999999993E-2</v>
      </c>
      <c r="M48" s="44">
        <v>7.0999999999999994E-2</v>
      </c>
      <c r="N48" s="44">
        <v>8.5999999999999993E-2</v>
      </c>
      <c r="O48" s="44">
        <v>0.106</v>
      </c>
      <c r="P48" s="44">
        <v>9.8000000000000004E-2</v>
      </c>
      <c r="Q48" s="43">
        <v>1040240</v>
      </c>
      <c r="R48" s="45">
        <v>1.96</v>
      </c>
      <c r="S48" s="43">
        <v>259235</v>
      </c>
      <c r="T48" s="43">
        <v>132351</v>
      </c>
      <c r="U48" s="45">
        <v>1.97</v>
      </c>
      <c r="V48" s="43">
        <v>309193</v>
      </c>
      <c r="W48" s="43">
        <v>157039</v>
      </c>
      <c r="X48" s="45">
        <v>1.58</v>
      </c>
      <c r="Y48" s="43">
        <v>239883</v>
      </c>
      <c r="Z48" s="43">
        <v>151849</v>
      </c>
      <c r="AA48" s="45">
        <v>3.28</v>
      </c>
      <c r="AB48" s="43">
        <v>321880</v>
      </c>
      <c r="AC48" s="43">
        <v>98184</v>
      </c>
      <c r="AD48" s="46">
        <v>1.67</v>
      </c>
      <c r="AE48" s="43">
        <v>715092</v>
      </c>
      <c r="AF48" s="43">
        <v>426991</v>
      </c>
      <c r="AG48" s="22"/>
    </row>
    <row r="49" spans="1:33" ht="10.5" customHeight="1" x14ac:dyDescent="0.15">
      <c r="A49" s="47" t="s">
        <v>175</v>
      </c>
      <c r="B49" s="37">
        <v>5</v>
      </c>
      <c r="C49" s="38">
        <v>27573</v>
      </c>
      <c r="D49" s="38">
        <v>143250</v>
      </c>
      <c r="E49" s="38">
        <v>143250</v>
      </c>
      <c r="F49" s="38">
        <v>143250</v>
      </c>
      <c r="G49" s="38">
        <v>344658</v>
      </c>
      <c r="H49" s="39">
        <v>0.41599999999999998</v>
      </c>
      <c r="I49" s="39">
        <v>0.41599999999999998</v>
      </c>
      <c r="J49" s="39">
        <v>0.41599999999999998</v>
      </c>
      <c r="K49" s="39">
        <v>1E-3</v>
      </c>
      <c r="L49" s="39">
        <f>Tabelle12[[#This Row],[Spalte12]]-Tabelle12[[#This Row],[Spalte11]]</f>
        <v>6.9999999999999993E-2</v>
      </c>
      <c r="M49" s="39">
        <v>7.0999999999999994E-2</v>
      </c>
      <c r="N49" s="39">
        <v>8.5999999999999993E-2</v>
      </c>
      <c r="O49" s="39">
        <v>0.106</v>
      </c>
      <c r="P49" s="39">
        <v>0.156</v>
      </c>
      <c r="Q49" s="38">
        <v>919353</v>
      </c>
      <c r="R49" s="40">
        <v>2.35</v>
      </c>
      <c r="S49" s="38">
        <v>304165</v>
      </c>
      <c r="T49" s="38">
        <v>129379</v>
      </c>
      <c r="U49" s="40">
        <v>2.59</v>
      </c>
      <c r="V49" s="38">
        <v>224997</v>
      </c>
      <c r="W49" s="38">
        <v>86982</v>
      </c>
      <c r="X49" s="40">
        <v>2.5099999999999998</v>
      </c>
      <c r="Y49" s="38">
        <v>152712</v>
      </c>
      <c r="Z49" s="38">
        <v>60952</v>
      </c>
      <c r="AA49" s="40">
        <v>2.41</v>
      </c>
      <c r="AB49" s="38">
        <v>161952</v>
      </c>
      <c r="AC49" s="38">
        <v>67265</v>
      </c>
      <c r="AD49" s="41">
        <v>1.3</v>
      </c>
      <c r="AE49" s="38">
        <v>463557</v>
      </c>
      <c r="AF49" s="38">
        <v>355769</v>
      </c>
      <c r="AG49" s="22"/>
    </row>
    <row r="50" spans="1:33" ht="10.5" customHeight="1" x14ac:dyDescent="0.15">
      <c r="A50" s="48" t="s">
        <v>119</v>
      </c>
      <c r="B50" s="42">
        <v>5</v>
      </c>
      <c r="C50" s="43">
        <v>99462</v>
      </c>
      <c r="D50" s="43">
        <v>205267</v>
      </c>
      <c r="E50" s="43">
        <v>205267</v>
      </c>
      <c r="F50" s="43">
        <v>205267</v>
      </c>
      <c r="G50" s="43">
        <v>1243281</v>
      </c>
      <c r="H50" s="44">
        <v>0.16500000000000001</v>
      </c>
      <c r="I50" s="44">
        <v>0.16500000000000001</v>
      </c>
      <c r="J50" s="44">
        <v>0.16500000000000001</v>
      </c>
      <c r="K50" s="44">
        <v>0</v>
      </c>
      <c r="L50" s="44">
        <f>Tabelle12[[#This Row],[Spalte12]]-Tabelle12[[#This Row],[Spalte11]]</f>
        <v>7.0000000000000007E-2</v>
      </c>
      <c r="M50" s="44">
        <v>7.0000000000000007E-2</v>
      </c>
      <c r="N50" s="44">
        <v>8.5000000000000006E-2</v>
      </c>
      <c r="O50" s="44">
        <v>0.105</v>
      </c>
      <c r="P50" s="44">
        <v>0.11</v>
      </c>
      <c r="Q50" s="43">
        <v>1866386</v>
      </c>
      <c r="R50" s="45">
        <v>1.37</v>
      </c>
      <c r="S50" s="43">
        <v>198584</v>
      </c>
      <c r="T50" s="43">
        <v>144799</v>
      </c>
      <c r="U50" s="45">
        <v>1.22</v>
      </c>
      <c r="V50" s="43">
        <v>240051</v>
      </c>
      <c r="W50" s="43">
        <v>196660</v>
      </c>
      <c r="X50" s="45">
        <v>1.22</v>
      </c>
      <c r="Y50" s="43">
        <v>212668</v>
      </c>
      <c r="Z50" s="43">
        <v>173992</v>
      </c>
      <c r="AA50" s="45">
        <v>1.31</v>
      </c>
      <c r="AB50" s="43">
        <v>198209</v>
      </c>
      <c r="AC50" s="43">
        <v>151740</v>
      </c>
      <c r="AD50" s="46">
        <v>1.7</v>
      </c>
      <c r="AE50" s="43">
        <v>924686</v>
      </c>
      <c r="AF50" s="43">
        <v>544027</v>
      </c>
      <c r="AG50" s="22"/>
    </row>
    <row r="51" spans="1:33" ht="10.5" customHeight="1" x14ac:dyDescent="0.15">
      <c r="A51" s="47" t="s">
        <v>55</v>
      </c>
      <c r="B51" s="37">
        <v>3</v>
      </c>
      <c r="C51" s="38">
        <v>308776</v>
      </c>
      <c r="D51" s="38">
        <v>935702</v>
      </c>
      <c r="E51" s="38">
        <v>935702</v>
      </c>
      <c r="F51" s="38">
        <v>935702</v>
      </c>
      <c r="G51" s="38">
        <v>3859699</v>
      </c>
      <c r="H51" s="39">
        <v>0.24199999999999999</v>
      </c>
      <c r="I51" s="39">
        <v>0.24199999999999999</v>
      </c>
      <c r="J51" s="39">
        <v>0.24199999999999999</v>
      </c>
      <c r="K51" s="39">
        <v>0</v>
      </c>
      <c r="L51" s="39">
        <f>Tabelle12[[#This Row],[Spalte12]]-Tabelle12[[#This Row],[Spalte11]]</f>
        <v>7.8E-2</v>
      </c>
      <c r="M51" s="39">
        <v>7.8E-2</v>
      </c>
      <c r="N51" s="39">
        <v>9.6000000000000002E-2</v>
      </c>
      <c r="O51" s="39">
        <v>0.12</v>
      </c>
      <c r="P51" s="39">
        <v>7.1999999999999995E-2</v>
      </c>
      <c r="Q51" s="38">
        <v>13046241</v>
      </c>
      <c r="R51" s="40">
        <v>1.28</v>
      </c>
      <c r="S51" s="38">
        <v>3891902</v>
      </c>
      <c r="T51" s="38">
        <v>3032757</v>
      </c>
      <c r="U51" s="40">
        <v>1.38</v>
      </c>
      <c r="V51" s="38">
        <v>4110482</v>
      </c>
      <c r="W51" s="38">
        <v>2978681</v>
      </c>
      <c r="X51" s="40">
        <v>1.55</v>
      </c>
      <c r="Y51" s="38">
        <v>4603680</v>
      </c>
      <c r="Z51" s="38">
        <v>2970093</v>
      </c>
      <c r="AA51" s="40">
        <v>1.59</v>
      </c>
      <c r="AB51" s="38">
        <v>4440895</v>
      </c>
      <c r="AC51" s="38">
        <v>2786067</v>
      </c>
      <c r="AD51" s="41">
        <v>1.34</v>
      </c>
      <c r="AE51" s="38">
        <v>5406543</v>
      </c>
      <c r="AF51" s="38">
        <v>4021516</v>
      </c>
      <c r="AG51" s="22"/>
    </row>
    <row r="52" spans="1:33" ht="10.5" customHeight="1" x14ac:dyDescent="0.15">
      <c r="A52" s="48" t="s">
        <v>195</v>
      </c>
      <c r="B52" s="42">
        <v>4</v>
      </c>
      <c r="C52" s="43">
        <v>50960</v>
      </c>
      <c r="D52" s="43">
        <v>177110</v>
      </c>
      <c r="E52" s="43">
        <v>177110</v>
      </c>
      <c r="F52" s="43">
        <v>177110</v>
      </c>
      <c r="G52" s="43">
        <v>636997</v>
      </c>
      <c r="H52" s="44">
        <v>0.27800000000000002</v>
      </c>
      <c r="I52" s="44">
        <v>0.27800000000000002</v>
      </c>
      <c r="J52" s="44">
        <v>0.27800000000000002</v>
      </c>
      <c r="K52" s="44">
        <v>2E-3</v>
      </c>
      <c r="L52" s="44">
        <f>Tabelle12[[#This Row],[Spalte12]]-Tabelle12[[#This Row],[Spalte11]]</f>
        <v>7.3999999999999996E-2</v>
      </c>
      <c r="M52" s="44">
        <v>7.5999999999999998E-2</v>
      </c>
      <c r="N52" s="44">
        <v>9.1999999999999998E-2</v>
      </c>
      <c r="O52" s="44">
        <v>0.114</v>
      </c>
      <c r="P52" s="44">
        <v>0.11899999999999999</v>
      </c>
      <c r="Q52" s="43">
        <v>1490853</v>
      </c>
      <c r="R52" s="45">
        <v>1.86</v>
      </c>
      <c r="S52" s="43">
        <v>376582</v>
      </c>
      <c r="T52" s="43">
        <v>202761</v>
      </c>
      <c r="U52" s="45">
        <v>1.53</v>
      </c>
      <c r="V52" s="43">
        <v>280095</v>
      </c>
      <c r="W52" s="43">
        <v>182652</v>
      </c>
      <c r="X52" s="45">
        <v>1.53</v>
      </c>
      <c r="Y52" s="43">
        <v>287334</v>
      </c>
      <c r="Z52" s="43">
        <v>187212</v>
      </c>
      <c r="AA52" s="45">
        <v>2.1800000000000002</v>
      </c>
      <c r="AB52" s="43">
        <v>473672</v>
      </c>
      <c r="AC52" s="43">
        <v>217638</v>
      </c>
      <c r="AD52" s="46">
        <v>1.85</v>
      </c>
      <c r="AE52" s="43">
        <v>842430</v>
      </c>
      <c r="AF52" s="43">
        <v>456097</v>
      </c>
      <c r="AG52" s="22"/>
    </row>
    <row r="53" spans="1:33" ht="10.5" customHeight="1" x14ac:dyDescent="0.15">
      <c r="A53" s="47" t="s">
        <v>68</v>
      </c>
      <c r="B53" s="37">
        <v>4</v>
      </c>
      <c r="C53" s="38">
        <v>70570</v>
      </c>
      <c r="D53" s="38">
        <v>160066</v>
      </c>
      <c r="E53" s="38">
        <v>110066</v>
      </c>
      <c r="F53" s="38">
        <v>160066</v>
      </c>
      <c r="G53" s="38">
        <v>882129</v>
      </c>
      <c r="H53" s="39">
        <v>0.125</v>
      </c>
      <c r="I53" s="39">
        <v>0.18099999999999999</v>
      </c>
      <c r="J53" s="39">
        <v>0.18099999999999999</v>
      </c>
      <c r="K53" s="39">
        <v>1E-3</v>
      </c>
      <c r="L53" s="39">
        <f>Tabelle12[[#This Row],[Spalte12]]-Tabelle12[[#This Row],[Spalte11]]</f>
        <v>7.3999999999999996E-2</v>
      </c>
      <c r="M53" s="39">
        <v>7.4999999999999997E-2</v>
      </c>
      <c r="N53" s="39">
        <v>9.0999999999999998E-2</v>
      </c>
      <c r="O53" s="39">
        <v>0.113</v>
      </c>
      <c r="P53" s="39">
        <v>4.1000000000000002E-2</v>
      </c>
      <c r="Q53" s="38">
        <v>3942512</v>
      </c>
      <c r="R53" s="40">
        <v>1.6</v>
      </c>
      <c r="S53" s="38">
        <v>324704</v>
      </c>
      <c r="T53" s="38">
        <v>203232</v>
      </c>
      <c r="U53" s="40">
        <v>1.74</v>
      </c>
      <c r="V53" s="38">
        <v>364332</v>
      </c>
      <c r="W53" s="38">
        <v>209341</v>
      </c>
      <c r="X53" s="40">
        <v>1.36</v>
      </c>
      <c r="Y53" s="38">
        <v>319531</v>
      </c>
      <c r="Z53" s="38">
        <v>235055</v>
      </c>
      <c r="AA53" s="40">
        <v>1.42</v>
      </c>
      <c r="AB53" s="38">
        <v>271615</v>
      </c>
      <c r="AC53" s="38">
        <v>190789</v>
      </c>
      <c r="AD53" s="41">
        <v>1.1499999999999999</v>
      </c>
      <c r="AE53" s="38">
        <v>2099150</v>
      </c>
      <c r="AF53" s="38">
        <v>1820578</v>
      </c>
      <c r="AG53" s="22"/>
    </row>
    <row r="54" spans="1:33" ht="10.5" customHeight="1" x14ac:dyDescent="0.15">
      <c r="A54" s="48" t="s">
        <v>13</v>
      </c>
      <c r="B54" s="42">
        <v>3</v>
      </c>
      <c r="C54" s="43">
        <v>1170130</v>
      </c>
      <c r="D54" s="43">
        <v>2861054</v>
      </c>
      <c r="E54" s="43">
        <v>2829192</v>
      </c>
      <c r="F54" s="43">
        <v>2829192</v>
      </c>
      <c r="G54" s="43">
        <v>14626630</v>
      </c>
      <c r="H54" s="44">
        <v>0.193</v>
      </c>
      <c r="I54" s="44">
        <v>0.193</v>
      </c>
      <c r="J54" s="44">
        <v>0.19600000000000001</v>
      </c>
      <c r="K54" s="44">
        <v>1.4E-2</v>
      </c>
      <c r="L54" s="44">
        <f>Tabelle12[[#This Row],[Spalte12]]-Tabelle12[[#This Row],[Spalte11]]</f>
        <v>7.8E-2</v>
      </c>
      <c r="M54" s="44">
        <v>9.1999999999999998E-2</v>
      </c>
      <c r="N54" s="44">
        <v>0.11</v>
      </c>
      <c r="O54" s="44">
        <v>0.13400000000000001</v>
      </c>
      <c r="P54" s="44">
        <v>7.5999999999999998E-2</v>
      </c>
      <c r="Q54" s="43">
        <v>37103530</v>
      </c>
      <c r="R54" s="45">
        <v>1.37</v>
      </c>
      <c r="S54" s="43">
        <v>5363532</v>
      </c>
      <c r="T54" s="43">
        <v>3907296</v>
      </c>
      <c r="U54" s="45">
        <v>1.35</v>
      </c>
      <c r="V54" s="43">
        <v>5237798</v>
      </c>
      <c r="W54" s="43">
        <v>3867085</v>
      </c>
      <c r="X54" s="45">
        <v>1.37</v>
      </c>
      <c r="Y54" s="43">
        <v>5444399</v>
      </c>
      <c r="Z54" s="43">
        <v>3965239</v>
      </c>
      <c r="AA54" s="45">
        <v>1.59</v>
      </c>
      <c r="AB54" s="43">
        <v>6771315</v>
      </c>
      <c r="AC54" s="43">
        <v>4270205</v>
      </c>
      <c r="AD54" s="46">
        <v>1.46</v>
      </c>
      <c r="AE54" s="43">
        <v>27645020</v>
      </c>
      <c r="AF54" s="43">
        <v>18982077</v>
      </c>
      <c r="AG54" s="22"/>
    </row>
    <row r="55" spans="1:33" ht="10.5" customHeight="1" x14ac:dyDescent="0.15">
      <c r="A55" s="47" t="s">
        <v>9</v>
      </c>
      <c r="B55" s="37">
        <v>3</v>
      </c>
      <c r="C55" s="38">
        <v>2008445</v>
      </c>
      <c r="D55" s="38">
        <v>4641843</v>
      </c>
      <c r="E55" s="38">
        <v>4423842</v>
      </c>
      <c r="F55" s="38">
        <v>4557387</v>
      </c>
      <c r="G55" s="38">
        <v>25105560</v>
      </c>
      <c r="H55" s="39">
        <v>0.17599999999999999</v>
      </c>
      <c r="I55" s="39">
        <v>0.182</v>
      </c>
      <c r="J55" s="39">
        <v>0.185</v>
      </c>
      <c r="K55" s="39">
        <v>0.01</v>
      </c>
      <c r="L55" s="39">
        <f>Tabelle12[[#This Row],[Spalte12]]-Tabelle12[[#This Row],[Spalte11]]</f>
        <v>7.8E-2</v>
      </c>
      <c r="M55" s="39">
        <v>8.7999999999999995E-2</v>
      </c>
      <c r="N55" s="39">
        <v>0.106</v>
      </c>
      <c r="O55" s="39">
        <v>0.13</v>
      </c>
      <c r="P55" s="39">
        <v>7.0999999999999994E-2</v>
      </c>
      <c r="Q55" s="38">
        <v>64020284</v>
      </c>
      <c r="R55" s="40">
        <v>1.36</v>
      </c>
      <c r="S55" s="38">
        <v>9421960</v>
      </c>
      <c r="T55" s="38">
        <v>6948144</v>
      </c>
      <c r="U55" s="40">
        <v>1.31</v>
      </c>
      <c r="V55" s="38">
        <v>9575123</v>
      </c>
      <c r="W55" s="38">
        <v>7297703</v>
      </c>
      <c r="X55" s="40">
        <v>1.5</v>
      </c>
      <c r="Y55" s="38">
        <v>7496892</v>
      </c>
      <c r="Z55" s="38">
        <v>5002604</v>
      </c>
      <c r="AA55" s="40">
        <v>1.32</v>
      </c>
      <c r="AB55" s="38">
        <v>7689079</v>
      </c>
      <c r="AC55" s="38">
        <v>5807439</v>
      </c>
      <c r="AD55" s="41">
        <v>1.27</v>
      </c>
      <c r="AE55" s="38">
        <v>38684836</v>
      </c>
      <c r="AF55" s="38">
        <v>30568394</v>
      </c>
      <c r="AG55" s="22"/>
    </row>
    <row r="56" spans="1:33" ht="10.5" customHeight="1" x14ac:dyDescent="0.15">
      <c r="A56" s="48" t="s">
        <v>176</v>
      </c>
      <c r="B56" s="42">
        <v>5</v>
      </c>
      <c r="C56" s="43">
        <v>19722</v>
      </c>
      <c r="D56" s="43">
        <v>143505</v>
      </c>
      <c r="E56" s="43">
        <v>143481</v>
      </c>
      <c r="F56" s="43">
        <v>143481</v>
      </c>
      <c r="G56" s="43">
        <v>246525</v>
      </c>
      <c r="H56" s="44">
        <v>0.58199999999999996</v>
      </c>
      <c r="I56" s="44">
        <v>0.58199999999999996</v>
      </c>
      <c r="J56" s="44">
        <v>0.58199999999999996</v>
      </c>
      <c r="K56" s="44">
        <v>0</v>
      </c>
      <c r="L56" s="44">
        <f>Tabelle12[[#This Row],[Spalte12]]-Tabelle12[[#This Row],[Spalte11]]</f>
        <v>7.0000000000000007E-2</v>
      </c>
      <c r="M56" s="44">
        <v>7.0000000000000007E-2</v>
      </c>
      <c r="N56" s="44">
        <v>8.5000000000000006E-2</v>
      </c>
      <c r="O56" s="44">
        <v>0.105</v>
      </c>
      <c r="P56" s="44">
        <v>0.14899999999999999</v>
      </c>
      <c r="Q56" s="43">
        <v>965446</v>
      </c>
      <c r="R56" s="45">
        <v>1.92</v>
      </c>
      <c r="S56" s="43">
        <v>139498</v>
      </c>
      <c r="T56" s="43">
        <v>72511</v>
      </c>
      <c r="U56" s="45">
        <v>1.97</v>
      </c>
      <c r="V56" s="43">
        <v>118984</v>
      </c>
      <c r="W56" s="43">
        <v>60402</v>
      </c>
      <c r="X56" s="45">
        <v>1.64</v>
      </c>
      <c r="Y56" s="43">
        <v>104737</v>
      </c>
      <c r="Z56" s="43">
        <v>63907</v>
      </c>
      <c r="AA56" s="45">
        <v>1.92</v>
      </c>
      <c r="AB56" s="43">
        <v>125091</v>
      </c>
      <c r="AC56" s="43">
        <v>65303</v>
      </c>
      <c r="AD56" s="46">
        <v>1.24</v>
      </c>
      <c r="AE56" s="43">
        <v>445154</v>
      </c>
      <c r="AF56" s="43">
        <v>359239</v>
      </c>
      <c r="AG56" s="22"/>
    </row>
    <row r="57" spans="1:33" ht="10.5" customHeight="1" x14ac:dyDescent="0.15">
      <c r="A57" s="47" t="s">
        <v>177</v>
      </c>
      <c r="B57" s="37">
        <v>5</v>
      </c>
      <c r="C57" s="38">
        <v>17328</v>
      </c>
      <c r="D57" s="38">
        <v>43887</v>
      </c>
      <c r="E57" s="38">
        <v>43887</v>
      </c>
      <c r="F57" s="38">
        <v>43887</v>
      </c>
      <c r="G57" s="38">
        <v>216601</v>
      </c>
      <c r="H57" s="39">
        <v>0.20300000000000001</v>
      </c>
      <c r="I57" s="39">
        <v>0.20300000000000001</v>
      </c>
      <c r="J57" s="39">
        <v>0.20300000000000001</v>
      </c>
      <c r="K57" s="39">
        <v>0</v>
      </c>
      <c r="L57" s="39">
        <f>Tabelle12[[#This Row],[Spalte12]]-Tabelle12[[#This Row],[Spalte11]]</f>
        <v>7.0000000000000007E-2</v>
      </c>
      <c r="M57" s="39">
        <v>7.0000000000000007E-2</v>
      </c>
      <c r="N57" s="39">
        <v>8.5000000000000006E-2</v>
      </c>
      <c r="O57" s="39">
        <v>0.105</v>
      </c>
      <c r="P57" s="39">
        <v>7.2999999999999995E-2</v>
      </c>
      <c r="Q57" s="38">
        <v>602882</v>
      </c>
      <c r="R57" s="40">
        <v>1.91</v>
      </c>
      <c r="S57" s="38">
        <v>81476</v>
      </c>
      <c r="T57" s="38">
        <v>42593</v>
      </c>
      <c r="U57" s="40">
        <v>1.77</v>
      </c>
      <c r="V57" s="38">
        <v>86709</v>
      </c>
      <c r="W57" s="38">
        <v>48986</v>
      </c>
      <c r="X57" s="40">
        <v>1.97</v>
      </c>
      <c r="Y57" s="38">
        <v>88379</v>
      </c>
      <c r="Z57" s="38">
        <v>44822</v>
      </c>
      <c r="AA57" s="40">
        <v>1.98</v>
      </c>
      <c r="AB57" s="38">
        <v>87168</v>
      </c>
      <c r="AC57" s="38">
        <v>44019</v>
      </c>
      <c r="AD57" s="41">
        <v>2.31</v>
      </c>
      <c r="AE57" s="38">
        <v>364088</v>
      </c>
      <c r="AF57" s="38">
        <v>157643</v>
      </c>
      <c r="AG57" s="22"/>
    </row>
    <row r="58" spans="1:33" ht="10.5" customHeight="1" x14ac:dyDescent="0.15">
      <c r="A58" s="48" t="s">
        <v>23</v>
      </c>
      <c r="B58" s="42">
        <v>3</v>
      </c>
      <c r="C58" s="43">
        <v>1332645</v>
      </c>
      <c r="D58" s="43">
        <v>3231533</v>
      </c>
      <c r="E58" s="43">
        <v>2875338</v>
      </c>
      <c r="F58" s="43">
        <v>2875338</v>
      </c>
      <c r="G58" s="43">
        <v>16658058</v>
      </c>
      <c r="H58" s="44">
        <v>0.17299999999999999</v>
      </c>
      <c r="I58" s="44">
        <v>0.17299999999999999</v>
      </c>
      <c r="J58" s="44">
        <v>0.19400000000000001</v>
      </c>
      <c r="K58" s="44">
        <v>1.4E-2</v>
      </c>
      <c r="L58" s="44">
        <f>Tabelle12[[#This Row],[Spalte12]]-Tabelle12[[#This Row],[Spalte11]]</f>
        <v>7.8E-2</v>
      </c>
      <c r="M58" s="44">
        <v>9.1999999999999998E-2</v>
      </c>
      <c r="N58" s="44">
        <v>0.11</v>
      </c>
      <c r="O58" s="44">
        <v>0.13400000000000001</v>
      </c>
      <c r="P58" s="44">
        <v>6.9000000000000006E-2</v>
      </c>
      <c r="Q58" s="43">
        <v>41683305</v>
      </c>
      <c r="R58" s="45">
        <v>1.99</v>
      </c>
      <c r="S58" s="43">
        <v>8033239</v>
      </c>
      <c r="T58" s="43">
        <v>4029237</v>
      </c>
      <c r="U58" s="45">
        <v>1.93</v>
      </c>
      <c r="V58" s="43">
        <v>7665560</v>
      </c>
      <c r="W58" s="43">
        <v>3977312</v>
      </c>
      <c r="X58" s="45">
        <v>1.72</v>
      </c>
      <c r="Y58" s="43">
        <v>6175410</v>
      </c>
      <c r="Z58" s="43">
        <v>3584342</v>
      </c>
      <c r="AA58" s="45">
        <v>1.54</v>
      </c>
      <c r="AB58" s="43">
        <v>5664645</v>
      </c>
      <c r="AC58" s="43">
        <v>3689199</v>
      </c>
      <c r="AD58" s="46">
        <v>1.49</v>
      </c>
      <c r="AE58" s="43">
        <v>34106451</v>
      </c>
      <c r="AF58" s="43">
        <v>22925586</v>
      </c>
      <c r="AG58" s="22"/>
    </row>
    <row r="59" spans="1:33" ht="10.5" customHeight="1" x14ac:dyDescent="0.15">
      <c r="A59" s="47" t="s">
        <v>5</v>
      </c>
      <c r="B59" s="37">
        <v>4</v>
      </c>
      <c r="C59" s="38">
        <v>60818</v>
      </c>
      <c r="D59" s="38">
        <v>147280</v>
      </c>
      <c r="E59" s="38">
        <v>144425</v>
      </c>
      <c r="F59" s="38">
        <v>144425</v>
      </c>
      <c r="G59" s="38">
        <v>760224</v>
      </c>
      <c r="H59" s="39">
        <v>0.19</v>
      </c>
      <c r="I59" s="39">
        <v>0.19</v>
      </c>
      <c r="J59" s="39">
        <v>0.19400000000000001</v>
      </c>
      <c r="K59" s="39">
        <v>1.6E-2</v>
      </c>
      <c r="L59" s="39">
        <f>Tabelle12[[#This Row],[Spalte12]]-Tabelle12[[#This Row],[Spalte11]]</f>
        <v>7.3999999999999996E-2</v>
      </c>
      <c r="M59" s="39">
        <v>0.09</v>
      </c>
      <c r="N59" s="39">
        <v>0.106</v>
      </c>
      <c r="O59" s="39">
        <v>0.128</v>
      </c>
      <c r="P59" s="39">
        <v>0.08</v>
      </c>
      <c r="Q59" s="38">
        <v>1806855</v>
      </c>
      <c r="R59" s="40">
        <v>2.2799999999999998</v>
      </c>
      <c r="S59" s="38">
        <v>154217</v>
      </c>
      <c r="T59" s="38">
        <v>67662</v>
      </c>
      <c r="U59" s="40">
        <v>2.62</v>
      </c>
      <c r="V59" s="38">
        <v>154220</v>
      </c>
      <c r="W59" s="38">
        <v>58939</v>
      </c>
      <c r="X59" s="40">
        <v>2.4500000000000002</v>
      </c>
      <c r="Y59" s="38">
        <v>138024</v>
      </c>
      <c r="Z59" s="38">
        <v>56346</v>
      </c>
      <c r="AA59" s="40">
        <v>2.44</v>
      </c>
      <c r="AB59" s="38">
        <v>151748</v>
      </c>
      <c r="AC59" s="38">
        <v>62172</v>
      </c>
      <c r="AD59" s="41">
        <v>1.28</v>
      </c>
      <c r="AE59" s="38">
        <v>1479700</v>
      </c>
      <c r="AF59" s="38">
        <v>1156031</v>
      </c>
      <c r="AG59" s="22"/>
    </row>
    <row r="60" spans="1:33" ht="10.5" customHeight="1" x14ac:dyDescent="0.15">
      <c r="A60" s="48" t="s">
        <v>214</v>
      </c>
      <c r="B60" s="42">
        <v>5</v>
      </c>
      <c r="C60" s="43">
        <v>2946</v>
      </c>
      <c r="D60" s="43">
        <v>43478</v>
      </c>
      <c r="E60" s="43">
        <v>43478</v>
      </c>
      <c r="F60" s="43">
        <v>43478</v>
      </c>
      <c r="G60" s="43">
        <v>36828</v>
      </c>
      <c r="H60" s="44">
        <v>1.181</v>
      </c>
      <c r="I60" s="44">
        <v>1.181</v>
      </c>
      <c r="J60" s="44">
        <v>1.181</v>
      </c>
      <c r="K60" s="44">
        <v>0</v>
      </c>
      <c r="L60" s="44">
        <f>Tabelle12[[#This Row],[Spalte12]]-Tabelle12[[#This Row],[Spalte11]]</f>
        <v>7.0000000000000007E-2</v>
      </c>
      <c r="M60" s="44">
        <v>7.0000000000000007E-2</v>
      </c>
      <c r="N60" s="44">
        <v>8.5000000000000006E-2</v>
      </c>
      <c r="O60" s="44">
        <v>0.105</v>
      </c>
      <c r="P60" s="44">
        <v>0.71899999999999997</v>
      </c>
      <c r="Q60" s="43">
        <v>60471</v>
      </c>
      <c r="R60" s="45">
        <v>128.66999999999999</v>
      </c>
      <c r="S60" s="43">
        <v>33577</v>
      </c>
      <c r="T60" s="43">
        <v>261</v>
      </c>
      <c r="U60" s="45">
        <v>40.72</v>
      </c>
      <c r="V60" s="43">
        <v>28620</v>
      </c>
      <c r="W60" s="43">
        <v>703</v>
      </c>
      <c r="X60" s="45">
        <v>27.57</v>
      </c>
      <c r="Y60" s="43">
        <v>30148</v>
      </c>
      <c r="Z60" s="43">
        <v>1094</v>
      </c>
      <c r="AA60" s="45">
        <v>31.83</v>
      </c>
      <c r="AB60" s="43">
        <v>22842</v>
      </c>
      <c r="AC60" s="43">
        <v>718</v>
      </c>
      <c r="AD60" s="46">
        <v>1.67</v>
      </c>
      <c r="AE60" s="43">
        <v>95637</v>
      </c>
      <c r="AF60" s="43">
        <v>57244</v>
      </c>
      <c r="AG60" s="22"/>
    </row>
    <row r="61" spans="1:33" ht="10.5" customHeight="1" x14ac:dyDescent="0.15">
      <c r="A61" s="47" t="s">
        <v>88</v>
      </c>
      <c r="B61" s="37">
        <v>4</v>
      </c>
      <c r="C61" s="38">
        <v>350079</v>
      </c>
      <c r="D61" s="38">
        <v>1050845</v>
      </c>
      <c r="E61" s="38">
        <v>1050845</v>
      </c>
      <c r="F61" s="38">
        <v>1050845</v>
      </c>
      <c r="G61" s="38">
        <v>4375990</v>
      </c>
      <c r="H61" s="39">
        <v>0.24</v>
      </c>
      <c r="I61" s="39">
        <v>0.24</v>
      </c>
      <c r="J61" s="39">
        <v>0.24</v>
      </c>
      <c r="K61" s="39">
        <v>1E-3</v>
      </c>
      <c r="L61" s="39">
        <f>Tabelle12[[#This Row],[Spalte12]]-Tabelle12[[#This Row],[Spalte11]]</f>
        <v>7.3999999999999996E-2</v>
      </c>
      <c r="M61" s="39">
        <v>7.4999999999999997E-2</v>
      </c>
      <c r="N61" s="39">
        <v>9.0999999999999998E-2</v>
      </c>
      <c r="O61" s="39">
        <v>0.113</v>
      </c>
      <c r="P61" s="39">
        <v>6.0999999999999999E-2</v>
      </c>
      <c r="Q61" s="38">
        <v>17318004</v>
      </c>
      <c r="R61" s="40">
        <v>2.08</v>
      </c>
      <c r="S61" s="38">
        <v>5791471</v>
      </c>
      <c r="T61" s="38">
        <v>2785348</v>
      </c>
      <c r="U61" s="40">
        <v>1.44</v>
      </c>
      <c r="V61" s="38">
        <v>6537529</v>
      </c>
      <c r="W61" s="38">
        <v>4554424</v>
      </c>
      <c r="X61" s="40">
        <v>1.56</v>
      </c>
      <c r="Y61" s="38">
        <v>7305706</v>
      </c>
      <c r="Z61" s="38">
        <v>4696067</v>
      </c>
      <c r="AA61" s="40">
        <v>1.35</v>
      </c>
      <c r="AB61" s="38">
        <v>6457451</v>
      </c>
      <c r="AC61" s="38">
        <v>4792745</v>
      </c>
      <c r="AD61" s="41">
        <v>1.21</v>
      </c>
      <c r="AE61" s="38">
        <v>5758153</v>
      </c>
      <c r="AF61" s="38">
        <v>4770613</v>
      </c>
      <c r="AG61" s="22"/>
    </row>
    <row r="62" spans="1:33" ht="10.5" customHeight="1" x14ac:dyDescent="0.15">
      <c r="A62" s="48" t="s">
        <v>196</v>
      </c>
      <c r="B62" s="42">
        <v>5</v>
      </c>
      <c r="C62" s="43">
        <v>9438</v>
      </c>
      <c r="D62" s="43">
        <v>35383</v>
      </c>
      <c r="E62" s="43">
        <v>35383</v>
      </c>
      <c r="F62" s="43">
        <v>35383</v>
      </c>
      <c r="G62" s="43">
        <v>117980</v>
      </c>
      <c r="H62" s="44">
        <v>0.3</v>
      </c>
      <c r="I62" s="44">
        <v>0.3</v>
      </c>
      <c r="J62" s="44">
        <v>0.3</v>
      </c>
      <c r="K62" s="44">
        <v>0</v>
      </c>
      <c r="L62" s="44">
        <f>Tabelle12[[#This Row],[Spalte12]]-Tabelle12[[#This Row],[Spalte11]]</f>
        <v>7.0000000000000007E-2</v>
      </c>
      <c r="M62" s="44">
        <v>7.0000000000000007E-2</v>
      </c>
      <c r="N62" s="44">
        <v>8.5000000000000006E-2</v>
      </c>
      <c r="O62" s="44">
        <v>0.105</v>
      </c>
      <c r="P62" s="44">
        <v>4.7E-2</v>
      </c>
      <c r="Q62" s="43">
        <v>757164</v>
      </c>
      <c r="R62" s="45">
        <v>3.59</v>
      </c>
      <c r="S62" s="43">
        <v>234594</v>
      </c>
      <c r="T62" s="43">
        <v>65426</v>
      </c>
      <c r="U62" s="45">
        <v>5.5</v>
      </c>
      <c r="V62" s="43">
        <v>312892</v>
      </c>
      <c r="W62" s="43">
        <v>56902</v>
      </c>
      <c r="X62" s="45">
        <v>5.12</v>
      </c>
      <c r="Y62" s="43">
        <v>277282</v>
      </c>
      <c r="Z62" s="43">
        <v>54193</v>
      </c>
      <c r="AA62" s="45">
        <v>5.34</v>
      </c>
      <c r="AB62" s="43">
        <v>315113</v>
      </c>
      <c r="AC62" s="43">
        <v>58978</v>
      </c>
      <c r="AD62" s="46">
        <v>8.43</v>
      </c>
      <c r="AE62" s="43">
        <v>445900</v>
      </c>
      <c r="AF62" s="43">
        <v>52880</v>
      </c>
      <c r="AG62" s="22"/>
    </row>
    <row r="63" spans="1:33" ht="10.5" customHeight="1" x14ac:dyDescent="0.15">
      <c r="A63" s="47" t="s">
        <v>73</v>
      </c>
      <c r="B63" s="37">
        <v>3</v>
      </c>
      <c r="C63" s="38">
        <v>639410</v>
      </c>
      <c r="D63" s="38">
        <v>1848289</v>
      </c>
      <c r="E63" s="38">
        <v>1543339</v>
      </c>
      <c r="F63" s="38">
        <v>1543339</v>
      </c>
      <c r="G63" s="38">
        <v>7992625</v>
      </c>
      <c r="H63" s="39">
        <v>0.193</v>
      </c>
      <c r="I63" s="39">
        <v>0.193</v>
      </c>
      <c r="J63" s="39">
        <v>0.23100000000000001</v>
      </c>
      <c r="K63" s="39">
        <v>0</v>
      </c>
      <c r="L63" s="39">
        <f>Tabelle12[[#This Row],[Spalte12]]-Tabelle12[[#This Row],[Spalte11]]</f>
        <v>7.8E-2</v>
      </c>
      <c r="M63" s="39">
        <v>7.8E-2</v>
      </c>
      <c r="N63" s="39">
        <v>9.6000000000000002E-2</v>
      </c>
      <c r="O63" s="39">
        <v>0.12</v>
      </c>
      <c r="P63" s="39">
        <v>7.0999999999999994E-2</v>
      </c>
      <c r="Q63" s="38">
        <v>21782242</v>
      </c>
      <c r="R63" s="40">
        <v>1.46</v>
      </c>
      <c r="S63" s="38">
        <v>7463592</v>
      </c>
      <c r="T63" s="38">
        <v>5102687</v>
      </c>
      <c r="U63" s="40">
        <v>1.49</v>
      </c>
      <c r="V63" s="38">
        <v>7010520</v>
      </c>
      <c r="W63" s="38">
        <v>4719906</v>
      </c>
      <c r="X63" s="40">
        <v>1.46</v>
      </c>
      <c r="Y63" s="38">
        <v>7534429</v>
      </c>
      <c r="Z63" s="38">
        <v>5162116</v>
      </c>
      <c r="AA63" s="40">
        <v>1.34</v>
      </c>
      <c r="AB63" s="38">
        <v>8882235</v>
      </c>
      <c r="AC63" s="38">
        <v>6637012</v>
      </c>
      <c r="AD63" s="41">
        <v>1.25</v>
      </c>
      <c r="AE63" s="38">
        <v>9424725</v>
      </c>
      <c r="AF63" s="38">
        <v>7561468</v>
      </c>
      <c r="AG63" s="22"/>
    </row>
    <row r="64" spans="1:33" ht="10.5" customHeight="1" x14ac:dyDescent="0.15">
      <c r="A64" s="48" t="s">
        <v>4</v>
      </c>
      <c r="B64" s="42">
        <v>5</v>
      </c>
      <c r="C64" s="43">
        <v>3622</v>
      </c>
      <c r="D64" s="43">
        <v>9767</v>
      </c>
      <c r="E64" s="43">
        <v>8398</v>
      </c>
      <c r="F64" s="43">
        <v>8398</v>
      </c>
      <c r="G64" s="43">
        <v>45269</v>
      </c>
      <c r="H64" s="44">
        <v>0.186</v>
      </c>
      <c r="I64" s="44">
        <v>0.186</v>
      </c>
      <c r="J64" s="44">
        <v>0.216</v>
      </c>
      <c r="K64" s="44">
        <v>1.7000000000000001E-2</v>
      </c>
      <c r="L64" s="44">
        <f>Tabelle12[[#This Row],[Spalte12]]-Tabelle12[[#This Row],[Spalte11]]</f>
        <v>6.9999999999999993E-2</v>
      </c>
      <c r="M64" s="44">
        <v>8.6999999999999994E-2</v>
      </c>
      <c r="N64" s="44">
        <v>0.10199999999999999</v>
      </c>
      <c r="O64" s="44">
        <v>0.122</v>
      </c>
      <c r="P64" s="44">
        <v>7.6999999999999999E-2</v>
      </c>
      <c r="Q64" s="43">
        <v>109638</v>
      </c>
      <c r="R64" s="45">
        <v>2.16</v>
      </c>
      <c r="S64" s="43">
        <v>19444</v>
      </c>
      <c r="T64" s="43">
        <v>9014</v>
      </c>
      <c r="U64" s="45">
        <v>1.59</v>
      </c>
      <c r="V64" s="43">
        <v>12308</v>
      </c>
      <c r="W64" s="43">
        <v>7759</v>
      </c>
      <c r="X64" s="45">
        <v>1.38</v>
      </c>
      <c r="Y64" s="43">
        <v>9483</v>
      </c>
      <c r="Z64" s="43">
        <v>6867</v>
      </c>
      <c r="AA64" s="45">
        <v>1.28</v>
      </c>
      <c r="AB64" s="43">
        <v>8149</v>
      </c>
      <c r="AC64" s="43">
        <v>6378</v>
      </c>
      <c r="AD64" s="46">
        <v>1.66</v>
      </c>
      <c r="AE64" s="43">
        <v>102524</v>
      </c>
      <c r="AF64" s="43">
        <v>61751</v>
      </c>
      <c r="AG64" s="22"/>
    </row>
    <row r="65" spans="1:33" ht="10.5" customHeight="1" x14ac:dyDescent="0.15">
      <c r="A65" s="47" t="s">
        <v>32</v>
      </c>
      <c r="B65" s="37">
        <v>5</v>
      </c>
      <c r="C65" s="38">
        <v>24881</v>
      </c>
      <c r="D65" s="38">
        <v>59185</v>
      </c>
      <c r="E65" s="38">
        <v>53685</v>
      </c>
      <c r="F65" s="38">
        <v>53685</v>
      </c>
      <c r="G65" s="38">
        <v>311018</v>
      </c>
      <c r="H65" s="39">
        <v>0.17299999999999999</v>
      </c>
      <c r="I65" s="39">
        <v>0.17299999999999999</v>
      </c>
      <c r="J65" s="39">
        <v>0.19</v>
      </c>
      <c r="K65" s="39">
        <v>1.4999999999999999E-2</v>
      </c>
      <c r="L65" s="39">
        <f>Tabelle12[[#This Row],[Spalte12]]-Tabelle12[[#This Row],[Spalte11]]</f>
        <v>7.0000000000000007E-2</v>
      </c>
      <c r="M65" s="39">
        <v>8.5000000000000006E-2</v>
      </c>
      <c r="N65" s="39">
        <v>0.1</v>
      </c>
      <c r="O65" s="39">
        <v>0.12</v>
      </c>
      <c r="P65" s="39">
        <v>7.5999999999999998E-2</v>
      </c>
      <c r="Q65" s="38">
        <v>708251</v>
      </c>
      <c r="R65" s="40">
        <v>3.91</v>
      </c>
      <c r="S65" s="38">
        <v>44379</v>
      </c>
      <c r="T65" s="38">
        <v>11346</v>
      </c>
      <c r="U65" s="40">
        <v>3.65</v>
      </c>
      <c r="V65" s="38">
        <v>42199</v>
      </c>
      <c r="W65" s="38">
        <v>11572</v>
      </c>
      <c r="X65" s="40">
        <v>4.08</v>
      </c>
      <c r="Y65" s="38">
        <v>35444</v>
      </c>
      <c r="Z65" s="38">
        <v>8686</v>
      </c>
      <c r="AA65" s="40">
        <v>6.61</v>
      </c>
      <c r="AB65" s="38">
        <v>52144</v>
      </c>
      <c r="AC65" s="38">
        <v>7890</v>
      </c>
      <c r="AD65" s="41">
        <v>1.66</v>
      </c>
      <c r="AE65" s="38">
        <v>649703</v>
      </c>
      <c r="AF65" s="38">
        <v>390836</v>
      </c>
      <c r="AG65" s="22"/>
    </row>
    <row r="66" spans="1:33" ht="10.5" customHeight="1" x14ac:dyDescent="0.15">
      <c r="A66" s="48" t="s">
        <v>65</v>
      </c>
      <c r="B66" s="42">
        <v>4</v>
      </c>
      <c r="C66" s="43">
        <v>87850</v>
      </c>
      <c r="D66" s="43">
        <v>406830</v>
      </c>
      <c r="E66" s="43">
        <v>406830</v>
      </c>
      <c r="F66" s="43">
        <v>406830</v>
      </c>
      <c r="G66" s="43">
        <v>1098130</v>
      </c>
      <c r="H66" s="44">
        <v>0.37</v>
      </c>
      <c r="I66" s="44">
        <v>0.37</v>
      </c>
      <c r="J66" s="44">
        <v>0.37</v>
      </c>
      <c r="K66" s="44">
        <v>1E-3</v>
      </c>
      <c r="L66" s="44">
        <f>Tabelle12[[#This Row],[Spalte12]]-Tabelle12[[#This Row],[Spalte11]]</f>
        <v>7.3999999999999996E-2</v>
      </c>
      <c r="M66" s="44">
        <v>7.4999999999999997E-2</v>
      </c>
      <c r="N66" s="44">
        <v>9.0999999999999998E-2</v>
      </c>
      <c r="O66" s="44">
        <v>0.113</v>
      </c>
      <c r="P66" s="44">
        <v>0.09</v>
      </c>
      <c r="Q66" s="43">
        <v>4544874</v>
      </c>
      <c r="R66" s="45">
        <v>9.6</v>
      </c>
      <c r="S66" s="43">
        <v>2490964</v>
      </c>
      <c r="T66" s="43">
        <v>259393</v>
      </c>
      <c r="U66" s="45">
        <v>9.32</v>
      </c>
      <c r="V66" s="43">
        <v>2368557</v>
      </c>
      <c r="W66" s="43">
        <v>254235</v>
      </c>
      <c r="X66" s="45">
        <v>9.1999999999999993</v>
      </c>
      <c r="Y66" s="43">
        <v>2113254</v>
      </c>
      <c r="Z66" s="43">
        <v>229711</v>
      </c>
      <c r="AA66" s="45">
        <v>8.3699999999999992</v>
      </c>
      <c r="AB66" s="43">
        <v>2138679</v>
      </c>
      <c r="AC66" s="43">
        <v>255551</v>
      </c>
      <c r="AD66" s="46">
        <v>2.9</v>
      </c>
      <c r="AE66" s="43">
        <v>3229492</v>
      </c>
      <c r="AF66" s="43">
        <v>1114727</v>
      </c>
      <c r="AG66" s="22"/>
    </row>
    <row r="67" spans="1:33" ht="10.5" customHeight="1" x14ac:dyDescent="0.15">
      <c r="A67" s="47" t="s">
        <v>117</v>
      </c>
      <c r="B67" s="37">
        <v>4</v>
      </c>
      <c r="C67" s="38">
        <v>487025</v>
      </c>
      <c r="D67" s="38">
        <v>1094390</v>
      </c>
      <c r="E67" s="38">
        <v>941453</v>
      </c>
      <c r="F67" s="38">
        <v>1091453</v>
      </c>
      <c r="G67" s="38">
        <v>6087809</v>
      </c>
      <c r="H67" s="39">
        <v>0.155</v>
      </c>
      <c r="I67" s="39">
        <v>0.17899999999999999</v>
      </c>
      <c r="J67" s="39">
        <v>0.18</v>
      </c>
      <c r="K67" s="39">
        <v>0</v>
      </c>
      <c r="L67" s="39">
        <f>Tabelle12[[#This Row],[Spalte12]]-Tabelle12[[#This Row],[Spalte11]]</f>
        <v>7.3999999999999996E-2</v>
      </c>
      <c r="M67" s="39">
        <v>7.3999999999999996E-2</v>
      </c>
      <c r="N67" s="39">
        <v>0.09</v>
      </c>
      <c r="O67" s="39">
        <v>0.112</v>
      </c>
      <c r="P67" s="39">
        <v>0.13300000000000001</v>
      </c>
      <c r="Q67" s="38">
        <v>8199034</v>
      </c>
      <c r="R67" s="40">
        <v>9.39</v>
      </c>
      <c r="S67" s="38">
        <v>1178597</v>
      </c>
      <c r="T67" s="38">
        <v>125583</v>
      </c>
      <c r="U67" s="40">
        <v>8.9</v>
      </c>
      <c r="V67" s="38">
        <v>1052073</v>
      </c>
      <c r="W67" s="38">
        <v>118207</v>
      </c>
      <c r="X67" s="40">
        <v>9.33</v>
      </c>
      <c r="Y67" s="38">
        <v>889480</v>
      </c>
      <c r="Z67" s="38">
        <v>95352</v>
      </c>
      <c r="AA67" s="40">
        <v>15.51</v>
      </c>
      <c r="AB67" s="38">
        <v>865855</v>
      </c>
      <c r="AC67" s="38">
        <v>55826</v>
      </c>
      <c r="AD67" s="41">
        <v>1.23</v>
      </c>
      <c r="AE67" s="38">
        <v>6737222</v>
      </c>
      <c r="AF67" s="38">
        <v>5472593</v>
      </c>
      <c r="AG67" s="22"/>
    </row>
    <row r="68" spans="1:33" ht="10.5" customHeight="1" x14ac:dyDescent="0.15">
      <c r="A68" s="48" t="s">
        <v>81</v>
      </c>
      <c r="B68" s="42">
        <v>5</v>
      </c>
      <c r="C68" s="43">
        <v>45630</v>
      </c>
      <c r="D68" s="43">
        <v>170418</v>
      </c>
      <c r="E68" s="43">
        <v>139377</v>
      </c>
      <c r="F68" s="43">
        <v>139377</v>
      </c>
      <c r="G68" s="43">
        <v>570377</v>
      </c>
      <c r="H68" s="44">
        <v>0.24399999999999999</v>
      </c>
      <c r="I68" s="44">
        <v>0.24399999999999999</v>
      </c>
      <c r="J68" s="44">
        <v>0.29899999999999999</v>
      </c>
      <c r="K68" s="44">
        <v>0</v>
      </c>
      <c r="L68" s="44">
        <f>Tabelle12[[#This Row],[Spalte12]]-Tabelle12[[#This Row],[Spalte11]]</f>
        <v>7.0000000000000007E-2</v>
      </c>
      <c r="M68" s="44">
        <v>7.0000000000000007E-2</v>
      </c>
      <c r="N68" s="44">
        <v>8.5000000000000006E-2</v>
      </c>
      <c r="O68" s="44">
        <v>0.105</v>
      </c>
      <c r="P68" s="44">
        <v>7.3999999999999996E-2</v>
      </c>
      <c r="Q68" s="43">
        <v>1895257</v>
      </c>
      <c r="R68" s="45">
        <v>4.08</v>
      </c>
      <c r="S68" s="43">
        <v>1143923</v>
      </c>
      <c r="T68" s="43">
        <v>280186</v>
      </c>
      <c r="U68" s="45">
        <v>4.53</v>
      </c>
      <c r="V68" s="43">
        <v>1068438</v>
      </c>
      <c r="W68" s="43">
        <v>236034</v>
      </c>
      <c r="X68" s="45">
        <v>4.6100000000000003</v>
      </c>
      <c r="Y68" s="43">
        <v>1000956</v>
      </c>
      <c r="Z68" s="43">
        <v>217085</v>
      </c>
      <c r="AA68" s="45">
        <v>4.8899999999999997</v>
      </c>
      <c r="AB68" s="43">
        <v>996710</v>
      </c>
      <c r="AC68" s="43">
        <v>203907</v>
      </c>
      <c r="AD68" s="46">
        <v>2.91</v>
      </c>
      <c r="AE68" s="43">
        <v>1256793</v>
      </c>
      <c r="AF68" s="43">
        <v>431919</v>
      </c>
      <c r="AG68" s="22"/>
    </row>
    <row r="69" spans="1:33" ht="10.5" customHeight="1" x14ac:dyDescent="0.15">
      <c r="A69" s="47" t="s">
        <v>215</v>
      </c>
      <c r="B69" s="37">
        <v>5</v>
      </c>
      <c r="C69" s="38">
        <v>13278</v>
      </c>
      <c r="D69" s="38">
        <v>24868</v>
      </c>
      <c r="E69" s="38">
        <v>24868</v>
      </c>
      <c r="F69" s="38">
        <v>24868</v>
      </c>
      <c r="G69" s="38">
        <v>165975</v>
      </c>
      <c r="H69" s="39">
        <v>0.15</v>
      </c>
      <c r="I69" s="39">
        <v>0.15</v>
      </c>
      <c r="J69" s="39">
        <v>0.15</v>
      </c>
      <c r="K69" s="39">
        <v>0</v>
      </c>
      <c r="L69" s="39">
        <f>Tabelle12[[#This Row],[Spalte12]]-Tabelle12[[#This Row],[Spalte11]]</f>
        <v>7.0000000000000007E-2</v>
      </c>
      <c r="M69" s="39">
        <v>7.0000000000000007E-2</v>
      </c>
      <c r="N69" s="39">
        <v>8.5000000000000006E-2</v>
      </c>
      <c r="O69" s="39">
        <v>0.105</v>
      </c>
      <c r="P69" s="39">
        <v>7.3999999999999996E-2</v>
      </c>
      <c r="Q69" s="38">
        <v>336788</v>
      </c>
      <c r="R69" s="40">
        <v>3.04</v>
      </c>
      <c r="S69" s="38">
        <v>70928</v>
      </c>
      <c r="T69" s="38">
        <v>23352</v>
      </c>
      <c r="U69" s="40">
        <v>2.38</v>
      </c>
      <c r="V69" s="38">
        <v>76024</v>
      </c>
      <c r="W69" s="38">
        <v>31882</v>
      </c>
      <c r="X69" s="40">
        <v>4.24</v>
      </c>
      <c r="Y69" s="38">
        <v>74201</v>
      </c>
      <c r="Z69" s="38">
        <v>17491</v>
      </c>
      <c r="AA69" s="40">
        <v>5.56</v>
      </c>
      <c r="AB69" s="38">
        <v>90828</v>
      </c>
      <c r="AC69" s="38">
        <v>16336</v>
      </c>
      <c r="AD69" s="41">
        <v>2.11</v>
      </c>
      <c r="AE69" s="38">
        <v>213787</v>
      </c>
      <c r="AF69" s="38">
        <v>101206</v>
      </c>
      <c r="AG69" s="22"/>
    </row>
    <row r="70" spans="1:33" ht="10.5" customHeight="1" x14ac:dyDescent="0.15">
      <c r="A70" s="48" t="s">
        <v>103</v>
      </c>
      <c r="B70" s="42">
        <v>4</v>
      </c>
      <c r="C70" s="43">
        <v>529306</v>
      </c>
      <c r="D70" s="43">
        <v>1378163</v>
      </c>
      <c r="E70" s="43">
        <v>1365025</v>
      </c>
      <c r="F70" s="43">
        <v>1365025</v>
      </c>
      <c r="G70" s="43">
        <v>6616319</v>
      </c>
      <c r="H70" s="44">
        <v>0.20599999999999999</v>
      </c>
      <c r="I70" s="44">
        <v>0.20599999999999999</v>
      </c>
      <c r="J70" s="44">
        <v>0.20799999999999999</v>
      </c>
      <c r="K70" s="44">
        <v>1.4E-2</v>
      </c>
      <c r="L70" s="44">
        <f>Tabelle12[[#This Row],[Spalte12]]-Tabelle12[[#This Row],[Spalte11]]</f>
        <v>7.3999999999999996E-2</v>
      </c>
      <c r="M70" s="44">
        <v>8.7999999999999995E-2</v>
      </c>
      <c r="N70" s="44">
        <v>0.104</v>
      </c>
      <c r="O70" s="44">
        <v>0.126</v>
      </c>
      <c r="P70" s="44">
        <v>9.0999999999999998E-2</v>
      </c>
      <c r="Q70" s="43">
        <v>15027880</v>
      </c>
      <c r="R70" s="45">
        <v>1.51</v>
      </c>
      <c r="S70" s="43">
        <v>1386226</v>
      </c>
      <c r="T70" s="43">
        <v>919453</v>
      </c>
      <c r="U70" s="45">
        <v>1.69</v>
      </c>
      <c r="V70" s="43">
        <v>1513522</v>
      </c>
      <c r="W70" s="43">
        <v>896760</v>
      </c>
      <c r="X70" s="45">
        <v>1.81</v>
      </c>
      <c r="Y70" s="43">
        <v>1360975</v>
      </c>
      <c r="Z70" s="43">
        <v>750172</v>
      </c>
      <c r="AA70" s="45">
        <v>1.53</v>
      </c>
      <c r="AB70" s="43">
        <v>1300812</v>
      </c>
      <c r="AC70" s="43">
        <v>851955</v>
      </c>
      <c r="AD70" s="46">
        <v>1.32</v>
      </c>
      <c r="AE70" s="43">
        <v>12845997</v>
      </c>
      <c r="AF70" s="43">
        <v>9766736</v>
      </c>
      <c r="AG70" s="22"/>
    </row>
    <row r="71" spans="1:33" ht="10.5" customHeight="1" x14ac:dyDescent="0.15">
      <c r="A71" s="47" t="s">
        <v>33</v>
      </c>
      <c r="B71" s="37">
        <v>4</v>
      </c>
      <c r="C71" s="38">
        <v>417359</v>
      </c>
      <c r="D71" s="38">
        <v>1204293</v>
      </c>
      <c r="E71" s="38">
        <v>1204293</v>
      </c>
      <c r="F71" s="38">
        <v>1204293</v>
      </c>
      <c r="G71" s="38">
        <v>5216986</v>
      </c>
      <c r="H71" s="39">
        <v>0.23100000000000001</v>
      </c>
      <c r="I71" s="39">
        <v>0.23100000000000001</v>
      </c>
      <c r="J71" s="39">
        <v>0.23100000000000001</v>
      </c>
      <c r="K71" s="39">
        <v>3.0000000000000001E-3</v>
      </c>
      <c r="L71" s="39">
        <f>Tabelle12[[#This Row],[Spalte12]]-Tabelle12[[#This Row],[Spalte11]]</f>
        <v>7.3999999999999996E-2</v>
      </c>
      <c r="M71" s="39">
        <v>7.6999999999999999E-2</v>
      </c>
      <c r="N71" s="39">
        <v>9.2999999999999999E-2</v>
      </c>
      <c r="O71" s="39">
        <v>0.115</v>
      </c>
      <c r="P71" s="39">
        <v>0.13300000000000001</v>
      </c>
      <c r="Q71" s="38">
        <v>9057793</v>
      </c>
      <c r="R71" s="40">
        <v>2.6</v>
      </c>
      <c r="S71" s="38">
        <v>1437102</v>
      </c>
      <c r="T71" s="38">
        <v>552993</v>
      </c>
      <c r="U71" s="40">
        <v>2.9</v>
      </c>
      <c r="V71" s="38">
        <v>1418350</v>
      </c>
      <c r="W71" s="38">
        <v>489378</v>
      </c>
      <c r="X71" s="40">
        <v>2.72</v>
      </c>
      <c r="Y71" s="38">
        <v>1250909</v>
      </c>
      <c r="Z71" s="38">
        <v>459086</v>
      </c>
      <c r="AA71" s="40">
        <v>2.61</v>
      </c>
      <c r="AB71" s="38">
        <v>1314660</v>
      </c>
      <c r="AC71" s="38">
        <v>503435</v>
      </c>
      <c r="AD71" s="41">
        <v>1.42</v>
      </c>
      <c r="AE71" s="38">
        <v>5627240</v>
      </c>
      <c r="AF71" s="38">
        <v>3953261</v>
      </c>
      <c r="AG71" s="22"/>
    </row>
    <row r="72" spans="1:33" ht="10.5" customHeight="1" x14ac:dyDescent="0.15">
      <c r="A72" s="48" t="s">
        <v>93</v>
      </c>
      <c r="B72" s="42">
        <v>4</v>
      </c>
      <c r="C72" s="43">
        <v>204063</v>
      </c>
      <c r="D72" s="43">
        <v>445674</v>
      </c>
      <c r="E72" s="43">
        <v>445674</v>
      </c>
      <c r="F72" s="43">
        <v>445674</v>
      </c>
      <c r="G72" s="43">
        <v>2550787</v>
      </c>
      <c r="H72" s="44">
        <v>0.17499999999999999</v>
      </c>
      <c r="I72" s="44">
        <v>0.17499999999999999</v>
      </c>
      <c r="J72" s="44">
        <v>0.17499999999999999</v>
      </c>
      <c r="K72" s="44">
        <v>1.6E-2</v>
      </c>
      <c r="L72" s="44">
        <f>Tabelle12[[#This Row],[Spalte12]]-Tabelle12[[#This Row],[Spalte11]]</f>
        <v>7.3999999999999996E-2</v>
      </c>
      <c r="M72" s="44">
        <v>0.09</v>
      </c>
      <c r="N72" s="44">
        <v>0.106</v>
      </c>
      <c r="O72" s="44">
        <v>0.128</v>
      </c>
      <c r="P72" s="44">
        <v>6.4000000000000001E-2</v>
      </c>
      <c r="Q72" s="43">
        <v>6916176</v>
      </c>
      <c r="R72" s="45">
        <v>1.78</v>
      </c>
      <c r="S72" s="43">
        <v>540336</v>
      </c>
      <c r="T72" s="43">
        <v>303512</v>
      </c>
      <c r="U72" s="45">
        <v>1.61</v>
      </c>
      <c r="V72" s="43">
        <v>518547</v>
      </c>
      <c r="W72" s="43">
        <v>321922</v>
      </c>
      <c r="X72" s="45">
        <v>1.37</v>
      </c>
      <c r="Y72" s="43">
        <v>547926</v>
      </c>
      <c r="Z72" s="43">
        <v>400087</v>
      </c>
      <c r="AA72" s="45">
        <v>1.44</v>
      </c>
      <c r="AB72" s="43">
        <v>532578</v>
      </c>
      <c r="AC72" s="43">
        <v>369578</v>
      </c>
      <c r="AD72" s="46">
        <v>1.1100000000000001</v>
      </c>
      <c r="AE72" s="43">
        <v>5170030</v>
      </c>
      <c r="AF72" s="43">
        <v>4673595</v>
      </c>
      <c r="AG72" s="22"/>
    </row>
    <row r="73" spans="1:33" ht="10.5" customHeight="1" x14ac:dyDescent="0.15">
      <c r="A73" s="47" t="s">
        <v>56</v>
      </c>
      <c r="B73" s="37">
        <v>5</v>
      </c>
      <c r="C73" s="38">
        <v>52988</v>
      </c>
      <c r="D73" s="38">
        <v>143652</v>
      </c>
      <c r="E73" s="38">
        <v>143652</v>
      </c>
      <c r="F73" s="38">
        <v>143652</v>
      </c>
      <c r="G73" s="38">
        <v>662344</v>
      </c>
      <c r="H73" s="39">
        <v>0.217</v>
      </c>
      <c r="I73" s="39">
        <v>0.217</v>
      </c>
      <c r="J73" s="39">
        <v>0.217</v>
      </c>
      <c r="K73" s="39">
        <v>0</v>
      </c>
      <c r="L73" s="39">
        <f>Tabelle12[[#This Row],[Spalte12]]-Tabelle12[[#This Row],[Spalte11]]</f>
        <v>7.0000000000000007E-2</v>
      </c>
      <c r="M73" s="39">
        <v>7.0000000000000007E-2</v>
      </c>
      <c r="N73" s="39">
        <v>8.5000000000000006E-2</v>
      </c>
      <c r="O73" s="39">
        <v>0.105</v>
      </c>
      <c r="P73" s="39">
        <v>0.16700000000000001</v>
      </c>
      <c r="Q73" s="38">
        <v>861485</v>
      </c>
      <c r="R73" s="40">
        <v>2.82</v>
      </c>
      <c r="S73" s="38">
        <v>124944</v>
      </c>
      <c r="T73" s="38">
        <v>44270</v>
      </c>
      <c r="U73" s="40">
        <v>2.65</v>
      </c>
      <c r="V73" s="38">
        <v>138558</v>
      </c>
      <c r="W73" s="38">
        <v>52264</v>
      </c>
      <c r="X73" s="40">
        <v>2.81</v>
      </c>
      <c r="Y73" s="38">
        <v>156617</v>
      </c>
      <c r="Z73" s="38">
        <v>55812</v>
      </c>
      <c r="AA73" s="40">
        <v>1.79</v>
      </c>
      <c r="AB73" s="38">
        <v>135266</v>
      </c>
      <c r="AC73" s="38">
        <v>75592</v>
      </c>
      <c r="AD73" s="41">
        <v>1.29</v>
      </c>
      <c r="AE73" s="38">
        <v>341012</v>
      </c>
      <c r="AF73" s="38">
        <v>263874</v>
      </c>
      <c r="AG73" s="22"/>
    </row>
    <row r="74" spans="1:33" ht="10.5" customHeight="1" x14ac:dyDescent="0.15">
      <c r="A74" s="48" t="s">
        <v>178</v>
      </c>
      <c r="B74" s="42">
        <v>5</v>
      </c>
      <c r="C74" s="43">
        <v>10103</v>
      </c>
      <c r="D74" s="43">
        <v>41853</v>
      </c>
      <c r="E74" s="43">
        <v>41853</v>
      </c>
      <c r="F74" s="43">
        <v>41853</v>
      </c>
      <c r="G74" s="43">
        <v>126284</v>
      </c>
      <c r="H74" s="44">
        <v>0.33100000000000002</v>
      </c>
      <c r="I74" s="44">
        <v>0.33100000000000002</v>
      </c>
      <c r="J74" s="44">
        <v>0.33100000000000002</v>
      </c>
      <c r="K74" s="44">
        <v>0</v>
      </c>
      <c r="L74" s="44">
        <f>Tabelle12[[#This Row],[Spalte12]]-Tabelle12[[#This Row],[Spalte11]]</f>
        <v>7.0000000000000007E-2</v>
      </c>
      <c r="M74" s="44">
        <v>7.0000000000000007E-2</v>
      </c>
      <c r="N74" s="44">
        <v>8.5000000000000006E-2</v>
      </c>
      <c r="O74" s="44">
        <v>0.105</v>
      </c>
      <c r="P74" s="44">
        <v>0.76</v>
      </c>
      <c r="Q74" s="43">
        <v>55098</v>
      </c>
      <c r="R74" s="54" t="s">
        <v>209</v>
      </c>
      <c r="S74" s="54" t="s">
        <v>209</v>
      </c>
      <c r="T74" s="54" t="s">
        <v>209</v>
      </c>
      <c r="U74" s="54" t="s">
        <v>209</v>
      </c>
      <c r="V74" s="54" t="s">
        <v>209</v>
      </c>
      <c r="W74" s="54" t="s">
        <v>209</v>
      </c>
      <c r="X74" s="54" t="s">
        <v>209</v>
      </c>
      <c r="Y74" s="54" t="s">
        <v>209</v>
      </c>
      <c r="Z74" s="54" t="s">
        <v>209</v>
      </c>
      <c r="AA74" s="54" t="s">
        <v>209</v>
      </c>
      <c r="AB74" s="54" t="s">
        <v>209</v>
      </c>
      <c r="AC74" s="54" t="s">
        <v>209</v>
      </c>
      <c r="AD74" s="46">
        <v>1.45</v>
      </c>
      <c r="AE74" s="43">
        <v>46139</v>
      </c>
      <c r="AF74" s="43">
        <v>31887</v>
      </c>
      <c r="AG74" s="22"/>
    </row>
    <row r="75" spans="1:33" ht="10.5" customHeight="1" x14ac:dyDescent="0.15">
      <c r="A75" s="47" t="s">
        <v>78</v>
      </c>
      <c r="B75" s="37">
        <v>5</v>
      </c>
      <c r="C75" s="38">
        <v>924</v>
      </c>
      <c r="D75" s="38">
        <v>4654</v>
      </c>
      <c r="E75" s="38">
        <v>4654</v>
      </c>
      <c r="F75" s="38">
        <v>4654</v>
      </c>
      <c r="G75" s="38">
        <v>11556</v>
      </c>
      <c r="H75" s="39">
        <v>0.40300000000000002</v>
      </c>
      <c r="I75" s="39">
        <v>0.40300000000000002</v>
      </c>
      <c r="J75" s="39">
        <v>0.40300000000000002</v>
      </c>
      <c r="K75" s="39">
        <v>0</v>
      </c>
      <c r="L75" s="39">
        <f>Tabelle12[[#This Row],[Spalte12]]-Tabelle12[[#This Row],[Spalte11]]</f>
        <v>7.0000000000000007E-2</v>
      </c>
      <c r="M75" s="39">
        <v>7.0000000000000007E-2</v>
      </c>
      <c r="N75" s="39">
        <v>8.5000000000000006E-2</v>
      </c>
      <c r="O75" s="39">
        <v>0.105</v>
      </c>
      <c r="P75" s="39">
        <v>0.18</v>
      </c>
      <c r="Q75" s="38">
        <v>25794</v>
      </c>
      <c r="R75" s="40">
        <v>17.62</v>
      </c>
      <c r="S75" s="38">
        <v>8913</v>
      </c>
      <c r="T75" s="38">
        <v>506</v>
      </c>
      <c r="U75" s="40">
        <v>24.87</v>
      </c>
      <c r="V75" s="38">
        <v>9103</v>
      </c>
      <c r="W75" s="38">
        <v>366</v>
      </c>
      <c r="X75" s="40">
        <v>16.39</v>
      </c>
      <c r="Y75" s="38">
        <v>9251</v>
      </c>
      <c r="Z75" s="38">
        <v>564</v>
      </c>
      <c r="AA75" s="40">
        <v>12.65</v>
      </c>
      <c r="AB75" s="38">
        <v>13393</v>
      </c>
      <c r="AC75" s="38">
        <v>1059</v>
      </c>
      <c r="AD75" s="41">
        <v>10.82</v>
      </c>
      <c r="AE75" s="38">
        <v>19805</v>
      </c>
      <c r="AF75" s="38">
        <v>1830</v>
      </c>
      <c r="AG75" s="22"/>
    </row>
    <row r="76" spans="1:33" ht="10.5" customHeight="1" x14ac:dyDescent="0.15">
      <c r="A76" s="48" t="s">
        <v>41</v>
      </c>
      <c r="B76" s="42">
        <v>4</v>
      </c>
      <c r="C76" s="43">
        <v>221132</v>
      </c>
      <c r="D76" s="43">
        <v>621715</v>
      </c>
      <c r="E76" s="43">
        <v>584204</v>
      </c>
      <c r="F76" s="43">
        <v>584204</v>
      </c>
      <c r="G76" s="43">
        <v>2764153</v>
      </c>
      <c r="H76" s="44">
        <v>0.21099999999999999</v>
      </c>
      <c r="I76" s="44">
        <v>0.21099999999999999</v>
      </c>
      <c r="J76" s="44">
        <v>0.22500000000000001</v>
      </c>
      <c r="K76" s="44">
        <v>0</v>
      </c>
      <c r="L76" s="44">
        <f>Tabelle12[[#This Row],[Spalte12]]-Tabelle12[[#This Row],[Spalte11]]</f>
        <v>7.3999999999999996E-2</v>
      </c>
      <c r="M76" s="44">
        <v>7.3999999999999996E-2</v>
      </c>
      <c r="N76" s="44">
        <v>0.09</v>
      </c>
      <c r="O76" s="44">
        <v>0.112</v>
      </c>
      <c r="P76" s="44">
        <v>8.8999999999999996E-2</v>
      </c>
      <c r="Q76" s="43">
        <v>6562499</v>
      </c>
      <c r="R76" s="45">
        <v>1.9</v>
      </c>
      <c r="S76" s="43">
        <v>1128022</v>
      </c>
      <c r="T76" s="43">
        <v>592596</v>
      </c>
      <c r="U76" s="45">
        <v>2.5</v>
      </c>
      <c r="V76" s="43">
        <v>868292</v>
      </c>
      <c r="W76" s="43">
        <v>346802</v>
      </c>
      <c r="X76" s="45">
        <v>2.31</v>
      </c>
      <c r="Y76" s="43">
        <v>549758</v>
      </c>
      <c r="Z76" s="43">
        <v>237785</v>
      </c>
      <c r="AA76" s="45">
        <v>2.27</v>
      </c>
      <c r="AB76" s="43">
        <v>513345</v>
      </c>
      <c r="AC76" s="43">
        <v>225673</v>
      </c>
      <c r="AD76" s="46">
        <v>1.37</v>
      </c>
      <c r="AE76" s="43">
        <v>4082989</v>
      </c>
      <c r="AF76" s="43">
        <v>2984030</v>
      </c>
      <c r="AG76" s="22"/>
    </row>
    <row r="77" spans="1:33" ht="10.5" customHeight="1" x14ac:dyDescent="0.15">
      <c r="A77" s="47" t="s">
        <v>61</v>
      </c>
      <c r="B77" s="37">
        <v>4</v>
      </c>
      <c r="C77" s="38">
        <v>166285</v>
      </c>
      <c r="D77" s="38">
        <v>592826</v>
      </c>
      <c r="E77" s="38">
        <v>592826</v>
      </c>
      <c r="F77" s="38">
        <v>592826</v>
      </c>
      <c r="G77" s="38">
        <v>2078561</v>
      </c>
      <c r="H77" s="39">
        <v>0.28499999999999998</v>
      </c>
      <c r="I77" s="39">
        <v>0.28499999999999998</v>
      </c>
      <c r="J77" s="39">
        <v>0.28499999999999998</v>
      </c>
      <c r="K77" s="39">
        <v>2E-3</v>
      </c>
      <c r="L77" s="39">
        <f>Tabelle12[[#This Row],[Spalte12]]-Tabelle12[[#This Row],[Spalte11]]</f>
        <v>7.3999999999999996E-2</v>
      </c>
      <c r="M77" s="39">
        <v>7.5999999999999998E-2</v>
      </c>
      <c r="N77" s="39">
        <v>9.1999999999999998E-2</v>
      </c>
      <c r="O77" s="39">
        <v>0.114</v>
      </c>
      <c r="P77" s="39">
        <v>0.28999999999999998</v>
      </c>
      <c r="Q77" s="38">
        <v>2047750</v>
      </c>
      <c r="R77" s="40">
        <v>2.36</v>
      </c>
      <c r="S77" s="38">
        <v>419336</v>
      </c>
      <c r="T77" s="38">
        <v>177757</v>
      </c>
      <c r="U77" s="40">
        <v>2.34</v>
      </c>
      <c r="V77" s="38">
        <v>389828</v>
      </c>
      <c r="W77" s="38">
        <v>166768</v>
      </c>
      <c r="X77" s="40">
        <v>2.71</v>
      </c>
      <c r="Y77" s="38">
        <v>569269</v>
      </c>
      <c r="Z77" s="38">
        <v>209678</v>
      </c>
      <c r="AA77" s="40">
        <v>2.6</v>
      </c>
      <c r="AB77" s="38">
        <v>376833</v>
      </c>
      <c r="AC77" s="38">
        <v>144724</v>
      </c>
      <c r="AD77" s="41">
        <v>1.31</v>
      </c>
      <c r="AE77" s="38">
        <v>1385650</v>
      </c>
      <c r="AF77" s="38">
        <v>1058817</v>
      </c>
      <c r="AG77" s="22"/>
    </row>
    <row r="78" spans="1:33" ht="10.5" customHeight="1" x14ac:dyDescent="0.15">
      <c r="A78" s="48" t="s">
        <v>106</v>
      </c>
      <c r="B78" s="42">
        <v>5</v>
      </c>
      <c r="C78" s="43">
        <v>19862</v>
      </c>
      <c r="D78" s="43">
        <v>55565</v>
      </c>
      <c r="E78" s="43">
        <v>55565</v>
      </c>
      <c r="F78" s="43">
        <v>55565</v>
      </c>
      <c r="G78" s="43">
        <v>248280</v>
      </c>
      <c r="H78" s="44">
        <v>0.224</v>
      </c>
      <c r="I78" s="44">
        <v>0.224</v>
      </c>
      <c r="J78" s="44">
        <v>0.224</v>
      </c>
      <c r="K78" s="44">
        <v>0</v>
      </c>
      <c r="L78" s="44">
        <f>Tabelle12[[#This Row],[Spalte12]]-Tabelle12[[#This Row],[Spalte11]]</f>
        <v>7.0000000000000007E-2</v>
      </c>
      <c r="M78" s="44">
        <v>7.0000000000000007E-2</v>
      </c>
      <c r="N78" s="44">
        <v>8.5000000000000006E-2</v>
      </c>
      <c r="O78" s="44">
        <v>0.105</v>
      </c>
      <c r="P78" s="44">
        <v>0.221</v>
      </c>
      <c r="Q78" s="43">
        <v>251433</v>
      </c>
      <c r="R78" s="45">
        <v>17.579999999999998</v>
      </c>
      <c r="S78" s="43">
        <v>112001</v>
      </c>
      <c r="T78" s="43">
        <v>6371</v>
      </c>
      <c r="U78" s="45">
        <v>20.89</v>
      </c>
      <c r="V78" s="43">
        <v>122241</v>
      </c>
      <c r="W78" s="43">
        <v>5852</v>
      </c>
      <c r="X78" s="45">
        <v>20.97</v>
      </c>
      <c r="Y78" s="43">
        <v>123274</v>
      </c>
      <c r="Z78" s="43">
        <v>5878</v>
      </c>
      <c r="AA78" s="45">
        <v>17.62</v>
      </c>
      <c r="AB78" s="43">
        <v>126596</v>
      </c>
      <c r="AC78" s="43">
        <v>7185</v>
      </c>
      <c r="AD78" s="46">
        <v>5.74</v>
      </c>
      <c r="AE78" s="43">
        <v>198149</v>
      </c>
      <c r="AF78" s="43">
        <v>34492</v>
      </c>
      <c r="AG78" s="22"/>
    </row>
    <row r="79" spans="1:33" ht="10.5" customHeight="1" x14ac:dyDescent="0.15">
      <c r="A79" s="47" t="s">
        <v>44</v>
      </c>
      <c r="B79" s="37">
        <v>5</v>
      </c>
      <c r="C79" s="38">
        <v>23169</v>
      </c>
      <c r="D79" s="38">
        <v>182200</v>
      </c>
      <c r="E79" s="38">
        <v>182200</v>
      </c>
      <c r="F79" s="38">
        <v>182200</v>
      </c>
      <c r="G79" s="38">
        <v>289611</v>
      </c>
      <c r="H79" s="39">
        <v>0.629</v>
      </c>
      <c r="I79" s="39">
        <v>0.629</v>
      </c>
      <c r="J79" s="39">
        <v>0.629</v>
      </c>
      <c r="K79" s="39">
        <v>0</v>
      </c>
      <c r="L79" s="39">
        <f>Tabelle12[[#This Row],[Spalte12]]-Tabelle12[[#This Row],[Spalte11]]</f>
        <v>7.0000000000000007E-2</v>
      </c>
      <c r="M79" s="39">
        <v>7.0000000000000007E-2</v>
      </c>
      <c r="N79" s="39">
        <v>8.5000000000000006E-2</v>
      </c>
      <c r="O79" s="39">
        <v>0.105</v>
      </c>
      <c r="P79" s="39">
        <v>0.20699999999999999</v>
      </c>
      <c r="Q79" s="38">
        <v>878512</v>
      </c>
      <c r="R79" s="40">
        <v>2.17</v>
      </c>
      <c r="S79" s="38">
        <v>382997</v>
      </c>
      <c r="T79" s="38">
        <v>176815</v>
      </c>
      <c r="U79" s="40">
        <v>2.15</v>
      </c>
      <c r="V79" s="38">
        <v>399208</v>
      </c>
      <c r="W79" s="38">
        <v>185330</v>
      </c>
      <c r="X79" s="40">
        <v>2.39</v>
      </c>
      <c r="Y79" s="38">
        <v>385794</v>
      </c>
      <c r="Z79" s="38">
        <v>161658</v>
      </c>
      <c r="AA79" s="40">
        <v>2.02</v>
      </c>
      <c r="AB79" s="38">
        <v>336069</v>
      </c>
      <c r="AC79" s="38">
        <v>166122</v>
      </c>
      <c r="AD79" s="41">
        <v>2.13</v>
      </c>
      <c r="AE79" s="38">
        <v>619425</v>
      </c>
      <c r="AF79" s="38">
        <v>290561</v>
      </c>
      <c r="AG79" s="22"/>
    </row>
    <row r="80" spans="1:33" ht="10.5" customHeight="1" x14ac:dyDescent="0.15">
      <c r="A80" s="48" t="s">
        <v>62</v>
      </c>
      <c r="B80" s="42">
        <v>3</v>
      </c>
      <c r="C80" s="43">
        <v>478462</v>
      </c>
      <c r="D80" s="43">
        <v>1178808</v>
      </c>
      <c r="E80" s="43">
        <v>1159043</v>
      </c>
      <c r="F80" s="43">
        <v>1159043</v>
      </c>
      <c r="G80" s="43">
        <v>5980774</v>
      </c>
      <c r="H80" s="44">
        <v>0.19400000000000001</v>
      </c>
      <c r="I80" s="44">
        <v>0.19400000000000001</v>
      </c>
      <c r="J80" s="44">
        <v>0.19700000000000001</v>
      </c>
      <c r="K80" s="44">
        <v>0</v>
      </c>
      <c r="L80" s="44">
        <f>Tabelle12[[#This Row],[Spalte12]]-Tabelle12[[#This Row],[Spalte11]]</f>
        <v>7.8E-2</v>
      </c>
      <c r="M80" s="44">
        <v>7.8E-2</v>
      </c>
      <c r="N80" s="44">
        <v>9.6000000000000002E-2</v>
      </c>
      <c r="O80" s="44">
        <v>0.12</v>
      </c>
      <c r="P80" s="44">
        <v>6.7000000000000004E-2</v>
      </c>
      <c r="Q80" s="43">
        <v>17370943</v>
      </c>
      <c r="R80" s="45">
        <v>2.15</v>
      </c>
      <c r="S80" s="43">
        <v>6783026</v>
      </c>
      <c r="T80" s="43">
        <v>3154431</v>
      </c>
      <c r="U80" s="45">
        <v>2.09</v>
      </c>
      <c r="V80" s="43">
        <v>6881611</v>
      </c>
      <c r="W80" s="43">
        <v>3286521</v>
      </c>
      <c r="X80" s="45">
        <v>2.0499999999999998</v>
      </c>
      <c r="Y80" s="43">
        <v>6208150</v>
      </c>
      <c r="Z80" s="43">
        <v>3034323</v>
      </c>
      <c r="AA80" s="45">
        <v>1.97</v>
      </c>
      <c r="AB80" s="43">
        <v>5808551</v>
      </c>
      <c r="AC80" s="43">
        <v>2952636</v>
      </c>
      <c r="AD80" s="46">
        <v>1.79</v>
      </c>
      <c r="AE80" s="43">
        <v>9783145</v>
      </c>
      <c r="AF80" s="43">
        <v>5469482</v>
      </c>
      <c r="AG80" s="22"/>
    </row>
    <row r="81" spans="1:33" ht="10.5" customHeight="1" x14ac:dyDescent="0.15">
      <c r="A81" s="47" t="s">
        <v>91</v>
      </c>
      <c r="B81" s="37">
        <v>3</v>
      </c>
      <c r="C81" s="38">
        <v>506277</v>
      </c>
      <c r="D81" s="38">
        <v>1143933</v>
      </c>
      <c r="E81" s="38">
        <v>1074168</v>
      </c>
      <c r="F81" s="38">
        <v>1124168</v>
      </c>
      <c r="G81" s="38">
        <v>6328462</v>
      </c>
      <c r="H81" s="39">
        <v>0.17</v>
      </c>
      <c r="I81" s="39">
        <v>0.17799999999999999</v>
      </c>
      <c r="J81" s="39">
        <v>0.18099999999999999</v>
      </c>
      <c r="K81" s="39">
        <v>0</v>
      </c>
      <c r="L81" s="39">
        <f>Tabelle12[[#This Row],[Spalte12]]-Tabelle12[[#This Row],[Spalte11]]</f>
        <v>7.8E-2</v>
      </c>
      <c r="M81" s="39">
        <v>7.8E-2</v>
      </c>
      <c r="N81" s="39">
        <v>9.6000000000000002E-2</v>
      </c>
      <c r="O81" s="39">
        <v>0.12</v>
      </c>
      <c r="P81" s="39">
        <v>6.5000000000000002E-2</v>
      </c>
      <c r="Q81" s="38">
        <v>17365652</v>
      </c>
      <c r="R81" s="40">
        <v>2.16</v>
      </c>
      <c r="S81" s="38">
        <v>6783029</v>
      </c>
      <c r="T81" s="38">
        <v>3146093</v>
      </c>
      <c r="U81" s="40">
        <v>2.14</v>
      </c>
      <c r="V81" s="38">
        <v>6881616</v>
      </c>
      <c r="W81" s="38">
        <v>3210861</v>
      </c>
      <c r="X81" s="40">
        <v>2.08</v>
      </c>
      <c r="Y81" s="38">
        <v>6194584</v>
      </c>
      <c r="Z81" s="38">
        <v>2976344</v>
      </c>
      <c r="AA81" s="40">
        <v>1.96</v>
      </c>
      <c r="AB81" s="38">
        <v>5808578</v>
      </c>
      <c r="AC81" s="38">
        <v>2964000</v>
      </c>
      <c r="AD81" s="41">
        <v>1.78</v>
      </c>
      <c r="AE81" s="38">
        <v>9748835</v>
      </c>
      <c r="AF81" s="38">
        <v>5477371</v>
      </c>
      <c r="AG81" s="22"/>
    </row>
    <row r="82" spans="1:33" ht="10.5" customHeight="1" x14ac:dyDescent="0.15">
      <c r="A82" s="48" t="s">
        <v>70</v>
      </c>
      <c r="B82" s="42">
        <v>3</v>
      </c>
      <c r="C82" s="43">
        <v>524784</v>
      </c>
      <c r="D82" s="43">
        <v>1210463</v>
      </c>
      <c r="E82" s="43">
        <v>919904</v>
      </c>
      <c r="F82" s="43">
        <v>1210463</v>
      </c>
      <c r="G82" s="43">
        <v>6559796</v>
      </c>
      <c r="H82" s="44">
        <v>0.14000000000000001</v>
      </c>
      <c r="I82" s="44">
        <v>0.185</v>
      </c>
      <c r="J82" s="44">
        <v>0.185</v>
      </c>
      <c r="K82" s="44">
        <v>1E-3</v>
      </c>
      <c r="L82" s="44">
        <f>Tabelle12[[#This Row],[Spalte12]]-Tabelle12[[#This Row],[Spalte11]]</f>
        <v>7.8E-2</v>
      </c>
      <c r="M82" s="44">
        <v>7.9000000000000001E-2</v>
      </c>
      <c r="N82" s="44">
        <v>9.7000000000000003E-2</v>
      </c>
      <c r="O82" s="44">
        <v>0.121</v>
      </c>
      <c r="P82" s="44">
        <v>4.2999999999999997E-2</v>
      </c>
      <c r="Q82" s="43">
        <v>28243214</v>
      </c>
      <c r="R82" s="45">
        <v>1.45</v>
      </c>
      <c r="S82" s="43">
        <v>6258397</v>
      </c>
      <c r="T82" s="43">
        <v>4307445</v>
      </c>
      <c r="U82" s="45">
        <v>1.44</v>
      </c>
      <c r="V82" s="43">
        <v>6866050</v>
      </c>
      <c r="W82" s="43">
        <v>4777589</v>
      </c>
      <c r="X82" s="45">
        <v>1.58</v>
      </c>
      <c r="Y82" s="43">
        <v>5860839</v>
      </c>
      <c r="Z82" s="43">
        <v>3716831</v>
      </c>
      <c r="AA82" s="45">
        <v>1.7</v>
      </c>
      <c r="AB82" s="43">
        <v>5489212</v>
      </c>
      <c r="AC82" s="43">
        <v>3234703</v>
      </c>
      <c r="AD82" s="46">
        <v>1.43</v>
      </c>
      <c r="AE82" s="43">
        <v>13736405</v>
      </c>
      <c r="AF82" s="43">
        <v>9630782</v>
      </c>
      <c r="AG82" s="22"/>
    </row>
    <row r="83" spans="1:33" ht="10.5" customHeight="1" x14ac:dyDescent="0.15">
      <c r="A83" s="47" t="s">
        <v>37</v>
      </c>
      <c r="B83" s="37">
        <v>3</v>
      </c>
      <c r="C83" s="38">
        <v>736350</v>
      </c>
      <c r="D83" s="38">
        <v>1804114</v>
      </c>
      <c r="E83" s="38">
        <v>1472122</v>
      </c>
      <c r="F83" s="38">
        <v>1665090</v>
      </c>
      <c r="G83" s="38">
        <v>9204376</v>
      </c>
      <c r="H83" s="39">
        <v>0.16</v>
      </c>
      <c r="I83" s="39">
        <v>0.18099999999999999</v>
      </c>
      <c r="J83" s="39">
        <v>0.19600000000000001</v>
      </c>
      <c r="K83" s="39">
        <v>1E-3</v>
      </c>
      <c r="L83" s="39">
        <f>Tabelle12[[#This Row],[Spalte12]]-Tabelle12[[#This Row],[Spalte11]]</f>
        <v>7.8E-2</v>
      </c>
      <c r="M83" s="39">
        <v>7.9000000000000001E-2</v>
      </c>
      <c r="N83" s="39">
        <v>9.7000000000000003E-2</v>
      </c>
      <c r="O83" s="39">
        <v>0.121</v>
      </c>
      <c r="P83" s="39">
        <v>0.04</v>
      </c>
      <c r="Q83" s="38">
        <v>41379810</v>
      </c>
      <c r="R83" s="40">
        <v>2.5299999999999998</v>
      </c>
      <c r="S83" s="38">
        <v>13691213</v>
      </c>
      <c r="T83" s="38">
        <v>5417861</v>
      </c>
      <c r="U83" s="40">
        <v>2.4900000000000002</v>
      </c>
      <c r="V83" s="38">
        <v>13816843</v>
      </c>
      <c r="W83" s="38">
        <v>5559593</v>
      </c>
      <c r="X83" s="40">
        <v>2.33</v>
      </c>
      <c r="Y83" s="38">
        <v>11199902</v>
      </c>
      <c r="Z83" s="38">
        <v>4797224</v>
      </c>
      <c r="AA83" s="40">
        <v>2.4500000000000002</v>
      </c>
      <c r="AB83" s="38">
        <v>10970079</v>
      </c>
      <c r="AC83" s="38">
        <v>4486180</v>
      </c>
      <c r="AD83" s="41">
        <v>1.89</v>
      </c>
      <c r="AE83" s="38">
        <v>24807904</v>
      </c>
      <c r="AF83" s="38">
        <v>13128232</v>
      </c>
      <c r="AG83" s="22"/>
    </row>
    <row r="84" spans="1:33" ht="10.5" customHeight="1" x14ac:dyDescent="0.15">
      <c r="A84" s="48" t="s">
        <v>105</v>
      </c>
      <c r="B84" s="42">
        <v>3</v>
      </c>
      <c r="C84" s="43">
        <v>747286</v>
      </c>
      <c r="D84" s="43">
        <v>1999866</v>
      </c>
      <c r="E84" s="43">
        <v>1648842</v>
      </c>
      <c r="F84" s="43">
        <v>1999866</v>
      </c>
      <c r="G84" s="43">
        <v>9341076</v>
      </c>
      <c r="H84" s="44">
        <v>0.17699999999999999</v>
      </c>
      <c r="I84" s="44">
        <v>0.214</v>
      </c>
      <c r="J84" s="44">
        <v>0.214</v>
      </c>
      <c r="K84" s="44">
        <v>1E-3</v>
      </c>
      <c r="L84" s="44">
        <f>Tabelle12[[#This Row],[Spalte12]]-Tabelle12[[#This Row],[Spalte11]]</f>
        <v>7.8E-2</v>
      </c>
      <c r="M84" s="44">
        <v>7.9000000000000001E-2</v>
      </c>
      <c r="N84" s="44">
        <v>9.7000000000000003E-2</v>
      </c>
      <c r="O84" s="44">
        <v>0.121</v>
      </c>
      <c r="P84" s="44">
        <v>4.8000000000000001E-2</v>
      </c>
      <c r="Q84" s="43">
        <v>41513315</v>
      </c>
      <c r="R84" s="45">
        <v>2.4</v>
      </c>
      <c r="S84" s="43">
        <v>13562441</v>
      </c>
      <c r="T84" s="43">
        <v>5660538</v>
      </c>
      <c r="U84" s="45">
        <v>2.38</v>
      </c>
      <c r="V84" s="43">
        <v>13696970</v>
      </c>
      <c r="W84" s="43">
        <v>5758780</v>
      </c>
      <c r="X84" s="45">
        <v>2.23</v>
      </c>
      <c r="Y84" s="43">
        <v>11124995</v>
      </c>
      <c r="Z84" s="43">
        <v>4999799</v>
      </c>
      <c r="AA84" s="45">
        <v>2.35</v>
      </c>
      <c r="AB84" s="43">
        <v>10924549</v>
      </c>
      <c r="AC84" s="43">
        <v>4654422</v>
      </c>
      <c r="AD84" s="46">
        <v>1.85</v>
      </c>
      <c r="AE84" s="43">
        <v>24895450</v>
      </c>
      <c r="AF84" s="43">
        <v>13437370</v>
      </c>
      <c r="AG84" s="22"/>
    </row>
    <row r="85" spans="1:33" ht="10.5" customHeight="1" x14ac:dyDescent="0.15">
      <c r="A85" s="47" t="s">
        <v>1</v>
      </c>
      <c r="B85" s="37">
        <v>5</v>
      </c>
      <c r="C85" s="38">
        <v>49124</v>
      </c>
      <c r="D85" s="38">
        <v>251531</v>
      </c>
      <c r="E85" s="38">
        <v>224801</v>
      </c>
      <c r="F85" s="38">
        <v>224801</v>
      </c>
      <c r="G85" s="38">
        <v>614053</v>
      </c>
      <c r="H85" s="39">
        <v>0.36599999999999999</v>
      </c>
      <c r="I85" s="39">
        <v>0.36599999999999999</v>
      </c>
      <c r="J85" s="39">
        <v>0.41</v>
      </c>
      <c r="K85" s="39">
        <v>0</v>
      </c>
      <c r="L85" s="39">
        <f>Tabelle12[[#This Row],[Spalte12]]-Tabelle12[[#This Row],[Spalte11]]</f>
        <v>7.0000000000000007E-2</v>
      </c>
      <c r="M85" s="39">
        <v>7.0000000000000007E-2</v>
      </c>
      <c r="N85" s="39">
        <v>8.5000000000000006E-2</v>
      </c>
      <c r="O85" s="39">
        <v>0.105</v>
      </c>
      <c r="P85" s="39">
        <v>9.0999999999999998E-2</v>
      </c>
      <c r="Q85" s="38">
        <v>2462827</v>
      </c>
      <c r="R85" s="40">
        <v>1.05</v>
      </c>
      <c r="S85" s="38">
        <v>9963458</v>
      </c>
      <c r="T85" s="38">
        <v>9510236</v>
      </c>
      <c r="U85" s="40">
        <v>1.04</v>
      </c>
      <c r="V85" s="38">
        <v>10549952</v>
      </c>
      <c r="W85" s="38">
        <v>10128074</v>
      </c>
      <c r="X85" s="40">
        <v>1.04</v>
      </c>
      <c r="Y85" s="38">
        <v>10273076</v>
      </c>
      <c r="Z85" s="38">
        <v>9905786</v>
      </c>
      <c r="AA85" s="40">
        <v>1.03</v>
      </c>
      <c r="AB85" s="38">
        <v>10813981</v>
      </c>
      <c r="AC85" s="38">
        <v>10459826</v>
      </c>
      <c r="AD85" s="41">
        <v>3.98</v>
      </c>
      <c r="AE85" s="38">
        <v>780239</v>
      </c>
      <c r="AF85" s="38">
        <v>196230</v>
      </c>
      <c r="AG85" s="22"/>
    </row>
    <row r="86" spans="1:33" ht="10.5" customHeight="1" x14ac:dyDescent="0.15">
      <c r="A86" s="48" t="s">
        <v>49</v>
      </c>
      <c r="B86" s="42">
        <v>5</v>
      </c>
      <c r="C86" s="43">
        <v>17564</v>
      </c>
      <c r="D86" s="43">
        <v>33499</v>
      </c>
      <c r="E86" s="43">
        <v>32721</v>
      </c>
      <c r="F86" s="43">
        <v>32721</v>
      </c>
      <c r="G86" s="43">
        <v>219556</v>
      </c>
      <c r="H86" s="44">
        <v>0.14899999999999999</v>
      </c>
      <c r="I86" s="44">
        <v>0.14899999999999999</v>
      </c>
      <c r="J86" s="44">
        <v>0.153</v>
      </c>
      <c r="K86" s="44">
        <v>1.2E-2</v>
      </c>
      <c r="L86" s="44">
        <f>Tabelle12[[#This Row],[Spalte12]]-Tabelle12[[#This Row],[Spalte11]]</f>
        <v>7.0000000000000007E-2</v>
      </c>
      <c r="M86" s="44">
        <v>8.2000000000000003E-2</v>
      </c>
      <c r="N86" s="44">
        <v>9.7000000000000003E-2</v>
      </c>
      <c r="O86" s="44">
        <v>0.11700000000000001</v>
      </c>
      <c r="P86" s="44">
        <v>7.4999999999999997E-2</v>
      </c>
      <c r="Q86" s="43">
        <v>433597</v>
      </c>
      <c r="R86" s="45">
        <v>1.48</v>
      </c>
      <c r="S86" s="43">
        <v>19614</v>
      </c>
      <c r="T86" s="43">
        <v>13284</v>
      </c>
      <c r="U86" s="45">
        <v>1.96</v>
      </c>
      <c r="V86" s="43">
        <v>26397</v>
      </c>
      <c r="W86" s="43">
        <v>13434</v>
      </c>
      <c r="X86" s="45">
        <v>1.68</v>
      </c>
      <c r="Y86" s="43">
        <v>29189</v>
      </c>
      <c r="Z86" s="43">
        <v>17396</v>
      </c>
      <c r="AA86" s="45">
        <v>1.52</v>
      </c>
      <c r="AB86" s="43">
        <v>23783</v>
      </c>
      <c r="AC86" s="43">
        <v>15636</v>
      </c>
      <c r="AD86" s="46">
        <v>1.1599999999999999</v>
      </c>
      <c r="AE86" s="43">
        <v>352440</v>
      </c>
      <c r="AF86" s="43">
        <v>304564</v>
      </c>
      <c r="AG86" s="22"/>
    </row>
    <row r="87" spans="1:33" ht="10.5" customHeight="1" x14ac:dyDescent="0.15">
      <c r="A87" s="47" t="s">
        <v>104</v>
      </c>
      <c r="B87" s="37">
        <v>5</v>
      </c>
      <c r="C87" s="38">
        <v>45867</v>
      </c>
      <c r="D87" s="38">
        <v>120132</v>
      </c>
      <c r="E87" s="38">
        <v>120132</v>
      </c>
      <c r="F87" s="38">
        <v>120132</v>
      </c>
      <c r="G87" s="38">
        <v>573333</v>
      </c>
      <c r="H87" s="39">
        <v>0.21</v>
      </c>
      <c r="I87" s="39">
        <v>0.21</v>
      </c>
      <c r="J87" s="39">
        <v>0.21</v>
      </c>
      <c r="K87" s="39">
        <v>0</v>
      </c>
      <c r="L87" s="39">
        <f>Tabelle12[[#This Row],[Spalte12]]-Tabelle12[[#This Row],[Spalte11]]</f>
        <v>7.0000000000000007E-2</v>
      </c>
      <c r="M87" s="39">
        <v>7.0000000000000007E-2</v>
      </c>
      <c r="N87" s="39">
        <v>8.5000000000000006E-2</v>
      </c>
      <c r="O87" s="39">
        <v>0.105</v>
      </c>
      <c r="P87" s="39">
        <v>0.13500000000000001</v>
      </c>
      <c r="Q87" s="38">
        <v>888755</v>
      </c>
      <c r="R87" s="40">
        <v>3.41</v>
      </c>
      <c r="S87" s="38">
        <v>189179</v>
      </c>
      <c r="T87" s="38">
        <v>55464</v>
      </c>
      <c r="U87" s="40">
        <v>2.91</v>
      </c>
      <c r="V87" s="38">
        <v>197097</v>
      </c>
      <c r="W87" s="38">
        <v>67627</v>
      </c>
      <c r="X87" s="40">
        <v>2.5299999999999998</v>
      </c>
      <c r="Y87" s="38">
        <v>157169</v>
      </c>
      <c r="Z87" s="38">
        <v>62085</v>
      </c>
      <c r="AA87" s="40">
        <v>1.93</v>
      </c>
      <c r="AB87" s="38">
        <v>157221</v>
      </c>
      <c r="AC87" s="38">
        <v>81277</v>
      </c>
      <c r="AD87" s="41">
        <v>1.38</v>
      </c>
      <c r="AE87" s="38">
        <v>500102</v>
      </c>
      <c r="AF87" s="38">
        <v>361126</v>
      </c>
      <c r="AG87" s="22"/>
    </row>
    <row r="88" spans="1:33" ht="10.5" customHeight="1" x14ac:dyDescent="0.15">
      <c r="A88" s="48" t="s">
        <v>77</v>
      </c>
      <c r="B88" s="42">
        <v>5</v>
      </c>
      <c r="C88" s="43">
        <v>657</v>
      </c>
      <c r="D88" s="43">
        <v>2117</v>
      </c>
      <c r="E88" s="43">
        <v>2117</v>
      </c>
      <c r="F88" s="43">
        <v>2117</v>
      </c>
      <c r="G88" s="43">
        <v>8208</v>
      </c>
      <c r="H88" s="44">
        <v>0.25800000000000001</v>
      </c>
      <c r="I88" s="44">
        <v>0.25800000000000001</v>
      </c>
      <c r="J88" s="44">
        <v>0.25800000000000001</v>
      </c>
      <c r="K88" s="44">
        <v>0</v>
      </c>
      <c r="L88" s="44">
        <f>Tabelle12[[#This Row],[Spalte12]]-Tabelle12[[#This Row],[Spalte11]]</f>
        <v>7.0000000000000007E-2</v>
      </c>
      <c r="M88" s="44">
        <v>7.0000000000000007E-2</v>
      </c>
      <c r="N88" s="44">
        <v>8.5000000000000006E-2</v>
      </c>
      <c r="O88" s="44">
        <v>0.105</v>
      </c>
      <c r="P88" s="44">
        <v>0.14399999999999999</v>
      </c>
      <c r="Q88" s="43">
        <v>14682</v>
      </c>
      <c r="R88" s="45">
        <v>14.47</v>
      </c>
      <c r="S88" s="43">
        <v>8603</v>
      </c>
      <c r="T88" s="43">
        <v>595</v>
      </c>
      <c r="U88" s="45">
        <v>15.84</v>
      </c>
      <c r="V88" s="43">
        <v>7314</v>
      </c>
      <c r="W88" s="43">
        <v>462</v>
      </c>
      <c r="X88" s="45">
        <v>11.05</v>
      </c>
      <c r="Y88" s="43">
        <v>5643</v>
      </c>
      <c r="Z88" s="43">
        <v>511</v>
      </c>
      <c r="AA88" s="45">
        <v>14.5</v>
      </c>
      <c r="AB88" s="43">
        <v>5896</v>
      </c>
      <c r="AC88" s="43">
        <v>407</v>
      </c>
      <c r="AD88" s="46">
        <v>1.87</v>
      </c>
      <c r="AE88" s="43">
        <v>12885</v>
      </c>
      <c r="AF88" s="43">
        <v>6876</v>
      </c>
      <c r="AG88" s="22"/>
    </row>
    <row r="89" spans="1:33" ht="10.5" customHeight="1" x14ac:dyDescent="0.15">
      <c r="A89" s="47" t="s">
        <v>99</v>
      </c>
      <c r="B89" s="37">
        <v>4</v>
      </c>
      <c r="C89" s="38">
        <v>68642</v>
      </c>
      <c r="D89" s="38">
        <v>224660</v>
      </c>
      <c r="E89" s="38">
        <v>224660</v>
      </c>
      <c r="F89" s="38">
        <v>224660</v>
      </c>
      <c r="G89" s="38">
        <v>858031</v>
      </c>
      <c r="H89" s="39">
        <v>0.26200000000000001</v>
      </c>
      <c r="I89" s="39">
        <v>0.26200000000000001</v>
      </c>
      <c r="J89" s="39">
        <v>0.26200000000000001</v>
      </c>
      <c r="K89" s="39">
        <v>1E-3</v>
      </c>
      <c r="L89" s="39">
        <f>Tabelle12[[#This Row],[Spalte12]]-Tabelle12[[#This Row],[Spalte11]]</f>
        <v>7.3999999999999996E-2</v>
      </c>
      <c r="M89" s="39">
        <v>7.4999999999999997E-2</v>
      </c>
      <c r="N89" s="39">
        <v>9.0999999999999998E-2</v>
      </c>
      <c r="O89" s="39">
        <v>0.113</v>
      </c>
      <c r="P89" s="39">
        <v>0.14099999999999999</v>
      </c>
      <c r="Q89" s="38">
        <v>1591552</v>
      </c>
      <c r="R89" s="40">
        <v>1.88</v>
      </c>
      <c r="S89" s="38">
        <v>376582</v>
      </c>
      <c r="T89" s="38">
        <v>200043</v>
      </c>
      <c r="U89" s="40">
        <v>1.67</v>
      </c>
      <c r="V89" s="38">
        <v>280095</v>
      </c>
      <c r="W89" s="38">
        <v>167647</v>
      </c>
      <c r="X89" s="40">
        <v>1.58</v>
      </c>
      <c r="Y89" s="38">
        <v>287334</v>
      </c>
      <c r="Z89" s="38">
        <v>181339</v>
      </c>
      <c r="AA89" s="40">
        <v>2.2799999999999998</v>
      </c>
      <c r="AB89" s="38">
        <v>473672</v>
      </c>
      <c r="AC89" s="38">
        <v>207916</v>
      </c>
      <c r="AD89" s="41">
        <v>1.67</v>
      </c>
      <c r="AE89" s="38">
        <v>863516</v>
      </c>
      <c r="AF89" s="38">
        <v>518182</v>
      </c>
      <c r="AG89" s="22"/>
    </row>
    <row r="90" spans="1:33" ht="10.5" customHeight="1" x14ac:dyDescent="0.15">
      <c r="A90" s="48" t="s">
        <v>75</v>
      </c>
      <c r="B90" s="42">
        <v>5</v>
      </c>
      <c r="C90" s="43">
        <v>22901</v>
      </c>
      <c r="D90" s="43">
        <v>114264</v>
      </c>
      <c r="E90" s="43">
        <v>114264</v>
      </c>
      <c r="F90" s="43">
        <v>114264</v>
      </c>
      <c r="G90" s="43">
        <v>286257</v>
      </c>
      <c r="H90" s="44">
        <v>0.39900000000000002</v>
      </c>
      <c r="I90" s="44">
        <v>0.39900000000000002</v>
      </c>
      <c r="J90" s="44">
        <v>0.39900000000000002</v>
      </c>
      <c r="K90" s="44">
        <v>2E-3</v>
      </c>
      <c r="L90" s="44">
        <f>Tabelle12[[#This Row],[Spalte12]]-Tabelle12[[#This Row],[Spalte11]]</f>
        <v>6.9999999999999993E-2</v>
      </c>
      <c r="M90" s="44">
        <v>7.1999999999999995E-2</v>
      </c>
      <c r="N90" s="44">
        <v>8.6999999999999994E-2</v>
      </c>
      <c r="O90" s="44">
        <v>0.107</v>
      </c>
      <c r="P90" s="44">
        <v>0.154</v>
      </c>
      <c r="Q90" s="43">
        <v>740454</v>
      </c>
      <c r="R90" s="45">
        <v>1.85</v>
      </c>
      <c r="S90" s="43">
        <v>253566</v>
      </c>
      <c r="T90" s="43">
        <v>137366</v>
      </c>
      <c r="U90" s="45">
        <v>1.57</v>
      </c>
      <c r="V90" s="43">
        <v>289783</v>
      </c>
      <c r="W90" s="43">
        <v>184096</v>
      </c>
      <c r="X90" s="45">
        <v>1.41</v>
      </c>
      <c r="Y90" s="43">
        <v>251442</v>
      </c>
      <c r="Z90" s="43">
        <v>177998</v>
      </c>
      <c r="AA90" s="45">
        <v>1.25</v>
      </c>
      <c r="AB90" s="43">
        <v>223968</v>
      </c>
      <c r="AC90" s="43">
        <v>179506</v>
      </c>
      <c r="AD90" s="46">
        <v>1.41</v>
      </c>
      <c r="AE90" s="43">
        <v>458577</v>
      </c>
      <c r="AF90" s="43">
        <v>324293</v>
      </c>
      <c r="AG90" s="22"/>
    </row>
    <row r="91" spans="1:33" ht="10.5" customHeight="1" x14ac:dyDescent="0.15">
      <c r="A91" s="47" t="s">
        <v>64</v>
      </c>
      <c r="B91" s="37">
        <v>5</v>
      </c>
      <c r="C91" s="38">
        <v>18157</v>
      </c>
      <c r="D91" s="38">
        <v>27874</v>
      </c>
      <c r="E91" s="38">
        <v>26528</v>
      </c>
      <c r="F91" s="38">
        <v>27278</v>
      </c>
      <c r="G91" s="38">
        <v>226963</v>
      </c>
      <c r="H91" s="39">
        <v>0.11700000000000001</v>
      </c>
      <c r="I91" s="39">
        <v>0.12</v>
      </c>
      <c r="J91" s="39">
        <v>0.123</v>
      </c>
      <c r="K91" s="39">
        <v>8.9999999999999993E-3</v>
      </c>
      <c r="L91" s="39">
        <f>Tabelle12[[#This Row],[Spalte12]]-Tabelle12[[#This Row],[Spalte11]]</f>
        <v>7.0000000000000007E-2</v>
      </c>
      <c r="M91" s="39">
        <v>7.9000000000000001E-2</v>
      </c>
      <c r="N91" s="39">
        <v>9.4E-2</v>
      </c>
      <c r="O91" s="39">
        <v>0.114</v>
      </c>
      <c r="P91" s="39">
        <v>6.9000000000000006E-2</v>
      </c>
      <c r="Q91" s="38">
        <v>396033</v>
      </c>
      <c r="R91" s="40">
        <v>1.57</v>
      </c>
      <c r="S91" s="38">
        <v>38507</v>
      </c>
      <c r="T91" s="38">
        <v>24491</v>
      </c>
      <c r="U91" s="40">
        <v>1.61</v>
      </c>
      <c r="V91" s="38">
        <v>38649</v>
      </c>
      <c r="W91" s="38">
        <v>23949</v>
      </c>
      <c r="X91" s="40">
        <v>1.59</v>
      </c>
      <c r="Y91" s="38">
        <v>36748</v>
      </c>
      <c r="Z91" s="38">
        <v>23160</v>
      </c>
      <c r="AA91" s="40">
        <v>1.49</v>
      </c>
      <c r="AB91" s="38">
        <v>36088</v>
      </c>
      <c r="AC91" s="38">
        <v>24174</v>
      </c>
      <c r="AD91" s="41">
        <v>1.49</v>
      </c>
      <c r="AE91" s="38">
        <v>361924</v>
      </c>
      <c r="AF91" s="38">
        <v>243562</v>
      </c>
      <c r="AG91" s="22"/>
    </row>
    <row r="92" spans="1:33" ht="10.5" customHeight="1" x14ac:dyDescent="0.15">
      <c r="A92" s="48" t="s">
        <v>12</v>
      </c>
      <c r="B92" s="42">
        <v>4</v>
      </c>
      <c r="C92" s="43">
        <v>295860</v>
      </c>
      <c r="D92" s="43">
        <v>685188</v>
      </c>
      <c r="E92" s="43">
        <v>423182</v>
      </c>
      <c r="F92" s="43">
        <v>523182</v>
      </c>
      <c r="G92" s="43">
        <v>3698246</v>
      </c>
      <c r="H92" s="44">
        <v>0.114</v>
      </c>
      <c r="I92" s="44">
        <v>0.14099999999999999</v>
      </c>
      <c r="J92" s="44">
        <v>0.185</v>
      </c>
      <c r="K92" s="44">
        <v>1.2999999999999999E-2</v>
      </c>
      <c r="L92" s="44">
        <f>Tabelle12[[#This Row],[Spalte12]]-Tabelle12[[#This Row],[Spalte11]]</f>
        <v>7.3999999999999996E-2</v>
      </c>
      <c r="M92" s="44">
        <v>8.6999999999999994E-2</v>
      </c>
      <c r="N92" s="44">
        <v>0.10299999999999999</v>
      </c>
      <c r="O92" s="44">
        <v>0.125</v>
      </c>
      <c r="P92" s="44">
        <v>5.7000000000000002E-2</v>
      </c>
      <c r="Q92" s="43">
        <v>9203867</v>
      </c>
      <c r="R92" s="45">
        <v>2.08</v>
      </c>
      <c r="S92" s="43">
        <v>2165970</v>
      </c>
      <c r="T92" s="43">
        <v>1039692</v>
      </c>
      <c r="U92" s="45">
        <v>1.91</v>
      </c>
      <c r="V92" s="43">
        <v>2046362</v>
      </c>
      <c r="W92" s="43">
        <v>1068825</v>
      </c>
      <c r="X92" s="45">
        <v>1.74</v>
      </c>
      <c r="Y92" s="43">
        <v>1834454</v>
      </c>
      <c r="Z92" s="43">
        <v>1053656</v>
      </c>
      <c r="AA92" s="45">
        <v>1.89</v>
      </c>
      <c r="AB92" s="43">
        <v>1984631</v>
      </c>
      <c r="AC92" s="43">
        <v>1048682</v>
      </c>
      <c r="AD92" s="46">
        <v>1.41</v>
      </c>
      <c r="AE92" s="43">
        <v>6073752</v>
      </c>
      <c r="AF92" s="43">
        <v>4310980</v>
      </c>
      <c r="AG92" s="22"/>
    </row>
    <row r="93" spans="1:33" ht="10.5" customHeight="1" x14ac:dyDescent="0.15">
      <c r="A93" s="47" t="s">
        <v>54</v>
      </c>
      <c r="B93" s="37">
        <v>5</v>
      </c>
      <c r="C93" s="38">
        <v>13413</v>
      </c>
      <c r="D93" s="38">
        <v>52285</v>
      </c>
      <c r="E93" s="38">
        <v>41031</v>
      </c>
      <c r="F93" s="38">
        <v>41031</v>
      </c>
      <c r="G93" s="38">
        <v>167668</v>
      </c>
      <c r="H93" s="39">
        <v>0.245</v>
      </c>
      <c r="I93" s="39">
        <v>0.245</v>
      </c>
      <c r="J93" s="39">
        <v>0.312</v>
      </c>
      <c r="K93" s="39">
        <v>1E-3</v>
      </c>
      <c r="L93" s="39">
        <f>Tabelle12[[#This Row],[Spalte12]]-Tabelle12[[#This Row],[Spalte11]]</f>
        <v>6.9999999999999993E-2</v>
      </c>
      <c r="M93" s="39">
        <v>7.0999999999999994E-2</v>
      </c>
      <c r="N93" s="39">
        <v>8.5999999999999993E-2</v>
      </c>
      <c r="O93" s="39">
        <v>0.106</v>
      </c>
      <c r="P93" s="39">
        <v>6.7000000000000004E-2</v>
      </c>
      <c r="Q93" s="38">
        <v>611414</v>
      </c>
      <c r="R93" s="55" t="s">
        <v>209</v>
      </c>
      <c r="S93" s="55" t="s">
        <v>209</v>
      </c>
      <c r="T93" s="55" t="s">
        <v>209</v>
      </c>
      <c r="U93" s="56" t="s">
        <v>209</v>
      </c>
      <c r="V93" s="55" t="s">
        <v>209</v>
      </c>
      <c r="W93" s="55" t="s">
        <v>209</v>
      </c>
      <c r="X93" s="56" t="s">
        <v>209</v>
      </c>
      <c r="Y93" s="55" t="s">
        <v>209</v>
      </c>
      <c r="Z93" s="55" t="s">
        <v>209</v>
      </c>
      <c r="AA93" s="56" t="s">
        <v>209</v>
      </c>
      <c r="AB93" s="55" t="s">
        <v>209</v>
      </c>
      <c r="AC93" s="55" t="s">
        <v>209</v>
      </c>
      <c r="AD93" s="57" t="s">
        <v>209</v>
      </c>
      <c r="AE93" s="55" t="s">
        <v>209</v>
      </c>
      <c r="AF93" s="55" t="s">
        <v>209</v>
      </c>
      <c r="AG93" s="22"/>
    </row>
    <row r="94" spans="1:33" ht="10.5" customHeight="1" x14ac:dyDescent="0.15">
      <c r="A94" s="48" t="s">
        <v>24</v>
      </c>
      <c r="B94" s="42">
        <v>3</v>
      </c>
      <c r="C94" s="43">
        <v>1189249</v>
      </c>
      <c r="D94" s="43">
        <v>2802034</v>
      </c>
      <c r="E94" s="43">
        <v>2802034</v>
      </c>
      <c r="F94" s="43">
        <v>2802034</v>
      </c>
      <c r="G94" s="43">
        <v>14865607</v>
      </c>
      <c r="H94" s="44">
        <v>0.188</v>
      </c>
      <c r="I94" s="44">
        <v>0.188</v>
      </c>
      <c r="J94" s="44">
        <v>0.188</v>
      </c>
      <c r="K94" s="44">
        <v>1.0999999999999999E-2</v>
      </c>
      <c r="L94" s="44">
        <f>Tabelle12[[#This Row],[Spalte12]]-Tabelle12[[#This Row],[Spalte11]]</f>
        <v>7.8E-2</v>
      </c>
      <c r="M94" s="44">
        <v>8.8999999999999996E-2</v>
      </c>
      <c r="N94" s="44">
        <v>0.107</v>
      </c>
      <c r="O94" s="44">
        <v>0.13100000000000001</v>
      </c>
      <c r="P94" s="44">
        <v>7.5999999999999998E-2</v>
      </c>
      <c r="Q94" s="43">
        <v>36744537</v>
      </c>
      <c r="R94" s="45">
        <v>1.59</v>
      </c>
      <c r="S94" s="43">
        <v>5196744</v>
      </c>
      <c r="T94" s="43">
        <v>3270284</v>
      </c>
      <c r="U94" s="45">
        <v>1.51</v>
      </c>
      <c r="V94" s="43">
        <v>5083422</v>
      </c>
      <c r="W94" s="43">
        <v>3363591</v>
      </c>
      <c r="X94" s="45">
        <v>1.58</v>
      </c>
      <c r="Y94" s="43">
        <v>5624810</v>
      </c>
      <c r="Z94" s="43">
        <v>3551507</v>
      </c>
      <c r="AA94" s="45">
        <v>1.59</v>
      </c>
      <c r="AB94" s="43">
        <v>6910897</v>
      </c>
      <c r="AC94" s="43">
        <v>4337574</v>
      </c>
      <c r="AD94" s="46">
        <v>1.35</v>
      </c>
      <c r="AE94" s="43">
        <v>26034018</v>
      </c>
      <c r="AF94" s="43">
        <v>19287130</v>
      </c>
      <c r="AG94" s="22"/>
    </row>
    <row r="95" spans="1:33" ht="10.5" customHeight="1" x14ac:dyDescent="0.15">
      <c r="A95" s="47" t="s">
        <v>6</v>
      </c>
      <c r="B95" s="37">
        <v>5</v>
      </c>
      <c r="C95" s="38">
        <v>29632</v>
      </c>
      <c r="D95" s="38">
        <v>67126</v>
      </c>
      <c r="E95" s="38">
        <v>67126</v>
      </c>
      <c r="F95" s="38">
        <v>67126</v>
      </c>
      <c r="G95" s="38">
        <v>370398</v>
      </c>
      <c r="H95" s="39">
        <v>0.18099999999999999</v>
      </c>
      <c r="I95" s="39">
        <v>0.18099999999999999</v>
      </c>
      <c r="J95" s="39">
        <v>0.18099999999999999</v>
      </c>
      <c r="K95" s="39">
        <v>1.6E-2</v>
      </c>
      <c r="L95" s="39">
        <f>Tabelle12[[#This Row],[Spalte12]]-Tabelle12[[#This Row],[Spalte11]]</f>
        <v>6.9999999999999993E-2</v>
      </c>
      <c r="M95" s="39">
        <v>8.5999999999999993E-2</v>
      </c>
      <c r="N95" s="39">
        <v>0.10100000000000001</v>
      </c>
      <c r="O95" s="39">
        <v>0.121</v>
      </c>
      <c r="P95" s="39">
        <v>7.8E-2</v>
      </c>
      <c r="Q95" s="38">
        <v>858183</v>
      </c>
      <c r="R95" s="40">
        <v>1.76</v>
      </c>
      <c r="S95" s="38">
        <v>62306</v>
      </c>
      <c r="T95" s="38">
        <v>35477</v>
      </c>
      <c r="U95" s="40">
        <v>1.65</v>
      </c>
      <c r="V95" s="38">
        <v>56232</v>
      </c>
      <c r="W95" s="38">
        <v>34104</v>
      </c>
      <c r="X95" s="40">
        <v>1.37</v>
      </c>
      <c r="Y95" s="38">
        <v>45053</v>
      </c>
      <c r="Z95" s="38">
        <v>32994</v>
      </c>
      <c r="AA95" s="40">
        <v>1.44</v>
      </c>
      <c r="AB95" s="38">
        <v>50052</v>
      </c>
      <c r="AC95" s="38">
        <v>34749</v>
      </c>
      <c r="AD95" s="41">
        <v>1.33</v>
      </c>
      <c r="AE95" s="38">
        <v>763135</v>
      </c>
      <c r="AF95" s="38">
        <v>573378</v>
      </c>
      <c r="AG95" s="22"/>
    </row>
    <row r="96" spans="1:33" ht="10.5" customHeight="1" x14ac:dyDescent="0.15">
      <c r="A96" s="48" t="s">
        <v>197</v>
      </c>
      <c r="B96" s="42">
        <v>5</v>
      </c>
      <c r="C96" s="43">
        <v>11916</v>
      </c>
      <c r="D96" s="43">
        <v>27176</v>
      </c>
      <c r="E96" s="43">
        <v>27176</v>
      </c>
      <c r="F96" s="43">
        <v>27176</v>
      </c>
      <c r="G96" s="43">
        <v>148956</v>
      </c>
      <c r="H96" s="44">
        <v>0.182</v>
      </c>
      <c r="I96" s="44">
        <v>0.182</v>
      </c>
      <c r="J96" s="44">
        <v>0.182</v>
      </c>
      <c r="K96" s="44">
        <v>0</v>
      </c>
      <c r="L96" s="44">
        <f>Tabelle12[[#This Row],[Spalte12]]-Tabelle12[[#This Row],[Spalte11]]</f>
        <v>7.0000000000000007E-2</v>
      </c>
      <c r="M96" s="44">
        <v>7.0000000000000007E-2</v>
      </c>
      <c r="N96" s="44">
        <v>8.5000000000000006E-2</v>
      </c>
      <c r="O96" s="44">
        <v>0.105</v>
      </c>
      <c r="P96" s="44">
        <v>9.6000000000000002E-2</v>
      </c>
      <c r="Q96" s="43">
        <v>281778</v>
      </c>
      <c r="R96" s="45">
        <v>2.3199999999999998</v>
      </c>
      <c r="S96" s="43">
        <v>36009</v>
      </c>
      <c r="T96" s="43">
        <v>15532</v>
      </c>
      <c r="U96" s="45">
        <v>2.52</v>
      </c>
      <c r="V96" s="43">
        <v>30909</v>
      </c>
      <c r="W96" s="43">
        <v>12275</v>
      </c>
      <c r="X96" s="45">
        <v>1.94</v>
      </c>
      <c r="Y96" s="43">
        <v>24852</v>
      </c>
      <c r="Z96" s="43">
        <v>12783</v>
      </c>
      <c r="AA96" s="45">
        <v>1.91</v>
      </c>
      <c r="AB96" s="43">
        <v>26835</v>
      </c>
      <c r="AC96" s="43">
        <v>14061</v>
      </c>
      <c r="AD96" s="46">
        <v>2.13</v>
      </c>
      <c r="AE96" s="43">
        <v>215528</v>
      </c>
      <c r="AF96" s="43">
        <v>101215</v>
      </c>
      <c r="AG96" s="22"/>
    </row>
    <row r="97" spans="1:33" ht="10.5" customHeight="1" x14ac:dyDescent="0.15">
      <c r="A97" s="47" t="s">
        <v>120</v>
      </c>
      <c r="B97" s="37">
        <v>4</v>
      </c>
      <c r="C97" s="38">
        <v>82609</v>
      </c>
      <c r="D97" s="38">
        <v>221818</v>
      </c>
      <c r="E97" s="38">
        <v>221818</v>
      </c>
      <c r="F97" s="38">
        <v>221818</v>
      </c>
      <c r="G97" s="38">
        <v>1032613</v>
      </c>
      <c r="H97" s="39">
        <v>0.215</v>
      </c>
      <c r="I97" s="39">
        <v>0.215</v>
      </c>
      <c r="J97" s="39">
        <v>0.215</v>
      </c>
      <c r="K97" s="39">
        <v>0</v>
      </c>
      <c r="L97" s="39">
        <f>Tabelle12[[#This Row],[Spalte12]]-Tabelle12[[#This Row],[Spalte11]]</f>
        <v>7.3999999999999996E-2</v>
      </c>
      <c r="M97" s="39">
        <v>7.3999999999999996E-2</v>
      </c>
      <c r="N97" s="39">
        <v>0.09</v>
      </c>
      <c r="O97" s="39">
        <v>0.112</v>
      </c>
      <c r="P97" s="39">
        <v>0.106</v>
      </c>
      <c r="Q97" s="38">
        <v>2097539</v>
      </c>
      <c r="R97" s="40">
        <v>2.12</v>
      </c>
      <c r="S97" s="38">
        <v>1012968</v>
      </c>
      <c r="T97" s="38">
        <v>478123</v>
      </c>
      <c r="U97" s="40">
        <v>2.0499999999999998</v>
      </c>
      <c r="V97" s="38">
        <v>915611</v>
      </c>
      <c r="W97" s="38">
        <v>445781</v>
      </c>
      <c r="X97" s="40">
        <v>2.27</v>
      </c>
      <c r="Y97" s="38">
        <v>830208</v>
      </c>
      <c r="Z97" s="38">
        <v>365089</v>
      </c>
      <c r="AA97" s="40">
        <v>2.52</v>
      </c>
      <c r="AB97" s="38">
        <v>823679</v>
      </c>
      <c r="AC97" s="38">
        <v>326249</v>
      </c>
      <c r="AD97" s="41">
        <v>1.72</v>
      </c>
      <c r="AE97" s="38">
        <v>1154020</v>
      </c>
      <c r="AF97" s="38">
        <v>669994</v>
      </c>
      <c r="AG97" s="22"/>
    </row>
    <row r="98" spans="1:33" ht="10.5" customHeight="1" x14ac:dyDescent="0.15">
      <c r="A98" s="48" t="s">
        <v>191</v>
      </c>
      <c r="B98" s="42">
        <v>3</v>
      </c>
      <c r="C98" s="43">
        <v>1019280</v>
      </c>
      <c r="D98" s="43">
        <v>3116660</v>
      </c>
      <c r="E98" s="43">
        <v>3086660</v>
      </c>
      <c r="F98" s="43">
        <v>3116660</v>
      </c>
      <c r="G98" s="43">
        <v>12741002</v>
      </c>
      <c r="H98" s="44">
        <v>0.24199999999999999</v>
      </c>
      <c r="I98" s="44">
        <v>0.245</v>
      </c>
      <c r="J98" s="44">
        <v>0.245</v>
      </c>
      <c r="K98" s="44">
        <v>0</v>
      </c>
      <c r="L98" s="44">
        <f>Tabelle12[[#This Row],[Spalte12]]-Tabelle12[[#This Row],[Spalte11]]</f>
        <v>7.8E-2</v>
      </c>
      <c r="M98" s="44">
        <v>7.8E-2</v>
      </c>
      <c r="N98" s="44">
        <v>9.6000000000000002E-2</v>
      </c>
      <c r="O98" s="44">
        <v>0.12</v>
      </c>
      <c r="P98" s="44">
        <v>6.5000000000000002E-2</v>
      </c>
      <c r="Q98" s="43">
        <v>48297297</v>
      </c>
      <c r="R98" s="45">
        <v>1.88</v>
      </c>
      <c r="S98" s="43">
        <v>20569756</v>
      </c>
      <c r="T98" s="43">
        <v>10967236</v>
      </c>
      <c r="U98" s="45">
        <v>1.84</v>
      </c>
      <c r="V98" s="43">
        <v>21398224</v>
      </c>
      <c r="W98" s="43">
        <v>11629634</v>
      </c>
      <c r="X98" s="45">
        <v>2</v>
      </c>
      <c r="Y98" s="43">
        <v>22336834</v>
      </c>
      <c r="Z98" s="43">
        <v>11183331</v>
      </c>
      <c r="AA98" s="45">
        <v>2.06</v>
      </c>
      <c r="AB98" s="43">
        <v>22176775</v>
      </c>
      <c r="AC98" s="43">
        <v>10790667</v>
      </c>
      <c r="AD98" s="46">
        <v>1.92</v>
      </c>
      <c r="AE98" s="43">
        <v>22153732</v>
      </c>
      <c r="AF98" s="43">
        <v>11565903</v>
      </c>
      <c r="AG98" s="22"/>
    </row>
    <row r="99" spans="1:33" ht="10.5" customHeight="1" x14ac:dyDescent="0.15">
      <c r="A99" s="47" t="s">
        <v>46</v>
      </c>
      <c r="B99" s="37">
        <v>4</v>
      </c>
      <c r="C99" s="38">
        <v>637901</v>
      </c>
      <c r="D99" s="38">
        <v>1467788</v>
      </c>
      <c r="E99" s="38">
        <v>1424782</v>
      </c>
      <c r="F99" s="38">
        <v>1424782</v>
      </c>
      <c r="G99" s="38">
        <v>7973757</v>
      </c>
      <c r="H99" s="39">
        <v>0.17899999999999999</v>
      </c>
      <c r="I99" s="39">
        <v>0.17899999999999999</v>
      </c>
      <c r="J99" s="39">
        <v>0.184</v>
      </c>
      <c r="K99" s="39">
        <v>0</v>
      </c>
      <c r="L99" s="39">
        <f>Tabelle12[[#This Row],[Spalte12]]-Tabelle12[[#This Row],[Spalte11]]</f>
        <v>7.3999999999999996E-2</v>
      </c>
      <c r="M99" s="39">
        <v>7.3999999999999996E-2</v>
      </c>
      <c r="N99" s="39">
        <v>0.09</v>
      </c>
      <c r="O99" s="39">
        <v>0.112</v>
      </c>
      <c r="P99" s="39">
        <v>0.106</v>
      </c>
      <c r="Q99" s="38">
        <v>13500004</v>
      </c>
      <c r="R99" s="40">
        <v>1.25</v>
      </c>
      <c r="S99" s="38">
        <v>1772122</v>
      </c>
      <c r="T99" s="38">
        <v>1420223</v>
      </c>
      <c r="U99" s="40">
        <v>1.35</v>
      </c>
      <c r="V99" s="38">
        <v>1640255</v>
      </c>
      <c r="W99" s="38">
        <v>1218194</v>
      </c>
      <c r="X99" s="40">
        <v>1.57</v>
      </c>
      <c r="Y99" s="38">
        <v>1488717</v>
      </c>
      <c r="Z99" s="38">
        <v>945591</v>
      </c>
      <c r="AA99" s="40">
        <v>1.5</v>
      </c>
      <c r="AB99" s="38">
        <v>1391924</v>
      </c>
      <c r="AC99" s="38">
        <v>930067</v>
      </c>
      <c r="AD99" s="41">
        <v>1.88</v>
      </c>
      <c r="AE99" s="38">
        <v>8911241</v>
      </c>
      <c r="AF99" s="38">
        <v>4736132</v>
      </c>
      <c r="AG99" s="22"/>
    </row>
    <row r="100" spans="1:33" ht="10.5" customHeight="1" x14ac:dyDescent="0.15">
      <c r="A100" s="48" t="s">
        <v>116</v>
      </c>
      <c r="B100" s="42">
        <v>5</v>
      </c>
      <c r="C100" s="43">
        <v>19188</v>
      </c>
      <c r="D100" s="43">
        <v>73336</v>
      </c>
      <c r="E100" s="43">
        <v>73336</v>
      </c>
      <c r="F100" s="43">
        <v>73336</v>
      </c>
      <c r="G100" s="43">
        <v>239851</v>
      </c>
      <c r="H100" s="44">
        <v>0.30599999999999999</v>
      </c>
      <c r="I100" s="44">
        <v>0.30599999999999999</v>
      </c>
      <c r="J100" s="44">
        <v>0.30599999999999999</v>
      </c>
      <c r="K100" s="44">
        <v>3.0000000000000001E-3</v>
      </c>
      <c r="L100" s="44">
        <f>Tabelle12[[#This Row],[Spalte12]]-Tabelle12[[#This Row],[Spalte11]]</f>
        <v>6.9999999999999993E-2</v>
      </c>
      <c r="M100" s="44">
        <v>7.2999999999999995E-2</v>
      </c>
      <c r="N100" s="44">
        <v>8.7999999999999995E-2</v>
      </c>
      <c r="O100" s="44">
        <v>0.108</v>
      </c>
      <c r="P100" s="44">
        <v>8.6999999999999994E-2</v>
      </c>
      <c r="Q100" s="43">
        <v>841836</v>
      </c>
      <c r="R100" s="45">
        <v>3.25</v>
      </c>
      <c r="S100" s="43">
        <v>116176</v>
      </c>
      <c r="T100" s="43">
        <v>35741</v>
      </c>
      <c r="U100" s="45">
        <v>3.71</v>
      </c>
      <c r="V100" s="43">
        <v>141834</v>
      </c>
      <c r="W100" s="43">
        <v>38209</v>
      </c>
      <c r="X100" s="45">
        <v>3.83</v>
      </c>
      <c r="Y100" s="43">
        <v>133414</v>
      </c>
      <c r="Z100" s="43">
        <v>34790</v>
      </c>
      <c r="AA100" s="45">
        <v>3.87</v>
      </c>
      <c r="AB100" s="43">
        <v>136378</v>
      </c>
      <c r="AC100" s="43">
        <v>35199</v>
      </c>
      <c r="AD100" s="46">
        <v>2.3199999999999998</v>
      </c>
      <c r="AE100" s="43">
        <v>439410</v>
      </c>
      <c r="AF100" s="43">
        <v>189608</v>
      </c>
      <c r="AG100" s="22"/>
    </row>
    <row r="101" spans="1:33" ht="10.5" customHeight="1" x14ac:dyDescent="0.15">
      <c r="A101" s="47" t="s">
        <v>109</v>
      </c>
      <c r="B101" s="37">
        <v>5</v>
      </c>
      <c r="C101" s="38">
        <v>10434</v>
      </c>
      <c r="D101" s="38">
        <v>31472</v>
      </c>
      <c r="E101" s="38">
        <v>13472</v>
      </c>
      <c r="F101" s="38">
        <v>31472</v>
      </c>
      <c r="G101" s="38">
        <v>130422</v>
      </c>
      <c r="H101" s="39">
        <v>0.10299999999999999</v>
      </c>
      <c r="I101" s="39">
        <v>0.24099999999999999</v>
      </c>
      <c r="J101" s="39">
        <v>0.24099999999999999</v>
      </c>
      <c r="K101" s="39">
        <v>0</v>
      </c>
      <c r="L101" s="39">
        <f>Tabelle12[[#This Row],[Spalte12]]-Tabelle12[[#This Row],[Spalte11]]</f>
        <v>7.0000000000000007E-2</v>
      </c>
      <c r="M101" s="39">
        <v>7.0000000000000007E-2</v>
      </c>
      <c r="N101" s="39">
        <v>8.5000000000000006E-2</v>
      </c>
      <c r="O101" s="39">
        <v>0.105</v>
      </c>
      <c r="P101" s="39">
        <v>0.13600000000000001</v>
      </c>
      <c r="Q101" s="38">
        <v>230977</v>
      </c>
      <c r="R101" s="40">
        <v>3.58</v>
      </c>
      <c r="S101" s="38">
        <v>45942</v>
      </c>
      <c r="T101" s="38">
        <v>12840</v>
      </c>
      <c r="U101" s="40">
        <v>2.41</v>
      </c>
      <c r="V101" s="38">
        <v>28144</v>
      </c>
      <c r="W101" s="38">
        <v>11673</v>
      </c>
      <c r="X101" s="40">
        <v>1.83</v>
      </c>
      <c r="Y101" s="38">
        <v>18628</v>
      </c>
      <c r="Z101" s="38">
        <v>10186</v>
      </c>
      <c r="AA101" s="40">
        <v>1.63</v>
      </c>
      <c r="AB101" s="38">
        <v>18087</v>
      </c>
      <c r="AC101" s="38">
        <v>11102</v>
      </c>
      <c r="AD101" s="41">
        <v>1.31</v>
      </c>
      <c r="AE101" s="38">
        <v>157925</v>
      </c>
      <c r="AF101" s="38">
        <v>120805</v>
      </c>
      <c r="AG101" s="22"/>
    </row>
    <row r="102" spans="1:33" ht="10.5" customHeight="1" x14ac:dyDescent="0.15">
      <c r="A102" s="48" t="s">
        <v>92</v>
      </c>
      <c r="B102" s="42">
        <v>3</v>
      </c>
      <c r="C102" s="43">
        <v>445010</v>
      </c>
      <c r="D102" s="43">
        <v>1150664</v>
      </c>
      <c r="E102" s="43">
        <v>924588</v>
      </c>
      <c r="F102" s="43">
        <v>924588</v>
      </c>
      <c r="G102" s="43">
        <v>5562622</v>
      </c>
      <c r="H102" s="44">
        <v>0.16600000000000001</v>
      </c>
      <c r="I102" s="44">
        <v>0.16600000000000001</v>
      </c>
      <c r="J102" s="44">
        <v>0.20699999999999999</v>
      </c>
      <c r="K102" s="44">
        <v>0</v>
      </c>
      <c r="L102" s="44">
        <f>Tabelle12[[#This Row],[Spalte12]]-Tabelle12[[#This Row],[Spalte11]]</f>
        <v>7.8E-2</v>
      </c>
      <c r="M102" s="44">
        <v>7.8E-2</v>
      </c>
      <c r="N102" s="44">
        <v>9.6000000000000002E-2</v>
      </c>
      <c r="O102" s="44">
        <v>0.12</v>
      </c>
      <c r="P102" s="44">
        <v>4.5999999999999999E-2</v>
      </c>
      <c r="Q102" s="43">
        <v>19933938</v>
      </c>
      <c r="R102" s="45">
        <v>1.86</v>
      </c>
      <c r="S102" s="43">
        <v>4156138</v>
      </c>
      <c r="T102" s="43">
        <v>2228726</v>
      </c>
      <c r="U102" s="45">
        <v>1.66</v>
      </c>
      <c r="V102" s="43">
        <v>4685487</v>
      </c>
      <c r="W102" s="43">
        <v>2827087</v>
      </c>
      <c r="X102" s="45">
        <v>1.98</v>
      </c>
      <c r="Y102" s="43">
        <v>4727509</v>
      </c>
      <c r="Z102" s="43">
        <v>2390883</v>
      </c>
      <c r="AA102" s="45">
        <v>1.75</v>
      </c>
      <c r="AB102" s="43">
        <v>4109384</v>
      </c>
      <c r="AC102" s="43">
        <v>2352713</v>
      </c>
      <c r="AD102" s="46">
        <v>1.38</v>
      </c>
      <c r="AE102" s="43">
        <v>10879910</v>
      </c>
      <c r="AF102" s="43">
        <v>7898010</v>
      </c>
      <c r="AG102" s="22"/>
    </row>
    <row r="103" spans="1:33" ht="10.5" customHeight="1" x14ac:dyDescent="0.15">
      <c r="A103" s="47" t="s">
        <v>71</v>
      </c>
      <c r="B103" s="37">
        <v>5</v>
      </c>
      <c r="C103" s="38">
        <v>16127</v>
      </c>
      <c r="D103" s="38">
        <v>77895</v>
      </c>
      <c r="E103" s="38">
        <v>77895</v>
      </c>
      <c r="F103" s="38">
        <v>77895</v>
      </c>
      <c r="G103" s="38">
        <v>201590</v>
      </c>
      <c r="H103" s="39">
        <v>0.38600000000000001</v>
      </c>
      <c r="I103" s="39">
        <v>0.38600000000000001</v>
      </c>
      <c r="J103" s="39">
        <v>0.38600000000000001</v>
      </c>
      <c r="K103" s="39">
        <v>0</v>
      </c>
      <c r="L103" s="39">
        <f>Tabelle12[[#This Row],[Spalte12]]-Tabelle12[[#This Row],[Spalte11]]</f>
        <v>7.0000000000000007E-2</v>
      </c>
      <c r="M103" s="39">
        <v>7.0000000000000007E-2</v>
      </c>
      <c r="N103" s="39">
        <v>8.5000000000000006E-2</v>
      </c>
      <c r="O103" s="39">
        <v>0.105</v>
      </c>
      <c r="P103" s="39">
        <v>9.4E-2</v>
      </c>
      <c r="Q103" s="38">
        <v>826742</v>
      </c>
      <c r="R103" s="40">
        <v>1.83</v>
      </c>
      <c r="S103" s="38">
        <v>107250</v>
      </c>
      <c r="T103" s="38">
        <v>58669</v>
      </c>
      <c r="U103" s="40">
        <v>2.12</v>
      </c>
      <c r="V103" s="38">
        <v>149105</v>
      </c>
      <c r="W103" s="38">
        <v>70475</v>
      </c>
      <c r="X103" s="40">
        <v>1.63</v>
      </c>
      <c r="Y103" s="38">
        <v>122637</v>
      </c>
      <c r="Z103" s="38">
        <v>75157</v>
      </c>
      <c r="AA103" s="40">
        <v>2.56</v>
      </c>
      <c r="AB103" s="38">
        <v>197786</v>
      </c>
      <c r="AC103" s="38">
        <v>77375</v>
      </c>
      <c r="AD103" s="41">
        <v>1.72</v>
      </c>
      <c r="AE103" s="38">
        <v>534384</v>
      </c>
      <c r="AF103" s="38">
        <v>311296</v>
      </c>
      <c r="AG103" s="22"/>
    </row>
    <row r="104" spans="1:33" ht="10.5" customHeight="1" x14ac:dyDescent="0.15">
      <c r="A104" s="48" t="s">
        <v>21</v>
      </c>
      <c r="B104" s="42">
        <v>4</v>
      </c>
      <c r="C104" s="43">
        <v>269172</v>
      </c>
      <c r="D104" s="43">
        <v>584045</v>
      </c>
      <c r="E104" s="43">
        <v>535326</v>
      </c>
      <c r="F104" s="43">
        <v>535326</v>
      </c>
      <c r="G104" s="43">
        <v>3364653</v>
      </c>
      <c r="H104" s="44">
        <v>0.159</v>
      </c>
      <c r="I104" s="44">
        <v>0.159</v>
      </c>
      <c r="J104" s="44">
        <v>0.17399999999999999</v>
      </c>
      <c r="K104" s="44">
        <v>1.2E-2</v>
      </c>
      <c r="L104" s="44">
        <f>Tabelle12[[#This Row],[Spalte12]]-Tabelle12[[#This Row],[Spalte11]]</f>
        <v>7.3999999999999996E-2</v>
      </c>
      <c r="M104" s="44">
        <v>8.5999999999999993E-2</v>
      </c>
      <c r="N104" s="44">
        <v>0.10199999999999999</v>
      </c>
      <c r="O104" s="44">
        <v>0.124</v>
      </c>
      <c r="P104" s="44">
        <v>7.1999999999999995E-2</v>
      </c>
      <c r="Q104" s="43">
        <v>7423822</v>
      </c>
      <c r="R104" s="45">
        <v>2.19</v>
      </c>
      <c r="S104" s="43">
        <v>1205084</v>
      </c>
      <c r="T104" s="43">
        <v>551366</v>
      </c>
      <c r="U104" s="45">
        <v>2.12</v>
      </c>
      <c r="V104" s="43">
        <v>1156435</v>
      </c>
      <c r="W104" s="43">
        <v>544849</v>
      </c>
      <c r="X104" s="45">
        <v>1.94</v>
      </c>
      <c r="Y104" s="43">
        <v>960092</v>
      </c>
      <c r="Z104" s="43">
        <v>494015</v>
      </c>
      <c r="AA104" s="45">
        <v>1.96</v>
      </c>
      <c r="AB104" s="43">
        <v>1049778</v>
      </c>
      <c r="AC104" s="43">
        <v>534403</v>
      </c>
      <c r="AD104" s="46">
        <v>1.49</v>
      </c>
      <c r="AE104" s="43">
        <v>6279663</v>
      </c>
      <c r="AF104" s="43">
        <v>4201418</v>
      </c>
      <c r="AG104" s="22"/>
    </row>
    <row r="105" spans="1:33" ht="10.5" customHeight="1" x14ac:dyDescent="0.15">
      <c r="A105" s="47" t="s">
        <v>179</v>
      </c>
      <c r="B105" s="37">
        <v>5</v>
      </c>
      <c r="C105" s="38">
        <v>8865</v>
      </c>
      <c r="D105" s="38">
        <v>24666</v>
      </c>
      <c r="E105" s="38">
        <v>24666</v>
      </c>
      <c r="F105" s="38">
        <v>24666</v>
      </c>
      <c r="G105" s="38">
        <v>110810</v>
      </c>
      <c r="H105" s="39">
        <v>0.223</v>
      </c>
      <c r="I105" s="39">
        <v>0.223</v>
      </c>
      <c r="J105" s="39">
        <v>0.223</v>
      </c>
      <c r="K105" s="39">
        <v>0</v>
      </c>
      <c r="L105" s="39">
        <f>Tabelle12[[#This Row],[Spalte12]]-Tabelle12[[#This Row],[Spalte11]]</f>
        <v>7.0000000000000007E-2</v>
      </c>
      <c r="M105" s="39">
        <v>7.0000000000000007E-2</v>
      </c>
      <c r="N105" s="39">
        <v>8.5000000000000006E-2</v>
      </c>
      <c r="O105" s="39">
        <v>0.105</v>
      </c>
      <c r="P105" s="39">
        <v>6.8000000000000005E-2</v>
      </c>
      <c r="Q105" s="38">
        <v>360651</v>
      </c>
      <c r="R105" s="40">
        <v>1.17</v>
      </c>
      <c r="S105" s="38">
        <v>287157</v>
      </c>
      <c r="T105" s="38">
        <v>244731</v>
      </c>
      <c r="U105" s="40">
        <v>1.18</v>
      </c>
      <c r="V105" s="38">
        <v>244560</v>
      </c>
      <c r="W105" s="38">
        <v>206732</v>
      </c>
      <c r="X105" s="40">
        <v>1.2</v>
      </c>
      <c r="Y105" s="38">
        <v>222813</v>
      </c>
      <c r="Z105" s="38">
        <v>185532</v>
      </c>
      <c r="AA105" s="40">
        <v>1.19</v>
      </c>
      <c r="AB105" s="38">
        <v>235552</v>
      </c>
      <c r="AC105" s="38">
        <v>198114</v>
      </c>
      <c r="AD105" s="41">
        <v>1.66</v>
      </c>
      <c r="AE105" s="38">
        <v>46894</v>
      </c>
      <c r="AF105" s="38">
        <v>28320</v>
      </c>
      <c r="AG105" s="22"/>
    </row>
    <row r="106" spans="1:33" ht="10.5" customHeight="1" x14ac:dyDescent="0.15">
      <c r="A106" s="48" t="s">
        <v>225</v>
      </c>
      <c r="B106" s="42">
        <v>5</v>
      </c>
      <c r="C106" s="43">
        <v>10780</v>
      </c>
      <c r="D106" s="43">
        <v>20310</v>
      </c>
      <c r="E106" s="43">
        <v>20310</v>
      </c>
      <c r="F106" s="43">
        <v>20310</v>
      </c>
      <c r="G106" s="43">
        <v>134746</v>
      </c>
      <c r="H106" s="44">
        <v>0.151</v>
      </c>
      <c r="I106" s="44">
        <v>0.151</v>
      </c>
      <c r="J106" s="44">
        <v>0.151</v>
      </c>
      <c r="K106" s="44">
        <v>0</v>
      </c>
      <c r="L106" s="44">
        <f>Tabelle12[[#This Row],[Spalte12]]-Tabelle12[[#This Row],[Spalte11]]</f>
        <v>7.0000000000000007E-2</v>
      </c>
      <c r="M106" s="44">
        <v>7.0000000000000007E-2</v>
      </c>
      <c r="N106" s="44">
        <v>8.5000000000000006E-2</v>
      </c>
      <c r="O106" s="44">
        <v>0.105</v>
      </c>
      <c r="P106" s="44">
        <v>5.5E-2</v>
      </c>
      <c r="Q106" s="43">
        <v>366114</v>
      </c>
      <c r="R106" s="54" t="s">
        <v>209</v>
      </c>
      <c r="S106" s="54" t="s">
        <v>209</v>
      </c>
      <c r="T106" s="54" t="s">
        <v>209</v>
      </c>
      <c r="U106" s="54" t="s">
        <v>209</v>
      </c>
      <c r="V106" s="54" t="s">
        <v>209</v>
      </c>
      <c r="W106" s="54" t="s">
        <v>209</v>
      </c>
      <c r="X106" s="54" t="s">
        <v>209</v>
      </c>
      <c r="Y106" s="54" t="s">
        <v>209</v>
      </c>
      <c r="Z106" s="54" t="s">
        <v>209</v>
      </c>
      <c r="AA106" s="54" t="s">
        <v>209</v>
      </c>
      <c r="AB106" s="54" t="s">
        <v>209</v>
      </c>
      <c r="AC106" s="54" t="s">
        <v>209</v>
      </c>
      <c r="AD106" s="54" t="s">
        <v>209</v>
      </c>
      <c r="AE106" s="54" t="s">
        <v>209</v>
      </c>
      <c r="AF106" s="54" t="s">
        <v>209</v>
      </c>
      <c r="AG106" s="22"/>
    </row>
    <row r="107" spans="1:33" ht="10.5" customHeight="1" x14ac:dyDescent="0.15">
      <c r="A107" s="47" t="s">
        <v>216</v>
      </c>
      <c r="B107" s="37">
        <v>5</v>
      </c>
      <c r="C107" s="38">
        <v>4498</v>
      </c>
      <c r="D107" s="38">
        <v>6635</v>
      </c>
      <c r="E107" s="38">
        <v>6635</v>
      </c>
      <c r="F107" s="38">
        <v>6635</v>
      </c>
      <c r="G107" s="38">
        <v>56227</v>
      </c>
      <c r="H107" s="39">
        <v>0.11799999999999999</v>
      </c>
      <c r="I107" s="39">
        <v>0.11799999999999999</v>
      </c>
      <c r="J107" s="39">
        <v>0.11799999999999999</v>
      </c>
      <c r="K107" s="39">
        <v>0</v>
      </c>
      <c r="L107" s="39">
        <f>Tabelle12[[#This Row],[Spalte12]]-Tabelle12[[#This Row],[Spalte11]]</f>
        <v>7.0000000000000007E-2</v>
      </c>
      <c r="M107" s="39">
        <v>7.0000000000000007E-2</v>
      </c>
      <c r="N107" s="39">
        <v>8.5000000000000006E-2</v>
      </c>
      <c r="O107" s="39">
        <v>0.105</v>
      </c>
      <c r="P107" s="39">
        <v>4.7E-2</v>
      </c>
      <c r="Q107" s="38">
        <v>142078</v>
      </c>
      <c r="R107" s="40">
        <v>1.1399999999999999</v>
      </c>
      <c r="S107" s="38">
        <v>114957</v>
      </c>
      <c r="T107" s="38">
        <v>101268</v>
      </c>
      <c r="U107" s="40">
        <v>1.1499999999999999</v>
      </c>
      <c r="V107" s="38">
        <v>112289</v>
      </c>
      <c r="W107" s="38">
        <v>97818</v>
      </c>
      <c r="X107" s="40">
        <v>1.1299999999999999</v>
      </c>
      <c r="Y107" s="38">
        <v>119400</v>
      </c>
      <c r="Z107" s="38">
        <v>105605</v>
      </c>
      <c r="AA107" s="40">
        <v>1.1299999999999999</v>
      </c>
      <c r="AB107" s="38">
        <v>107623</v>
      </c>
      <c r="AC107" s="38">
        <v>94873</v>
      </c>
      <c r="AD107" s="41">
        <v>1.65</v>
      </c>
      <c r="AE107" s="38">
        <v>31714</v>
      </c>
      <c r="AF107" s="38">
        <v>19271</v>
      </c>
      <c r="AG107" s="22"/>
    </row>
    <row r="108" spans="1:33" ht="10.5" customHeight="1" x14ac:dyDescent="0.15">
      <c r="A108" s="48" t="s">
        <v>217</v>
      </c>
      <c r="B108" s="42">
        <v>5</v>
      </c>
      <c r="C108" s="43">
        <v>4533</v>
      </c>
      <c r="D108" s="43">
        <v>6623</v>
      </c>
      <c r="E108" s="43">
        <v>6623</v>
      </c>
      <c r="F108" s="43">
        <v>6623</v>
      </c>
      <c r="G108" s="43">
        <v>56663</v>
      </c>
      <c r="H108" s="44">
        <v>0.11700000000000001</v>
      </c>
      <c r="I108" s="44">
        <v>0.11700000000000001</v>
      </c>
      <c r="J108" s="44">
        <v>0.11700000000000001</v>
      </c>
      <c r="K108" s="44">
        <v>0</v>
      </c>
      <c r="L108" s="44">
        <f>Tabelle12[[#This Row],[Spalte12]]-Tabelle12[[#This Row],[Spalte11]]</f>
        <v>7.0000000000000007E-2</v>
      </c>
      <c r="M108" s="44">
        <v>7.0000000000000007E-2</v>
      </c>
      <c r="N108" s="44">
        <v>8.5000000000000006E-2</v>
      </c>
      <c r="O108" s="44">
        <v>0.105</v>
      </c>
      <c r="P108" s="44">
        <v>4.5999999999999999E-2</v>
      </c>
      <c r="Q108" s="43">
        <v>143023</v>
      </c>
      <c r="R108" s="45">
        <v>1.1200000000000001</v>
      </c>
      <c r="S108" s="43">
        <v>114957</v>
      </c>
      <c r="T108" s="43">
        <v>102874</v>
      </c>
      <c r="U108" s="45">
        <v>1.1100000000000001</v>
      </c>
      <c r="V108" s="43">
        <v>110241</v>
      </c>
      <c r="W108" s="43">
        <v>99417</v>
      </c>
      <c r="X108" s="45">
        <v>1.1100000000000001</v>
      </c>
      <c r="Y108" s="43">
        <v>119400</v>
      </c>
      <c r="Z108" s="43">
        <v>107174</v>
      </c>
      <c r="AA108" s="45">
        <v>1.1100000000000001</v>
      </c>
      <c r="AB108" s="43">
        <v>107623</v>
      </c>
      <c r="AC108" s="43">
        <v>96535</v>
      </c>
      <c r="AD108" s="46">
        <v>1.66</v>
      </c>
      <c r="AE108" s="43">
        <v>28144</v>
      </c>
      <c r="AF108" s="43">
        <v>17000</v>
      </c>
      <c r="AG108" s="22"/>
    </row>
    <row r="109" spans="1:33" ht="10.5" customHeight="1" x14ac:dyDescent="0.15">
      <c r="A109" s="47" t="s">
        <v>96</v>
      </c>
      <c r="B109" s="37">
        <v>3</v>
      </c>
      <c r="C109" s="38">
        <v>1090125</v>
      </c>
      <c r="D109" s="38">
        <v>5892205</v>
      </c>
      <c r="E109" s="38">
        <v>5821509</v>
      </c>
      <c r="F109" s="38">
        <v>5821509</v>
      </c>
      <c r="G109" s="38">
        <v>13626564</v>
      </c>
      <c r="H109" s="39">
        <v>0.42699999999999999</v>
      </c>
      <c r="I109" s="39">
        <v>0.42699999999999999</v>
      </c>
      <c r="J109" s="39">
        <v>0.432</v>
      </c>
      <c r="K109" s="39">
        <v>0</v>
      </c>
      <c r="L109" s="39">
        <f>Tabelle12[[#This Row],[Spalte12]]-Tabelle12[[#This Row],[Spalte11]]</f>
        <v>7.8E-2</v>
      </c>
      <c r="M109" s="39">
        <v>7.8E-2</v>
      </c>
      <c r="N109" s="39">
        <v>9.6000000000000002E-2</v>
      </c>
      <c r="O109" s="39">
        <v>0.12</v>
      </c>
      <c r="P109" s="39">
        <v>0.123</v>
      </c>
      <c r="Q109" s="38">
        <v>47506735</v>
      </c>
      <c r="R109" s="40">
        <v>2.72</v>
      </c>
      <c r="S109" s="38">
        <v>21095762</v>
      </c>
      <c r="T109" s="38">
        <v>7751291</v>
      </c>
      <c r="U109" s="40">
        <v>2.79</v>
      </c>
      <c r="V109" s="38">
        <v>19316720</v>
      </c>
      <c r="W109" s="38">
        <v>6919704</v>
      </c>
      <c r="X109" s="40">
        <v>2.31</v>
      </c>
      <c r="Y109" s="38">
        <v>18624668</v>
      </c>
      <c r="Z109" s="38">
        <v>8075054</v>
      </c>
      <c r="AA109" s="40">
        <v>2.4</v>
      </c>
      <c r="AB109" s="38">
        <v>18932199</v>
      </c>
      <c r="AC109" s="38">
        <v>7893348</v>
      </c>
      <c r="AD109" s="41">
        <v>2.06</v>
      </c>
      <c r="AE109" s="38">
        <v>26647361</v>
      </c>
      <c r="AF109" s="38">
        <v>12953274</v>
      </c>
      <c r="AG109" s="22"/>
    </row>
    <row r="110" spans="1:33" ht="10.5" customHeight="1" x14ac:dyDescent="0.15">
      <c r="A110" s="48" t="s">
        <v>42</v>
      </c>
      <c r="B110" s="42">
        <v>4</v>
      </c>
      <c r="C110" s="43">
        <v>344126</v>
      </c>
      <c r="D110" s="43">
        <v>1063392</v>
      </c>
      <c r="E110" s="43">
        <v>1063392</v>
      </c>
      <c r="F110" s="43">
        <v>1063392</v>
      </c>
      <c r="G110" s="43">
        <v>4301576</v>
      </c>
      <c r="H110" s="44">
        <v>0.247</v>
      </c>
      <c r="I110" s="44">
        <v>0.247</v>
      </c>
      <c r="J110" s="44">
        <v>0.247</v>
      </c>
      <c r="K110" s="44">
        <v>0</v>
      </c>
      <c r="L110" s="44">
        <f>Tabelle12[[#This Row],[Spalte12]]-Tabelle12[[#This Row],[Spalte11]]</f>
        <v>7.3999999999999996E-2</v>
      </c>
      <c r="M110" s="44">
        <v>7.3999999999999996E-2</v>
      </c>
      <c r="N110" s="44">
        <v>0.09</v>
      </c>
      <c r="O110" s="44">
        <v>0.112</v>
      </c>
      <c r="P110" s="44">
        <v>9.2999999999999999E-2</v>
      </c>
      <c r="Q110" s="43">
        <v>11463061</v>
      </c>
      <c r="R110" s="45">
        <v>2.86</v>
      </c>
      <c r="S110" s="43">
        <v>1256017</v>
      </c>
      <c r="T110" s="43">
        <v>439695</v>
      </c>
      <c r="U110" s="45">
        <v>2.63</v>
      </c>
      <c r="V110" s="43">
        <v>1258527</v>
      </c>
      <c r="W110" s="43">
        <v>478995</v>
      </c>
      <c r="X110" s="45">
        <v>3.31</v>
      </c>
      <c r="Y110" s="43">
        <v>1121183</v>
      </c>
      <c r="Z110" s="43">
        <v>339061</v>
      </c>
      <c r="AA110" s="45">
        <v>3.44</v>
      </c>
      <c r="AB110" s="43">
        <v>1048760</v>
      </c>
      <c r="AC110" s="43">
        <v>305293</v>
      </c>
      <c r="AD110" s="46">
        <v>1.17</v>
      </c>
      <c r="AE110" s="43">
        <v>5062844</v>
      </c>
      <c r="AF110" s="43">
        <v>4340665</v>
      </c>
      <c r="AG110" s="22"/>
    </row>
    <row r="111" spans="1:33" ht="10.5" customHeight="1" x14ac:dyDescent="0.15">
      <c r="A111" s="47" t="s">
        <v>115</v>
      </c>
      <c r="B111" s="37">
        <v>3</v>
      </c>
      <c r="C111" s="38">
        <v>1615689</v>
      </c>
      <c r="D111" s="38">
        <v>5326551</v>
      </c>
      <c r="E111" s="38">
        <v>3588951</v>
      </c>
      <c r="F111" s="38">
        <v>5256295</v>
      </c>
      <c r="G111" s="38">
        <v>20196114</v>
      </c>
      <c r="H111" s="39">
        <v>0.17799999999999999</v>
      </c>
      <c r="I111" s="39">
        <v>0.26</v>
      </c>
      <c r="J111" s="39">
        <v>0.26400000000000001</v>
      </c>
      <c r="K111" s="39">
        <v>2E-3</v>
      </c>
      <c r="L111" s="39">
        <f>Tabelle12[[#This Row],[Spalte12]]-Tabelle12[[#This Row],[Spalte11]]</f>
        <v>7.8E-2</v>
      </c>
      <c r="M111" s="39">
        <v>0.08</v>
      </c>
      <c r="N111" s="39">
        <v>9.8000000000000004E-2</v>
      </c>
      <c r="O111" s="39">
        <v>0.122</v>
      </c>
      <c r="P111" s="39">
        <v>4.9000000000000002E-2</v>
      </c>
      <c r="Q111" s="38">
        <v>107116239</v>
      </c>
      <c r="R111" s="40">
        <v>2.88</v>
      </c>
      <c r="S111" s="38">
        <v>20434261</v>
      </c>
      <c r="T111" s="38">
        <v>7091801</v>
      </c>
      <c r="U111" s="40">
        <v>3.16</v>
      </c>
      <c r="V111" s="38">
        <v>22016907</v>
      </c>
      <c r="W111" s="38">
        <v>6964517</v>
      </c>
      <c r="X111" s="40">
        <v>2.84</v>
      </c>
      <c r="Y111" s="38">
        <v>21268095</v>
      </c>
      <c r="Z111" s="38">
        <v>7499206</v>
      </c>
      <c r="AA111" s="40">
        <v>2.81</v>
      </c>
      <c r="AB111" s="38">
        <v>20399758</v>
      </c>
      <c r="AC111" s="38">
        <v>7247353</v>
      </c>
      <c r="AD111" s="41">
        <v>1.48</v>
      </c>
      <c r="AE111" s="38">
        <v>64712496</v>
      </c>
      <c r="AF111" s="38">
        <v>43775599</v>
      </c>
      <c r="AG111" s="22"/>
    </row>
    <row r="112" spans="1:33" ht="10.5" customHeight="1" x14ac:dyDescent="0.15">
      <c r="A112" s="48" t="s">
        <v>180</v>
      </c>
      <c r="B112" s="42">
        <v>5</v>
      </c>
      <c r="C112" s="43">
        <v>3662</v>
      </c>
      <c r="D112" s="43">
        <v>10936</v>
      </c>
      <c r="E112" s="43">
        <v>10936</v>
      </c>
      <c r="F112" s="43">
        <v>10936</v>
      </c>
      <c r="G112" s="43">
        <v>45775</v>
      </c>
      <c r="H112" s="44">
        <v>0.23899999999999999</v>
      </c>
      <c r="I112" s="44">
        <v>0.23899999999999999</v>
      </c>
      <c r="J112" s="44">
        <v>0.23899999999999999</v>
      </c>
      <c r="K112" s="44">
        <v>4.0000000000000001E-3</v>
      </c>
      <c r="L112" s="44">
        <f>Tabelle12[[#This Row],[Spalte12]]-Tabelle12[[#This Row],[Spalte11]]</f>
        <v>6.9999999999999993E-2</v>
      </c>
      <c r="M112" s="44">
        <v>7.3999999999999996E-2</v>
      </c>
      <c r="N112" s="44">
        <v>8.8999999999999996E-2</v>
      </c>
      <c r="O112" s="44">
        <v>0.109</v>
      </c>
      <c r="P112" s="44">
        <v>7.3999999999999996E-2</v>
      </c>
      <c r="Q112" s="43">
        <v>147905</v>
      </c>
      <c r="R112" s="45">
        <v>1.3</v>
      </c>
      <c r="S112" s="43">
        <v>29880</v>
      </c>
      <c r="T112" s="43">
        <v>23030</v>
      </c>
      <c r="U112" s="45">
        <v>1.53</v>
      </c>
      <c r="V112" s="43">
        <v>29545</v>
      </c>
      <c r="W112" s="43">
        <v>19257</v>
      </c>
      <c r="X112" s="45">
        <v>2.4</v>
      </c>
      <c r="Y112" s="43">
        <v>31677</v>
      </c>
      <c r="Z112" s="43">
        <v>13204</v>
      </c>
      <c r="AA112" s="45">
        <v>2.4300000000000002</v>
      </c>
      <c r="AB112" s="43">
        <v>28372</v>
      </c>
      <c r="AC112" s="43">
        <v>11680</v>
      </c>
      <c r="AD112" s="46">
        <v>2.14</v>
      </c>
      <c r="AE112" s="43">
        <v>87492</v>
      </c>
      <c r="AF112" s="43">
        <v>40967</v>
      </c>
      <c r="AG112" s="22"/>
    </row>
    <row r="113" spans="1:33" ht="10.5" customHeight="1" x14ac:dyDescent="0.15">
      <c r="A113" s="47" t="s">
        <v>101</v>
      </c>
      <c r="B113" s="37">
        <v>4</v>
      </c>
      <c r="C113" s="38">
        <v>193928</v>
      </c>
      <c r="D113" s="38">
        <v>684283</v>
      </c>
      <c r="E113" s="38">
        <v>684283</v>
      </c>
      <c r="F113" s="38">
        <v>684283</v>
      </c>
      <c r="G113" s="38">
        <v>2424102</v>
      </c>
      <c r="H113" s="39">
        <v>0.28199999999999997</v>
      </c>
      <c r="I113" s="39">
        <v>0.28199999999999997</v>
      </c>
      <c r="J113" s="39">
        <v>0.28199999999999997</v>
      </c>
      <c r="K113" s="39">
        <v>6.0000000000000001E-3</v>
      </c>
      <c r="L113" s="39">
        <f>Tabelle12[[#This Row],[Spalte12]]-Tabelle12[[#This Row],[Spalte11]]</f>
        <v>7.3999999999999996E-2</v>
      </c>
      <c r="M113" s="39">
        <v>0.08</v>
      </c>
      <c r="N113" s="39">
        <v>9.6000000000000002E-2</v>
      </c>
      <c r="O113" s="39">
        <v>0.11799999999999999</v>
      </c>
      <c r="P113" s="39">
        <v>9.6000000000000002E-2</v>
      </c>
      <c r="Q113" s="38">
        <v>7104676</v>
      </c>
      <c r="R113" s="40">
        <v>3.42</v>
      </c>
      <c r="S113" s="38">
        <v>1036692</v>
      </c>
      <c r="T113" s="38">
        <v>303447</v>
      </c>
      <c r="U113" s="40">
        <v>3.54</v>
      </c>
      <c r="V113" s="38">
        <v>1011334</v>
      </c>
      <c r="W113" s="38">
        <v>285458</v>
      </c>
      <c r="X113" s="40">
        <v>3.52</v>
      </c>
      <c r="Y113" s="38">
        <v>1003188</v>
      </c>
      <c r="Z113" s="38">
        <v>284819</v>
      </c>
      <c r="AA113" s="40">
        <v>3.52</v>
      </c>
      <c r="AB113" s="38">
        <v>1017353</v>
      </c>
      <c r="AC113" s="38">
        <v>289262</v>
      </c>
      <c r="AD113" s="41">
        <v>1.75</v>
      </c>
      <c r="AE113" s="38">
        <v>4542880</v>
      </c>
      <c r="AF113" s="38">
        <v>2592689</v>
      </c>
      <c r="AG113" s="22"/>
    </row>
    <row r="114" spans="1:33" ht="10.5" customHeight="1" x14ac:dyDescent="0.15">
      <c r="A114" s="48" t="s">
        <v>36</v>
      </c>
      <c r="B114" s="42">
        <v>4</v>
      </c>
      <c r="C114" s="43">
        <v>55737</v>
      </c>
      <c r="D114" s="43">
        <v>180152</v>
      </c>
      <c r="E114" s="43">
        <v>180152</v>
      </c>
      <c r="F114" s="43">
        <v>180152</v>
      </c>
      <c r="G114" s="43">
        <v>696717</v>
      </c>
      <c r="H114" s="44">
        <v>0.25900000000000001</v>
      </c>
      <c r="I114" s="44">
        <v>0.25900000000000001</v>
      </c>
      <c r="J114" s="44">
        <v>0.25900000000000001</v>
      </c>
      <c r="K114" s="44">
        <v>0.01</v>
      </c>
      <c r="L114" s="44">
        <f>Tabelle12[[#This Row],[Spalte12]]-Tabelle12[[#This Row],[Spalte11]]</f>
        <v>7.400000000000001E-2</v>
      </c>
      <c r="M114" s="44">
        <v>8.4000000000000005E-2</v>
      </c>
      <c r="N114" s="44">
        <v>0.1</v>
      </c>
      <c r="O114" s="44">
        <v>0.122</v>
      </c>
      <c r="P114" s="44">
        <v>0.127</v>
      </c>
      <c r="Q114" s="43">
        <v>1417196</v>
      </c>
      <c r="R114" s="45">
        <v>1.61</v>
      </c>
      <c r="S114" s="43">
        <v>265597</v>
      </c>
      <c r="T114" s="43">
        <v>164662</v>
      </c>
      <c r="U114" s="45">
        <v>2.0499999999999998</v>
      </c>
      <c r="V114" s="43">
        <v>338410</v>
      </c>
      <c r="W114" s="43">
        <v>164780</v>
      </c>
      <c r="X114" s="45">
        <v>1.6</v>
      </c>
      <c r="Y114" s="43">
        <v>278571</v>
      </c>
      <c r="Z114" s="43">
        <v>174551</v>
      </c>
      <c r="AA114" s="45">
        <v>1.5</v>
      </c>
      <c r="AB114" s="43">
        <v>253433</v>
      </c>
      <c r="AC114" s="43">
        <v>168552</v>
      </c>
      <c r="AD114" s="46">
        <v>1.45</v>
      </c>
      <c r="AE114" s="43">
        <v>1095967</v>
      </c>
      <c r="AF114" s="43">
        <v>756876</v>
      </c>
      <c r="AG114" s="22"/>
    </row>
    <row r="115" spans="1:33" ht="10.5" customHeight="1" x14ac:dyDescent="0.15">
      <c r="A115" s="47" t="s">
        <v>218</v>
      </c>
      <c r="B115" s="37">
        <v>4</v>
      </c>
      <c r="C115" s="38">
        <v>317190</v>
      </c>
      <c r="D115" s="38">
        <v>637771</v>
      </c>
      <c r="E115" s="38">
        <v>637771</v>
      </c>
      <c r="F115" s="38">
        <v>637771</v>
      </c>
      <c r="G115" s="38">
        <v>3964876</v>
      </c>
      <c r="H115" s="39">
        <v>0.161</v>
      </c>
      <c r="I115" s="39">
        <v>0.161</v>
      </c>
      <c r="J115" s="39">
        <v>0.161</v>
      </c>
      <c r="K115" s="39">
        <v>1.2999999999999999E-2</v>
      </c>
      <c r="L115" s="39">
        <f>Tabelle12[[#This Row],[Spalte12]]-Tabelle12[[#This Row],[Spalte11]]</f>
        <v>7.3999999999999996E-2</v>
      </c>
      <c r="M115" s="39">
        <v>8.6999999999999994E-2</v>
      </c>
      <c r="N115" s="39">
        <v>0.10299999999999999</v>
      </c>
      <c r="O115" s="39">
        <v>0.125</v>
      </c>
      <c r="P115" s="39">
        <v>6.8000000000000005E-2</v>
      </c>
      <c r="Q115" s="38">
        <v>9359268</v>
      </c>
      <c r="R115" s="40">
        <v>1.37</v>
      </c>
      <c r="S115" s="38">
        <v>1390570</v>
      </c>
      <c r="T115" s="38">
        <v>1015717</v>
      </c>
      <c r="U115" s="40">
        <v>1.32</v>
      </c>
      <c r="V115" s="38">
        <v>1320702</v>
      </c>
      <c r="W115" s="38">
        <v>1002813</v>
      </c>
      <c r="X115" s="40">
        <v>1.28</v>
      </c>
      <c r="Y115" s="38">
        <v>1237173</v>
      </c>
      <c r="Z115" s="38">
        <v>969400</v>
      </c>
      <c r="AA115" s="40">
        <v>1.75</v>
      </c>
      <c r="AB115" s="38">
        <v>1442413</v>
      </c>
      <c r="AC115" s="38">
        <v>826515</v>
      </c>
      <c r="AD115" s="41">
        <v>1.21</v>
      </c>
      <c r="AE115" s="38">
        <v>6999479</v>
      </c>
      <c r="AF115" s="38">
        <v>5771924</v>
      </c>
      <c r="AG115" s="22"/>
    </row>
    <row r="116" spans="1:33" ht="10.5" customHeight="1" x14ac:dyDescent="0.15">
      <c r="A116" s="48" t="s">
        <v>14</v>
      </c>
      <c r="B116" s="42">
        <v>3</v>
      </c>
      <c r="C116" s="43">
        <v>2256679</v>
      </c>
      <c r="D116" s="43">
        <v>5210327</v>
      </c>
      <c r="E116" s="43">
        <v>3917026</v>
      </c>
      <c r="F116" s="43">
        <v>4727026</v>
      </c>
      <c r="G116" s="43">
        <v>28208483</v>
      </c>
      <c r="H116" s="44">
        <v>0.13900000000000001</v>
      </c>
      <c r="I116" s="44">
        <v>0.16800000000000001</v>
      </c>
      <c r="J116" s="44">
        <v>0.185</v>
      </c>
      <c r="K116" s="44">
        <v>0.01</v>
      </c>
      <c r="L116" s="44">
        <f>Tabelle12[[#This Row],[Spalte12]]-Tabelle12[[#This Row],[Spalte11]]</f>
        <v>7.8E-2</v>
      </c>
      <c r="M116" s="44">
        <v>8.7999999999999995E-2</v>
      </c>
      <c r="N116" s="44">
        <v>0.106</v>
      </c>
      <c r="O116" s="44">
        <v>0.13</v>
      </c>
      <c r="P116" s="44">
        <v>7.6999999999999999E-2</v>
      </c>
      <c r="Q116" s="43">
        <v>61767885</v>
      </c>
      <c r="R116" s="45">
        <v>1.8</v>
      </c>
      <c r="S116" s="43">
        <v>8590658</v>
      </c>
      <c r="T116" s="43">
        <v>4777515</v>
      </c>
      <c r="U116" s="45">
        <v>1.43</v>
      </c>
      <c r="V116" s="43">
        <v>7813279</v>
      </c>
      <c r="W116" s="43">
        <v>5470439</v>
      </c>
      <c r="X116" s="45">
        <v>1.38</v>
      </c>
      <c r="Y116" s="43">
        <v>7757833</v>
      </c>
      <c r="Z116" s="43">
        <v>5603864</v>
      </c>
      <c r="AA116" s="45">
        <v>1.48</v>
      </c>
      <c r="AB116" s="43">
        <v>7668196</v>
      </c>
      <c r="AC116" s="43">
        <v>5165744</v>
      </c>
      <c r="AD116" s="46">
        <v>1.27</v>
      </c>
      <c r="AE116" s="43">
        <v>41315521</v>
      </c>
      <c r="AF116" s="43">
        <v>32658221</v>
      </c>
      <c r="AG116" s="22"/>
    </row>
    <row r="117" spans="1:33" ht="10.5" customHeight="1" x14ac:dyDescent="0.15">
      <c r="A117" s="47" t="s">
        <v>198</v>
      </c>
      <c r="B117" s="37">
        <v>5</v>
      </c>
      <c r="C117" s="38">
        <v>23857</v>
      </c>
      <c r="D117" s="38">
        <v>93405</v>
      </c>
      <c r="E117" s="38">
        <v>67295</v>
      </c>
      <c r="F117" s="38">
        <v>83295</v>
      </c>
      <c r="G117" s="38">
        <v>298214</v>
      </c>
      <c r="H117" s="39">
        <v>0.22600000000000001</v>
      </c>
      <c r="I117" s="39">
        <v>0.27900000000000003</v>
      </c>
      <c r="J117" s="39">
        <v>0.313</v>
      </c>
      <c r="K117" s="39">
        <v>4.0000000000000001E-3</v>
      </c>
      <c r="L117" s="39">
        <f>Tabelle12[[#This Row],[Spalte12]]-Tabelle12[[#This Row],[Spalte11]]</f>
        <v>6.9999999999999993E-2</v>
      </c>
      <c r="M117" s="39">
        <v>7.3999999999999996E-2</v>
      </c>
      <c r="N117" s="39">
        <v>8.8999999999999996E-2</v>
      </c>
      <c r="O117" s="39">
        <v>0.109</v>
      </c>
      <c r="P117" s="39">
        <v>8.7999999999999995E-2</v>
      </c>
      <c r="Q117" s="38">
        <v>942761</v>
      </c>
      <c r="R117" s="40">
        <v>2.38</v>
      </c>
      <c r="S117" s="38">
        <v>389567</v>
      </c>
      <c r="T117" s="38">
        <v>163554</v>
      </c>
      <c r="U117" s="40">
        <v>2.8</v>
      </c>
      <c r="V117" s="38">
        <v>426935</v>
      </c>
      <c r="W117" s="38">
        <v>152696</v>
      </c>
      <c r="X117" s="40">
        <v>2.77</v>
      </c>
      <c r="Y117" s="38">
        <v>412207</v>
      </c>
      <c r="Z117" s="38">
        <v>148614</v>
      </c>
      <c r="AA117" s="40">
        <v>4.58</v>
      </c>
      <c r="AB117" s="38">
        <v>420639</v>
      </c>
      <c r="AC117" s="38">
        <v>91757</v>
      </c>
      <c r="AD117" s="41">
        <v>2.59</v>
      </c>
      <c r="AE117" s="38">
        <v>644611</v>
      </c>
      <c r="AF117" s="38">
        <v>249360</v>
      </c>
      <c r="AG117" s="22"/>
    </row>
    <row r="118" spans="1:33" ht="10.5" customHeight="1" x14ac:dyDescent="0.15">
      <c r="A118" s="48" t="s">
        <v>219</v>
      </c>
      <c r="B118" s="42">
        <v>5</v>
      </c>
      <c r="C118" s="43">
        <v>11879</v>
      </c>
      <c r="D118" s="43">
        <v>62592</v>
      </c>
      <c r="E118" s="43">
        <v>61806</v>
      </c>
      <c r="F118" s="43">
        <v>61806</v>
      </c>
      <c r="G118" s="43">
        <v>148482</v>
      </c>
      <c r="H118" s="44">
        <v>0.41599999999999998</v>
      </c>
      <c r="I118" s="44">
        <v>0.41599999999999998</v>
      </c>
      <c r="J118" s="44">
        <v>0.42199999999999999</v>
      </c>
      <c r="K118" s="44">
        <v>0</v>
      </c>
      <c r="L118" s="44">
        <f>Tabelle12[[#This Row],[Spalte12]]-Tabelle12[[#This Row],[Spalte11]]</f>
        <v>7.0000000000000007E-2</v>
      </c>
      <c r="M118" s="44">
        <v>7.0000000000000007E-2</v>
      </c>
      <c r="N118" s="44">
        <v>8.5000000000000006E-2</v>
      </c>
      <c r="O118" s="44">
        <v>0.105</v>
      </c>
      <c r="P118" s="44">
        <v>8.8999999999999996E-2</v>
      </c>
      <c r="Q118" s="43">
        <v>691108</v>
      </c>
      <c r="R118" s="45">
        <v>3.04</v>
      </c>
      <c r="S118" s="43">
        <v>363787</v>
      </c>
      <c r="T118" s="43">
        <v>119832</v>
      </c>
      <c r="U118" s="45">
        <v>2.35</v>
      </c>
      <c r="V118" s="43">
        <v>538081</v>
      </c>
      <c r="W118" s="43">
        <v>228630</v>
      </c>
      <c r="X118" s="45">
        <v>3.46</v>
      </c>
      <c r="Y118" s="43">
        <v>582069</v>
      </c>
      <c r="Z118" s="43">
        <v>168234</v>
      </c>
      <c r="AA118" s="45">
        <v>6.35</v>
      </c>
      <c r="AB118" s="43">
        <v>434027</v>
      </c>
      <c r="AC118" s="43">
        <v>68331</v>
      </c>
      <c r="AD118" s="46">
        <v>3.91</v>
      </c>
      <c r="AE118" s="43">
        <v>383134</v>
      </c>
      <c r="AF118" s="43">
        <v>97945</v>
      </c>
      <c r="AG118" s="22"/>
    </row>
    <row r="119" spans="1:33" ht="10.5" customHeight="1" x14ac:dyDescent="0.15">
      <c r="A119" s="47" t="s">
        <v>58</v>
      </c>
      <c r="B119" s="37">
        <v>5</v>
      </c>
      <c r="C119" s="38">
        <v>5670</v>
      </c>
      <c r="D119" s="38">
        <v>33631</v>
      </c>
      <c r="E119" s="38">
        <v>33631</v>
      </c>
      <c r="F119" s="38">
        <v>33631</v>
      </c>
      <c r="G119" s="38">
        <v>70878</v>
      </c>
      <c r="H119" s="39">
        <v>0.47399999999999998</v>
      </c>
      <c r="I119" s="39">
        <v>0.47399999999999998</v>
      </c>
      <c r="J119" s="39">
        <v>0.47399999999999998</v>
      </c>
      <c r="K119" s="39">
        <v>0</v>
      </c>
      <c r="L119" s="39">
        <f>Tabelle12[[#This Row],[Spalte12]]-Tabelle12[[#This Row],[Spalte11]]</f>
        <v>7.0000000000000007E-2</v>
      </c>
      <c r="M119" s="39">
        <v>7.0000000000000007E-2</v>
      </c>
      <c r="N119" s="39">
        <v>8.5000000000000006E-2</v>
      </c>
      <c r="O119" s="39">
        <v>0.105</v>
      </c>
      <c r="P119" s="39">
        <v>0.19500000000000001</v>
      </c>
      <c r="Q119" s="38">
        <v>172309</v>
      </c>
      <c r="R119" s="40">
        <v>1.39</v>
      </c>
      <c r="S119" s="38">
        <v>34711</v>
      </c>
      <c r="T119" s="38">
        <v>25019</v>
      </c>
      <c r="U119" s="40">
        <v>1.52</v>
      </c>
      <c r="V119" s="38">
        <v>26621</v>
      </c>
      <c r="W119" s="38">
        <v>17485</v>
      </c>
      <c r="X119" s="40">
        <v>1.51</v>
      </c>
      <c r="Y119" s="38">
        <v>25086</v>
      </c>
      <c r="Z119" s="38">
        <v>16600</v>
      </c>
      <c r="AA119" s="40">
        <v>1.52</v>
      </c>
      <c r="AB119" s="38">
        <v>31566</v>
      </c>
      <c r="AC119" s="38">
        <v>20776</v>
      </c>
      <c r="AD119" s="41">
        <v>1.54</v>
      </c>
      <c r="AE119" s="38">
        <v>131350</v>
      </c>
      <c r="AF119" s="38">
        <v>85246</v>
      </c>
      <c r="AG119" s="22"/>
    </row>
    <row r="120" spans="1:33" ht="10.5" customHeight="1" x14ac:dyDescent="0.15">
      <c r="A120" s="48" t="s">
        <v>60</v>
      </c>
      <c r="B120" s="42">
        <v>3</v>
      </c>
      <c r="C120" s="43">
        <v>1973833</v>
      </c>
      <c r="D120" s="43">
        <v>5171175</v>
      </c>
      <c r="E120" s="43">
        <v>5171175</v>
      </c>
      <c r="F120" s="43">
        <v>5171175</v>
      </c>
      <c r="G120" s="43">
        <v>24672909</v>
      </c>
      <c r="H120" s="44">
        <v>0.21</v>
      </c>
      <c r="I120" s="44">
        <v>0.21</v>
      </c>
      <c r="J120" s="44">
        <v>0.21</v>
      </c>
      <c r="K120" s="44">
        <v>1.7000000000000001E-2</v>
      </c>
      <c r="L120" s="44">
        <f>Tabelle12[[#This Row],[Spalte12]]-Tabelle12[[#This Row],[Spalte11]]</f>
        <v>7.8E-2</v>
      </c>
      <c r="M120" s="44">
        <v>9.5000000000000001E-2</v>
      </c>
      <c r="N120" s="44">
        <v>0.113</v>
      </c>
      <c r="O120" s="44">
        <v>0.13700000000000001</v>
      </c>
      <c r="P120" s="44">
        <v>8.3000000000000004E-2</v>
      </c>
      <c r="Q120" s="43">
        <v>62066355</v>
      </c>
      <c r="R120" s="45">
        <v>1.35</v>
      </c>
      <c r="S120" s="43">
        <v>6905874</v>
      </c>
      <c r="T120" s="43">
        <v>5110054</v>
      </c>
      <c r="U120" s="45">
        <v>1.39</v>
      </c>
      <c r="V120" s="43">
        <v>7426847</v>
      </c>
      <c r="W120" s="43">
        <v>5341233</v>
      </c>
      <c r="X120" s="45">
        <v>1.48</v>
      </c>
      <c r="Y120" s="43">
        <v>7493011</v>
      </c>
      <c r="Z120" s="43">
        <v>5077491</v>
      </c>
      <c r="AA120" s="45">
        <v>1.47</v>
      </c>
      <c r="AB120" s="43">
        <v>7889100</v>
      </c>
      <c r="AC120" s="43">
        <v>5384444</v>
      </c>
      <c r="AD120" s="46">
        <v>1.51</v>
      </c>
      <c r="AE120" s="43">
        <v>52311100</v>
      </c>
      <c r="AF120" s="43">
        <v>34641017</v>
      </c>
      <c r="AG120" s="22"/>
    </row>
    <row r="121" spans="1:33" ht="10.5" customHeight="1" x14ac:dyDescent="0.15">
      <c r="A121" s="47" t="s">
        <v>169</v>
      </c>
      <c r="B121" s="37">
        <v>5</v>
      </c>
      <c r="C121" s="38">
        <v>27903</v>
      </c>
      <c r="D121" s="38">
        <v>170556</v>
      </c>
      <c r="E121" s="38">
        <v>125556</v>
      </c>
      <c r="F121" s="38">
        <v>170556</v>
      </c>
      <c r="G121" s="38">
        <v>348792</v>
      </c>
      <c r="H121" s="39">
        <v>0.36</v>
      </c>
      <c r="I121" s="39">
        <v>0.48899999999999999</v>
      </c>
      <c r="J121" s="39">
        <v>0.48899999999999999</v>
      </c>
      <c r="K121" s="39">
        <v>0</v>
      </c>
      <c r="L121" s="39">
        <f>Tabelle12[[#This Row],[Spalte12]]-Tabelle12[[#This Row],[Spalte11]]</f>
        <v>7.0000000000000007E-2</v>
      </c>
      <c r="M121" s="39">
        <v>7.0000000000000007E-2</v>
      </c>
      <c r="N121" s="39">
        <v>8.5000000000000006E-2</v>
      </c>
      <c r="O121" s="39">
        <v>0.105</v>
      </c>
      <c r="P121" s="39">
        <v>0.185</v>
      </c>
      <c r="Q121" s="38">
        <v>920898</v>
      </c>
      <c r="R121" s="40">
        <v>1.8</v>
      </c>
      <c r="S121" s="38">
        <v>115497</v>
      </c>
      <c r="T121" s="38">
        <v>64099</v>
      </c>
      <c r="U121" s="40">
        <v>1.59</v>
      </c>
      <c r="V121" s="38">
        <v>116921</v>
      </c>
      <c r="W121" s="38">
        <v>73541</v>
      </c>
      <c r="X121" s="40">
        <v>1.78</v>
      </c>
      <c r="Y121" s="38">
        <v>114930</v>
      </c>
      <c r="Z121" s="38">
        <v>64643</v>
      </c>
      <c r="AA121" s="40">
        <v>2.08</v>
      </c>
      <c r="AB121" s="38">
        <v>130947</v>
      </c>
      <c r="AC121" s="38">
        <v>62970</v>
      </c>
      <c r="AD121" s="41">
        <v>1.51</v>
      </c>
      <c r="AE121" s="38">
        <v>451829</v>
      </c>
      <c r="AF121" s="38">
        <v>298642</v>
      </c>
      <c r="AG121" s="22"/>
    </row>
    <row r="122" spans="1:33" ht="10.5" customHeight="1" x14ac:dyDescent="0.15">
      <c r="A122" s="48" t="s">
        <v>181</v>
      </c>
      <c r="B122" s="42">
        <v>5</v>
      </c>
      <c r="C122" s="43">
        <v>17257</v>
      </c>
      <c r="D122" s="43">
        <v>72486</v>
      </c>
      <c r="E122" s="43">
        <v>72486</v>
      </c>
      <c r="F122" s="43">
        <v>72486</v>
      </c>
      <c r="G122" s="43">
        <v>215714</v>
      </c>
      <c r="H122" s="44">
        <v>0.33600000000000002</v>
      </c>
      <c r="I122" s="44">
        <v>0.33600000000000002</v>
      </c>
      <c r="J122" s="44">
        <v>0.33600000000000002</v>
      </c>
      <c r="K122" s="44">
        <v>1E-3</v>
      </c>
      <c r="L122" s="44">
        <f>Tabelle12[[#This Row],[Spalte12]]-Tabelle12[[#This Row],[Spalte11]]</f>
        <v>6.9999999999999993E-2</v>
      </c>
      <c r="M122" s="44">
        <v>7.0999999999999994E-2</v>
      </c>
      <c r="N122" s="44">
        <v>8.5999999999999993E-2</v>
      </c>
      <c r="O122" s="44">
        <v>0.106</v>
      </c>
      <c r="P122" s="44">
        <v>0.217</v>
      </c>
      <c r="Q122" s="43">
        <v>334323</v>
      </c>
      <c r="R122" s="45">
        <v>1.55</v>
      </c>
      <c r="S122" s="43">
        <v>32789</v>
      </c>
      <c r="T122" s="43">
        <v>21191</v>
      </c>
      <c r="U122" s="45">
        <v>2.2599999999999998</v>
      </c>
      <c r="V122" s="43">
        <v>40617</v>
      </c>
      <c r="W122" s="43">
        <v>17972</v>
      </c>
      <c r="X122" s="45">
        <v>2.0299999999999998</v>
      </c>
      <c r="Y122" s="43">
        <v>43082</v>
      </c>
      <c r="Z122" s="43">
        <v>21246</v>
      </c>
      <c r="AA122" s="45">
        <v>1.87</v>
      </c>
      <c r="AB122" s="43">
        <v>37135</v>
      </c>
      <c r="AC122" s="43">
        <v>19856</v>
      </c>
      <c r="AD122" s="46">
        <v>1.87</v>
      </c>
      <c r="AE122" s="43">
        <v>218891</v>
      </c>
      <c r="AF122" s="43">
        <v>117018</v>
      </c>
      <c r="AG122" s="22"/>
    </row>
    <row r="123" spans="1:33" ht="10.5" customHeight="1" x14ac:dyDescent="0.15">
      <c r="A123" s="47" t="s">
        <v>199</v>
      </c>
      <c r="B123" s="37">
        <v>4</v>
      </c>
      <c r="C123" s="38">
        <v>230863</v>
      </c>
      <c r="D123" s="38">
        <v>544485</v>
      </c>
      <c r="E123" s="38">
        <v>544485</v>
      </c>
      <c r="F123" s="38">
        <v>544485</v>
      </c>
      <c r="G123" s="38">
        <v>2885784</v>
      </c>
      <c r="H123" s="39">
        <v>0.189</v>
      </c>
      <c r="I123" s="39">
        <v>0.189</v>
      </c>
      <c r="J123" s="39">
        <v>0.189</v>
      </c>
      <c r="K123" s="39">
        <v>1.4E-2</v>
      </c>
      <c r="L123" s="39">
        <f>Tabelle12[[#This Row],[Spalte12]]-Tabelle12[[#This Row],[Spalte11]]</f>
        <v>7.3999999999999996E-2</v>
      </c>
      <c r="M123" s="39">
        <v>8.7999999999999995E-2</v>
      </c>
      <c r="N123" s="39">
        <v>0.104</v>
      </c>
      <c r="O123" s="39">
        <v>0.126</v>
      </c>
      <c r="P123" s="39">
        <v>8.1000000000000003E-2</v>
      </c>
      <c r="Q123" s="38">
        <v>6681779</v>
      </c>
      <c r="R123" s="40">
        <v>1.39</v>
      </c>
      <c r="S123" s="38">
        <v>978881</v>
      </c>
      <c r="T123" s="38">
        <v>703506</v>
      </c>
      <c r="U123" s="40">
        <v>1.47</v>
      </c>
      <c r="V123" s="38">
        <v>909734</v>
      </c>
      <c r="W123" s="38">
        <v>618761</v>
      </c>
      <c r="X123" s="40">
        <v>1.37</v>
      </c>
      <c r="Y123" s="38">
        <v>738632</v>
      </c>
      <c r="Z123" s="38">
        <v>539691</v>
      </c>
      <c r="AA123" s="40">
        <v>1.3</v>
      </c>
      <c r="AB123" s="38">
        <v>827126</v>
      </c>
      <c r="AC123" s="38">
        <v>635613</v>
      </c>
      <c r="AD123" s="41">
        <v>1.22</v>
      </c>
      <c r="AE123" s="38">
        <v>5364533</v>
      </c>
      <c r="AF123" s="38">
        <v>4402529</v>
      </c>
      <c r="AG123" s="22"/>
    </row>
    <row r="124" spans="1:33" ht="10.5" customHeight="1" x14ac:dyDescent="0.15">
      <c r="A124" s="48" t="s">
        <v>100</v>
      </c>
      <c r="B124" s="42">
        <v>5</v>
      </c>
      <c r="C124" s="43">
        <v>4600</v>
      </c>
      <c r="D124" s="43">
        <v>29139</v>
      </c>
      <c r="E124" s="43">
        <v>29139</v>
      </c>
      <c r="F124" s="43">
        <v>29139</v>
      </c>
      <c r="G124" s="43">
        <v>57495</v>
      </c>
      <c r="H124" s="44">
        <v>0.50700000000000001</v>
      </c>
      <c r="I124" s="44">
        <v>0.50700000000000001</v>
      </c>
      <c r="J124" s="44">
        <v>0.50700000000000001</v>
      </c>
      <c r="K124" s="44">
        <v>0</v>
      </c>
      <c r="L124" s="44">
        <f>Tabelle12[[#This Row],[Spalte12]]-Tabelle12[[#This Row],[Spalte11]]</f>
        <v>7.0000000000000007E-2</v>
      </c>
      <c r="M124" s="44">
        <v>7.0000000000000007E-2</v>
      </c>
      <c r="N124" s="44">
        <v>8.5000000000000006E-2</v>
      </c>
      <c r="O124" s="44">
        <v>0.105</v>
      </c>
      <c r="P124" s="44">
        <v>0.216</v>
      </c>
      <c r="Q124" s="43">
        <v>134731</v>
      </c>
      <c r="R124" s="45">
        <v>2.02</v>
      </c>
      <c r="S124" s="43">
        <v>39844</v>
      </c>
      <c r="T124" s="43">
        <v>19734</v>
      </c>
      <c r="U124" s="45">
        <v>2.8</v>
      </c>
      <c r="V124" s="43">
        <v>48965</v>
      </c>
      <c r="W124" s="43">
        <v>17472</v>
      </c>
      <c r="X124" s="45">
        <v>2.4</v>
      </c>
      <c r="Y124" s="43">
        <v>48079</v>
      </c>
      <c r="Z124" s="43">
        <v>20022</v>
      </c>
      <c r="AA124" s="45">
        <v>2.46</v>
      </c>
      <c r="AB124" s="43">
        <v>42711</v>
      </c>
      <c r="AC124" s="43">
        <v>17343</v>
      </c>
      <c r="AD124" s="46">
        <v>1.93</v>
      </c>
      <c r="AE124" s="43">
        <v>93095</v>
      </c>
      <c r="AF124" s="43">
        <v>48329</v>
      </c>
      <c r="AG124" s="22"/>
    </row>
    <row r="125" spans="1:33" ht="10.5" customHeight="1" x14ac:dyDescent="0.15">
      <c r="A125" s="47" t="s">
        <v>182</v>
      </c>
      <c r="B125" s="37">
        <v>4</v>
      </c>
      <c r="C125" s="38">
        <v>254556</v>
      </c>
      <c r="D125" s="38">
        <v>561725</v>
      </c>
      <c r="E125" s="38">
        <v>549039</v>
      </c>
      <c r="F125" s="38">
        <v>549039</v>
      </c>
      <c r="G125" s="38">
        <v>3181950</v>
      </c>
      <c r="H125" s="39">
        <v>0.17299999999999999</v>
      </c>
      <c r="I125" s="39">
        <v>0.17299999999999999</v>
      </c>
      <c r="J125" s="39">
        <v>0.17699999999999999</v>
      </c>
      <c r="K125" s="39">
        <v>8.9999999999999993E-3</v>
      </c>
      <c r="L125" s="39">
        <f>Tabelle12[[#This Row],[Spalte12]]-Tabelle12[[#This Row],[Spalte11]]</f>
        <v>7.400000000000001E-2</v>
      </c>
      <c r="M125" s="39">
        <v>8.3000000000000004E-2</v>
      </c>
      <c r="N125" s="39">
        <v>9.9000000000000005E-2</v>
      </c>
      <c r="O125" s="39">
        <v>0.121</v>
      </c>
      <c r="P125" s="39">
        <v>8.7999999999999995E-2</v>
      </c>
      <c r="Q125" s="38">
        <v>6228389</v>
      </c>
      <c r="R125" s="40">
        <v>2.4</v>
      </c>
      <c r="S125" s="38">
        <v>1184688</v>
      </c>
      <c r="T125" s="38">
        <v>492697</v>
      </c>
      <c r="U125" s="40">
        <v>2.5299999999999998</v>
      </c>
      <c r="V125" s="38">
        <v>1200986</v>
      </c>
      <c r="W125" s="38">
        <v>475361</v>
      </c>
      <c r="X125" s="40">
        <v>2.0699999999999998</v>
      </c>
      <c r="Y125" s="38">
        <v>922103</v>
      </c>
      <c r="Z125" s="38">
        <v>444537</v>
      </c>
      <c r="AA125" s="40">
        <v>1.73</v>
      </c>
      <c r="AB125" s="38">
        <v>785187</v>
      </c>
      <c r="AC125" s="38">
        <v>453986</v>
      </c>
      <c r="AD125" s="41">
        <v>1.35</v>
      </c>
      <c r="AE125" s="38">
        <v>4940124</v>
      </c>
      <c r="AF125" s="38">
        <v>3672607</v>
      </c>
      <c r="AG125" s="22"/>
    </row>
    <row r="126" spans="1:33" ht="10.5" customHeight="1" x14ac:dyDescent="0.15">
      <c r="A126" s="48" t="s">
        <v>45</v>
      </c>
      <c r="B126" s="42">
        <v>5</v>
      </c>
      <c r="C126" s="43">
        <v>16402</v>
      </c>
      <c r="D126" s="43">
        <v>59907</v>
      </c>
      <c r="E126" s="43">
        <v>59907</v>
      </c>
      <c r="F126" s="43">
        <v>59907</v>
      </c>
      <c r="G126" s="43">
        <v>205031</v>
      </c>
      <c r="H126" s="44">
        <v>0.29199999999999998</v>
      </c>
      <c r="I126" s="44">
        <v>0.29199999999999998</v>
      </c>
      <c r="J126" s="44">
        <v>0.29199999999999998</v>
      </c>
      <c r="K126" s="44">
        <v>0</v>
      </c>
      <c r="L126" s="44">
        <f>Tabelle12[[#This Row],[Spalte12]]-Tabelle12[[#This Row],[Spalte11]]</f>
        <v>7.0000000000000007E-2</v>
      </c>
      <c r="M126" s="44">
        <v>7.0000000000000007E-2</v>
      </c>
      <c r="N126" s="44">
        <v>8.5000000000000006E-2</v>
      </c>
      <c r="O126" s="44">
        <v>0.105</v>
      </c>
      <c r="P126" s="44">
        <v>0.104</v>
      </c>
      <c r="Q126" s="43">
        <v>576204</v>
      </c>
      <c r="R126" s="45">
        <v>2.81</v>
      </c>
      <c r="S126" s="43">
        <v>84525</v>
      </c>
      <c r="T126" s="43">
        <v>30028</v>
      </c>
      <c r="U126" s="45">
        <v>2.36</v>
      </c>
      <c r="V126" s="43">
        <v>90009</v>
      </c>
      <c r="W126" s="43">
        <v>38089</v>
      </c>
      <c r="X126" s="45">
        <v>2.42</v>
      </c>
      <c r="Y126" s="43">
        <v>88693</v>
      </c>
      <c r="Z126" s="43">
        <v>36631</v>
      </c>
      <c r="AA126" s="45">
        <v>2.68</v>
      </c>
      <c r="AB126" s="43">
        <v>88898</v>
      </c>
      <c r="AC126" s="43">
        <v>33219</v>
      </c>
      <c r="AD126" s="46">
        <v>2.56</v>
      </c>
      <c r="AE126" s="43">
        <v>379652</v>
      </c>
      <c r="AF126" s="43">
        <v>148460</v>
      </c>
      <c r="AG126" s="22"/>
    </row>
    <row r="127" spans="1:33" ht="10.5" customHeight="1" x14ac:dyDescent="0.15">
      <c r="A127" s="47" t="s">
        <v>183</v>
      </c>
      <c r="B127" s="37">
        <v>5</v>
      </c>
      <c r="C127" s="38">
        <v>13923</v>
      </c>
      <c r="D127" s="38">
        <v>52555</v>
      </c>
      <c r="E127" s="38">
        <v>51000</v>
      </c>
      <c r="F127" s="38">
        <v>51000</v>
      </c>
      <c r="G127" s="38">
        <v>174038</v>
      </c>
      <c r="H127" s="39">
        <v>0.29299999999999998</v>
      </c>
      <c r="I127" s="39">
        <v>0.29299999999999998</v>
      </c>
      <c r="J127" s="39">
        <v>0.30199999999999999</v>
      </c>
      <c r="K127" s="39">
        <v>0</v>
      </c>
      <c r="L127" s="39">
        <f>Tabelle12[[#This Row],[Spalte12]]-Tabelle12[[#This Row],[Spalte11]]</f>
        <v>7.0000000000000007E-2</v>
      </c>
      <c r="M127" s="39">
        <v>7.0000000000000007E-2</v>
      </c>
      <c r="N127" s="39">
        <v>0.09</v>
      </c>
      <c r="O127" s="39">
        <v>0.105</v>
      </c>
      <c r="P127" s="39">
        <v>0.10299999999999999</v>
      </c>
      <c r="Q127" s="38">
        <v>497397</v>
      </c>
      <c r="R127" s="40">
        <v>5.61</v>
      </c>
      <c r="S127" s="38">
        <v>217394</v>
      </c>
      <c r="T127" s="38">
        <v>38748</v>
      </c>
      <c r="U127" s="40">
        <v>4</v>
      </c>
      <c r="V127" s="38">
        <v>139392</v>
      </c>
      <c r="W127" s="38">
        <v>34881</v>
      </c>
      <c r="X127" s="40">
        <v>3.65</v>
      </c>
      <c r="Y127" s="38">
        <v>126376</v>
      </c>
      <c r="Z127" s="38">
        <v>34657</v>
      </c>
      <c r="AA127" s="40">
        <v>3.76</v>
      </c>
      <c r="AB127" s="38">
        <v>117117</v>
      </c>
      <c r="AC127" s="38">
        <v>31186</v>
      </c>
      <c r="AD127" s="41">
        <v>2.64</v>
      </c>
      <c r="AE127" s="38">
        <v>351681</v>
      </c>
      <c r="AF127" s="38">
        <v>133245</v>
      </c>
      <c r="AG127" s="22"/>
    </row>
    <row r="128" spans="1:33" ht="10.5" customHeight="1" x14ac:dyDescent="0.15">
      <c r="A128" s="48" t="s">
        <v>47</v>
      </c>
      <c r="B128" s="42">
        <v>4</v>
      </c>
      <c r="C128" s="43">
        <v>40714</v>
      </c>
      <c r="D128" s="43">
        <v>81771</v>
      </c>
      <c r="E128" s="43">
        <v>81771</v>
      </c>
      <c r="F128" s="43">
        <v>81771</v>
      </c>
      <c r="G128" s="43">
        <v>508929</v>
      </c>
      <c r="H128" s="44">
        <v>0.161</v>
      </c>
      <c r="I128" s="44">
        <v>0.161</v>
      </c>
      <c r="J128" s="44">
        <v>0.161</v>
      </c>
      <c r="K128" s="44">
        <v>1.2E-2</v>
      </c>
      <c r="L128" s="44">
        <f>Tabelle12[[#This Row],[Spalte12]]-Tabelle12[[#This Row],[Spalte11]]</f>
        <v>7.3999999999999996E-2</v>
      </c>
      <c r="M128" s="44">
        <v>8.5999999999999993E-2</v>
      </c>
      <c r="N128" s="44">
        <v>0.10199999999999999</v>
      </c>
      <c r="O128" s="44">
        <v>0.124</v>
      </c>
      <c r="P128" s="44">
        <v>0.06</v>
      </c>
      <c r="Q128" s="43">
        <v>1370890</v>
      </c>
      <c r="R128" s="45">
        <v>2.0299999999999998</v>
      </c>
      <c r="S128" s="43">
        <v>266275</v>
      </c>
      <c r="T128" s="43">
        <v>131318</v>
      </c>
      <c r="U128" s="45">
        <v>2.19</v>
      </c>
      <c r="V128" s="43">
        <v>237891</v>
      </c>
      <c r="W128" s="43">
        <v>108587</v>
      </c>
      <c r="X128" s="45">
        <v>2.04</v>
      </c>
      <c r="Y128" s="43">
        <v>239458</v>
      </c>
      <c r="Z128" s="43">
        <v>117502</v>
      </c>
      <c r="AA128" s="45">
        <v>2.23</v>
      </c>
      <c r="AB128" s="43">
        <v>217724</v>
      </c>
      <c r="AC128" s="43">
        <v>97469</v>
      </c>
      <c r="AD128" s="46">
        <v>1.47</v>
      </c>
      <c r="AE128" s="43">
        <v>918790</v>
      </c>
      <c r="AF128" s="43">
        <v>624874</v>
      </c>
      <c r="AG128" s="22"/>
    </row>
    <row r="129" spans="1:33" ht="10.5" customHeight="1" x14ac:dyDescent="0.15">
      <c r="A129" s="47" t="s">
        <v>200</v>
      </c>
      <c r="B129" s="37">
        <v>4</v>
      </c>
      <c r="C129" s="38">
        <v>93730</v>
      </c>
      <c r="D129" s="38">
        <v>378802</v>
      </c>
      <c r="E129" s="38">
        <v>378802</v>
      </c>
      <c r="F129" s="38">
        <v>378802</v>
      </c>
      <c r="G129" s="38">
        <v>1171629</v>
      </c>
      <c r="H129" s="39">
        <v>0.32300000000000001</v>
      </c>
      <c r="I129" s="39">
        <v>0.32300000000000001</v>
      </c>
      <c r="J129" s="39">
        <v>0.32300000000000001</v>
      </c>
      <c r="K129" s="39">
        <v>3.0000000000000001E-3</v>
      </c>
      <c r="L129" s="39">
        <f>Tabelle12[[#This Row],[Spalte12]]-Tabelle12[[#This Row],[Spalte11]]</f>
        <v>7.3999999999999996E-2</v>
      </c>
      <c r="M129" s="39">
        <v>7.6999999999999999E-2</v>
      </c>
      <c r="N129" s="39">
        <v>9.2999999999999999E-2</v>
      </c>
      <c r="O129" s="39">
        <v>0.115</v>
      </c>
      <c r="P129" s="39">
        <v>0.14399999999999999</v>
      </c>
      <c r="Q129" s="38">
        <v>2635053</v>
      </c>
      <c r="R129" s="40">
        <v>1.77</v>
      </c>
      <c r="S129" s="38">
        <v>590196</v>
      </c>
      <c r="T129" s="38">
        <v>332987</v>
      </c>
      <c r="U129" s="40">
        <v>1.88</v>
      </c>
      <c r="V129" s="38">
        <v>584215</v>
      </c>
      <c r="W129" s="38">
        <v>310997</v>
      </c>
      <c r="X129" s="40">
        <v>2.09</v>
      </c>
      <c r="Y129" s="38">
        <v>533940</v>
      </c>
      <c r="Z129" s="38">
        <v>255298</v>
      </c>
      <c r="AA129" s="40">
        <v>2.46</v>
      </c>
      <c r="AB129" s="38">
        <v>609414</v>
      </c>
      <c r="AC129" s="38">
        <v>248003</v>
      </c>
      <c r="AD129" s="41">
        <v>1.56</v>
      </c>
      <c r="AE129" s="38">
        <v>1830678</v>
      </c>
      <c r="AF129" s="38">
        <v>1174189</v>
      </c>
      <c r="AG129" s="22"/>
    </row>
    <row r="130" spans="1:33" ht="10.5" customHeight="1" x14ac:dyDescent="0.15">
      <c r="A130" s="48" t="s">
        <v>57</v>
      </c>
      <c r="B130" s="42">
        <v>5</v>
      </c>
      <c r="C130" s="43">
        <v>10164</v>
      </c>
      <c r="D130" s="43">
        <v>62276</v>
      </c>
      <c r="E130" s="43">
        <v>62276</v>
      </c>
      <c r="F130" s="43">
        <v>62276</v>
      </c>
      <c r="G130" s="43">
        <v>127053</v>
      </c>
      <c r="H130" s="44">
        <v>0.49</v>
      </c>
      <c r="I130" s="44">
        <v>0.49</v>
      </c>
      <c r="J130" s="44">
        <v>0.49</v>
      </c>
      <c r="K130" s="44">
        <v>0</v>
      </c>
      <c r="L130" s="44">
        <f>Tabelle12[[#This Row],[Spalte12]]-Tabelle12[[#This Row],[Spalte11]]</f>
        <v>7.0000000000000007E-2</v>
      </c>
      <c r="M130" s="44">
        <v>7.0000000000000007E-2</v>
      </c>
      <c r="N130" s="44">
        <v>8.5000000000000006E-2</v>
      </c>
      <c r="O130" s="44">
        <v>0.105</v>
      </c>
      <c r="P130" s="44">
        <v>0.13600000000000001</v>
      </c>
      <c r="Q130" s="43">
        <v>456924</v>
      </c>
      <c r="R130" s="45">
        <v>6.96</v>
      </c>
      <c r="S130" s="43">
        <v>182373</v>
      </c>
      <c r="T130" s="43">
        <v>26204</v>
      </c>
      <c r="U130" s="45">
        <v>6.47</v>
      </c>
      <c r="V130" s="43">
        <v>178743</v>
      </c>
      <c r="W130" s="43">
        <v>27629</v>
      </c>
      <c r="X130" s="45">
        <v>6.32</v>
      </c>
      <c r="Y130" s="43">
        <v>177242</v>
      </c>
      <c r="Z130" s="43">
        <v>28034</v>
      </c>
      <c r="AA130" s="45">
        <v>3.91</v>
      </c>
      <c r="AB130" s="43">
        <v>159363</v>
      </c>
      <c r="AC130" s="43">
        <v>40777</v>
      </c>
      <c r="AD130" s="46">
        <v>4.32</v>
      </c>
      <c r="AE130" s="43">
        <v>293967</v>
      </c>
      <c r="AF130" s="43">
        <v>67989</v>
      </c>
      <c r="AG130" s="22"/>
    </row>
    <row r="131" spans="1:33" ht="10.5" customHeight="1" x14ac:dyDescent="0.15">
      <c r="A131" s="47" t="s">
        <v>35</v>
      </c>
      <c r="B131" s="37">
        <v>5</v>
      </c>
      <c r="C131" s="38">
        <v>26508</v>
      </c>
      <c r="D131" s="38">
        <v>90850</v>
      </c>
      <c r="E131" s="38">
        <v>89866</v>
      </c>
      <c r="F131" s="38">
        <v>89866</v>
      </c>
      <c r="G131" s="38">
        <v>331347</v>
      </c>
      <c r="H131" s="39">
        <v>0.27100000000000002</v>
      </c>
      <c r="I131" s="39">
        <v>0.27100000000000002</v>
      </c>
      <c r="J131" s="39">
        <v>0.27400000000000002</v>
      </c>
      <c r="K131" s="39">
        <v>0.01</v>
      </c>
      <c r="L131" s="39">
        <f>Tabelle12[[#This Row],[Spalte12]]-Tabelle12[[#This Row],[Spalte11]]</f>
        <v>7.0000000000000007E-2</v>
      </c>
      <c r="M131" s="39">
        <v>0.08</v>
      </c>
      <c r="N131" s="39">
        <v>9.5000000000000001E-2</v>
      </c>
      <c r="O131" s="39">
        <v>0.115</v>
      </c>
      <c r="P131" s="39">
        <v>0.109</v>
      </c>
      <c r="Q131" s="38">
        <v>826854</v>
      </c>
      <c r="R131" s="40">
        <v>1.24</v>
      </c>
      <c r="S131" s="38">
        <v>225421</v>
      </c>
      <c r="T131" s="38">
        <v>182269</v>
      </c>
      <c r="U131" s="40">
        <v>1.25</v>
      </c>
      <c r="V131" s="38">
        <v>214516</v>
      </c>
      <c r="W131" s="38">
        <v>171842</v>
      </c>
      <c r="X131" s="40">
        <v>1.41</v>
      </c>
      <c r="Y131" s="38">
        <v>227167</v>
      </c>
      <c r="Z131" s="38">
        <v>160713</v>
      </c>
      <c r="AA131" s="40">
        <v>1.46</v>
      </c>
      <c r="AB131" s="38">
        <v>159944</v>
      </c>
      <c r="AC131" s="38">
        <v>109399</v>
      </c>
      <c r="AD131" s="41">
        <v>1.36</v>
      </c>
      <c r="AE131" s="38">
        <v>530498</v>
      </c>
      <c r="AF131" s="38">
        <v>390895</v>
      </c>
      <c r="AG131" s="22"/>
    </row>
    <row r="132" spans="1:33" ht="10.5" customHeight="1" x14ac:dyDescent="0.15">
      <c r="A132" s="48" t="s">
        <v>112</v>
      </c>
      <c r="B132" s="42">
        <v>5</v>
      </c>
      <c r="C132" s="43">
        <v>35516</v>
      </c>
      <c r="D132" s="43">
        <v>174768</v>
      </c>
      <c r="E132" s="43">
        <v>159768</v>
      </c>
      <c r="F132" s="43">
        <v>159768</v>
      </c>
      <c r="G132" s="43">
        <v>443952</v>
      </c>
      <c r="H132" s="44">
        <v>0.36</v>
      </c>
      <c r="I132" s="44">
        <v>0.36</v>
      </c>
      <c r="J132" s="44">
        <v>0.39400000000000002</v>
      </c>
      <c r="K132" s="44">
        <v>0</v>
      </c>
      <c r="L132" s="44">
        <f>Tabelle12[[#This Row],[Spalte12]]-Tabelle12[[#This Row],[Spalte11]]</f>
        <v>7.0000000000000007E-2</v>
      </c>
      <c r="M132" s="44">
        <v>7.0000000000000007E-2</v>
      </c>
      <c r="N132" s="44">
        <v>8.5000000000000006E-2</v>
      </c>
      <c r="O132" s="44">
        <v>0.105</v>
      </c>
      <c r="P132" s="44">
        <v>0.18099999999999999</v>
      </c>
      <c r="Q132" s="43">
        <v>882312</v>
      </c>
      <c r="R132" s="45">
        <v>11.3</v>
      </c>
      <c r="S132" s="43">
        <v>48839</v>
      </c>
      <c r="T132" s="43">
        <v>4324</v>
      </c>
      <c r="U132" s="45">
        <v>8.24</v>
      </c>
      <c r="V132" s="43">
        <v>40572</v>
      </c>
      <c r="W132" s="43">
        <v>4921</v>
      </c>
      <c r="X132" s="45">
        <v>11.56</v>
      </c>
      <c r="Y132" s="43">
        <v>51449</v>
      </c>
      <c r="Z132" s="43">
        <v>4452</v>
      </c>
      <c r="AA132" s="45">
        <v>7.58</v>
      </c>
      <c r="AB132" s="43">
        <v>42050</v>
      </c>
      <c r="AC132" s="43">
        <v>5548</v>
      </c>
      <c r="AD132" s="46">
        <v>1.4</v>
      </c>
      <c r="AE132" s="43">
        <v>800971</v>
      </c>
      <c r="AF132" s="43">
        <v>572140</v>
      </c>
      <c r="AG132" s="22"/>
    </row>
    <row r="133" spans="1:33" ht="10.5" customHeight="1" x14ac:dyDescent="0.15">
      <c r="A133" s="47" t="s">
        <v>85</v>
      </c>
      <c r="B133" s="37">
        <v>5</v>
      </c>
      <c r="C133" s="38">
        <v>672</v>
      </c>
      <c r="D133" s="38">
        <v>1920</v>
      </c>
      <c r="E133" s="38">
        <v>1920</v>
      </c>
      <c r="F133" s="38">
        <v>1920</v>
      </c>
      <c r="G133" s="38">
        <v>8396</v>
      </c>
      <c r="H133" s="39">
        <v>0.22900000000000001</v>
      </c>
      <c r="I133" s="39">
        <v>0.22900000000000001</v>
      </c>
      <c r="J133" s="39">
        <v>0.22900000000000001</v>
      </c>
      <c r="K133" s="39">
        <v>0</v>
      </c>
      <c r="L133" s="39">
        <f>Tabelle12[[#This Row],[Spalte12]]-Tabelle12[[#This Row],[Spalte11]]</f>
        <v>7.0000000000000007E-2</v>
      </c>
      <c r="M133" s="39">
        <v>7.0000000000000007E-2</v>
      </c>
      <c r="N133" s="39">
        <v>8.5000000000000006E-2</v>
      </c>
      <c r="O133" s="39">
        <v>0.105</v>
      </c>
      <c r="P133" s="39">
        <v>0.56599999999999995</v>
      </c>
      <c r="Q133" s="38">
        <v>3394</v>
      </c>
      <c r="R133" s="40">
        <v>11.04</v>
      </c>
      <c r="S133" s="38">
        <v>103</v>
      </c>
      <c r="T133" s="38">
        <v>9</v>
      </c>
      <c r="U133" s="40">
        <v>8.66</v>
      </c>
      <c r="V133" s="38">
        <v>102</v>
      </c>
      <c r="W133" s="38">
        <v>12</v>
      </c>
      <c r="X133" s="40">
        <v>5.16</v>
      </c>
      <c r="Y133" s="38">
        <v>101</v>
      </c>
      <c r="Z133" s="38">
        <v>20</v>
      </c>
      <c r="AA133" s="40">
        <v>2.67</v>
      </c>
      <c r="AB133" s="38">
        <v>71</v>
      </c>
      <c r="AC133" s="38">
        <v>27</v>
      </c>
      <c r="AD133" s="41">
        <v>1.74</v>
      </c>
      <c r="AE133" s="38">
        <v>3024</v>
      </c>
      <c r="AF133" s="38">
        <v>1737</v>
      </c>
      <c r="AG133" s="22"/>
    </row>
    <row r="134" spans="1:33" ht="10.5" customHeight="1" x14ac:dyDescent="0.15">
      <c r="A134" s="48" t="s">
        <v>87</v>
      </c>
      <c r="B134" s="42">
        <v>5</v>
      </c>
      <c r="C134" s="43">
        <v>6713</v>
      </c>
      <c r="D134" s="43">
        <v>60900</v>
      </c>
      <c r="E134" s="43">
        <v>60900</v>
      </c>
      <c r="F134" s="43">
        <v>60900</v>
      </c>
      <c r="G134" s="43">
        <v>83915</v>
      </c>
      <c r="H134" s="44">
        <v>0.72599999999999998</v>
      </c>
      <c r="I134" s="44">
        <v>0.72599999999999998</v>
      </c>
      <c r="J134" s="44">
        <v>0.72599999999999998</v>
      </c>
      <c r="K134" s="44">
        <v>0</v>
      </c>
      <c r="L134" s="44">
        <f>Tabelle12[[#This Row],[Spalte12]]-Tabelle12[[#This Row],[Spalte11]]</f>
        <v>7.0000000000000007E-2</v>
      </c>
      <c r="M134" s="44">
        <v>7.0000000000000007E-2</v>
      </c>
      <c r="N134" s="44">
        <v>8.5000000000000006E-2</v>
      </c>
      <c r="O134" s="44">
        <v>0.105</v>
      </c>
      <c r="P134" s="44">
        <v>0.29299999999999998</v>
      </c>
      <c r="Q134" s="43">
        <v>208201</v>
      </c>
      <c r="R134" s="45">
        <v>1.73</v>
      </c>
      <c r="S134" s="43">
        <v>55528</v>
      </c>
      <c r="T134" s="43">
        <v>32080</v>
      </c>
      <c r="U134" s="45">
        <v>1.64</v>
      </c>
      <c r="V134" s="43">
        <v>70197</v>
      </c>
      <c r="W134" s="43">
        <v>42699</v>
      </c>
      <c r="X134" s="45">
        <v>1.6</v>
      </c>
      <c r="Y134" s="43">
        <v>65729</v>
      </c>
      <c r="Z134" s="43">
        <v>41070</v>
      </c>
      <c r="AA134" s="45">
        <v>2.63</v>
      </c>
      <c r="AB134" s="43">
        <v>93400</v>
      </c>
      <c r="AC134" s="43">
        <v>35532</v>
      </c>
      <c r="AD134" s="46">
        <v>1.81</v>
      </c>
      <c r="AE134" s="43">
        <v>129092</v>
      </c>
      <c r="AF134" s="43">
        <v>71194</v>
      </c>
      <c r="AG134" s="22"/>
    </row>
    <row r="135" spans="1:33" ht="10.5" customHeight="1" x14ac:dyDescent="0.15">
      <c r="A135" s="47" t="s">
        <v>201</v>
      </c>
      <c r="B135" s="37">
        <v>5</v>
      </c>
      <c r="C135" s="38">
        <v>2702</v>
      </c>
      <c r="D135" s="38">
        <v>57527</v>
      </c>
      <c r="E135" s="38">
        <v>57527</v>
      </c>
      <c r="F135" s="38">
        <v>57527</v>
      </c>
      <c r="G135" s="38">
        <v>33773</v>
      </c>
      <c r="H135" s="39">
        <v>1.7030000000000001</v>
      </c>
      <c r="I135" s="39">
        <v>1.7030000000000001</v>
      </c>
      <c r="J135" s="39">
        <v>1.7030000000000001</v>
      </c>
      <c r="K135" s="39">
        <v>0</v>
      </c>
      <c r="L135" s="39">
        <f>Tabelle12[[#This Row],[Spalte12]]-Tabelle12[[#This Row],[Spalte11]]</f>
        <v>7.0000000000000007E-2</v>
      </c>
      <c r="M135" s="39">
        <v>7.0000000000000007E-2</v>
      </c>
      <c r="N135" s="39">
        <v>8.5000000000000006E-2</v>
      </c>
      <c r="O135" s="39">
        <v>0.105</v>
      </c>
      <c r="P135" s="39">
        <v>0.34399999999999997</v>
      </c>
      <c r="Q135" s="38">
        <v>167135</v>
      </c>
      <c r="R135" s="55" t="s">
        <v>209</v>
      </c>
      <c r="S135" s="55" t="s">
        <v>209</v>
      </c>
      <c r="T135" s="55" t="s">
        <v>209</v>
      </c>
      <c r="U135" s="56" t="s">
        <v>209</v>
      </c>
      <c r="V135" s="55" t="s">
        <v>209</v>
      </c>
      <c r="W135" s="55" t="s">
        <v>209</v>
      </c>
      <c r="X135" s="56" t="s">
        <v>209</v>
      </c>
      <c r="Y135" s="55" t="s">
        <v>209</v>
      </c>
      <c r="Z135" s="55" t="s">
        <v>209</v>
      </c>
      <c r="AA135" s="56" t="s">
        <v>209</v>
      </c>
      <c r="AB135" s="55" t="s">
        <v>209</v>
      </c>
      <c r="AC135" s="55" t="s">
        <v>209</v>
      </c>
      <c r="AD135" s="57" t="s">
        <v>209</v>
      </c>
      <c r="AE135" s="55" t="s">
        <v>209</v>
      </c>
      <c r="AF135" s="55" t="s">
        <v>209</v>
      </c>
      <c r="AG135" s="22"/>
    </row>
    <row r="136" spans="1:33" ht="10.5" customHeight="1" x14ac:dyDescent="0.15">
      <c r="A136" s="48" t="s">
        <v>31</v>
      </c>
      <c r="B136" s="42">
        <v>4</v>
      </c>
      <c r="C136" s="43">
        <v>136593</v>
      </c>
      <c r="D136" s="43">
        <v>293851</v>
      </c>
      <c r="E136" s="43">
        <v>281232</v>
      </c>
      <c r="F136" s="43">
        <v>281232</v>
      </c>
      <c r="G136" s="43">
        <v>1707416</v>
      </c>
      <c r="H136" s="44">
        <v>0.16500000000000001</v>
      </c>
      <c r="I136" s="44">
        <v>0.16500000000000001</v>
      </c>
      <c r="J136" s="44">
        <v>0.17199999999999999</v>
      </c>
      <c r="K136" s="44">
        <v>1.2E-2</v>
      </c>
      <c r="L136" s="44">
        <f>Tabelle12[[#This Row],[Spalte12]]-Tabelle12[[#This Row],[Spalte11]]</f>
        <v>7.3999999999999996E-2</v>
      </c>
      <c r="M136" s="44">
        <v>8.5999999999999993E-2</v>
      </c>
      <c r="N136" s="44">
        <v>0.10199999999999999</v>
      </c>
      <c r="O136" s="44">
        <v>0.124</v>
      </c>
      <c r="P136" s="44">
        <v>7.9000000000000001E-2</v>
      </c>
      <c r="Q136" s="43">
        <v>3560920</v>
      </c>
      <c r="R136" s="45">
        <v>1.62</v>
      </c>
      <c r="S136" s="43">
        <v>441469</v>
      </c>
      <c r="T136" s="43">
        <v>273118</v>
      </c>
      <c r="U136" s="45">
        <v>1.56</v>
      </c>
      <c r="V136" s="43">
        <v>417771</v>
      </c>
      <c r="W136" s="43">
        <v>268320</v>
      </c>
      <c r="X136" s="45">
        <v>1.44</v>
      </c>
      <c r="Y136" s="43">
        <v>390413</v>
      </c>
      <c r="Z136" s="43">
        <v>270336</v>
      </c>
      <c r="AA136" s="45">
        <v>1.6</v>
      </c>
      <c r="AB136" s="43">
        <v>424576</v>
      </c>
      <c r="AC136" s="43">
        <v>265386</v>
      </c>
      <c r="AD136" s="46">
        <v>1.35</v>
      </c>
      <c r="AE136" s="43">
        <v>3066648</v>
      </c>
      <c r="AF136" s="43">
        <v>2271161</v>
      </c>
      <c r="AG136" s="22"/>
    </row>
    <row r="137" spans="1:33" ht="10.5" customHeight="1" x14ac:dyDescent="0.15">
      <c r="A137" s="47" t="s">
        <v>123</v>
      </c>
      <c r="B137" s="37">
        <v>5</v>
      </c>
      <c r="C137" s="38">
        <v>1312</v>
      </c>
      <c r="D137" s="38">
        <v>4948</v>
      </c>
      <c r="E137" s="38">
        <v>4948</v>
      </c>
      <c r="F137" s="38">
        <v>4948</v>
      </c>
      <c r="G137" s="38">
        <v>16406</v>
      </c>
      <c r="H137" s="39">
        <v>0.30199999999999999</v>
      </c>
      <c r="I137" s="39">
        <v>0.30199999999999999</v>
      </c>
      <c r="J137" s="39">
        <v>0.30199999999999999</v>
      </c>
      <c r="K137" s="39">
        <v>0</v>
      </c>
      <c r="L137" s="39">
        <f>Tabelle12[[#This Row],[Spalte12]]-Tabelle12[[#This Row],[Spalte11]]</f>
        <v>7.0000000000000007E-2</v>
      </c>
      <c r="M137" s="39">
        <v>7.0000000000000007E-2</v>
      </c>
      <c r="N137" s="39">
        <v>8.5000000000000006E-2</v>
      </c>
      <c r="O137" s="39">
        <v>0.105</v>
      </c>
      <c r="P137" s="39">
        <v>0.16200000000000001</v>
      </c>
      <c r="Q137" s="38">
        <v>30576</v>
      </c>
      <c r="R137" s="40">
        <v>2.0699999999999998</v>
      </c>
      <c r="S137" s="38">
        <v>21054</v>
      </c>
      <c r="T137" s="38">
        <v>10162</v>
      </c>
      <c r="U137" s="40">
        <v>2.15</v>
      </c>
      <c r="V137" s="38">
        <v>20838</v>
      </c>
      <c r="W137" s="38">
        <v>9714</v>
      </c>
      <c r="X137" s="40">
        <v>2.44</v>
      </c>
      <c r="Y137" s="38">
        <v>20904</v>
      </c>
      <c r="Z137" s="38">
        <v>8565</v>
      </c>
      <c r="AA137" s="40">
        <v>1.9</v>
      </c>
      <c r="AB137" s="38">
        <v>20353</v>
      </c>
      <c r="AC137" s="38">
        <v>10701</v>
      </c>
      <c r="AD137" s="41">
        <v>1.6</v>
      </c>
      <c r="AE137" s="38">
        <v>10301</v>
      </c>
      <c r="AF137" s="38">
        <v>6430</v>
      </c>
      <c r="AG137" s="22"/>
    </row>
    <row r="138" spans="1:33" ht="10.5" customHeight="1" x14ac:dyDescent="0.15">
      <c r="A138" s="48" t="s">
        <v>53</v>
      </c>
      <c r="B138" s="42">
        <v>4</v>
      </c>
      <c r="C138" s="43">
        <v>67687</v>
      </c>
      <c r="D138" s="43">
        <v>148398</v>
      </c>
      <c r="E138" s="43">
        <v>129288</v>
      </c>
      <c r="F138" s="43">
        <v>148398</v>
      </c>
      <c r="G138" s="43">
        <v>846083</v>
      </c>
      <c r="H138" s="44">
        <v>0.153</v>
      </c>
      <c r="I138" s="44">
        <v>0.17499999999999999</v>
      </c>
      <c r="J138" s="44">
        <v>0.17499999999999999</v>
      </c>
      <c r="K138" s="44">
        <v>0</v>
      </c>
      <c r="L138" s="44">
        <f>Tabelle12[[#This Row],[Spalte12]]-Tabelle12[[#This Row],[Spalte11]]</f>
        <v>7.3999999999999996E-2</v>
      </c>
      <c r="M138" s="44">
        <v>7.3999999999999996E-2</v>
      </c>
      <c r="N138" s="44">
        <v>0.09</v>
      </c>
      <c r="O138" s="44">
        <v>0.112</v>
      </c>
      <c r="P138" s="44">
        <v>6.3E-2</v>
      </c>
      <c r="Q138" s="43">
        <v>2341782</v>
      </c>
      <c r="R138" s="45">
        <v>1.54</v>
      </c>
      <c r="S138" s="43">
        <v>306465</v>
      </c>
      <c r="T138" s="43">
        <v>198369</v>
      </c>
      <c r="U138" s="45">
        <v>1.83</v>
      </c>
      <c r="V138" s="43">
        <v>327997</v>
      </c>
      <c r="W138" s="43">
        <v>179466</v>
      </c>
      <c r="X138" s="45">
        <v>1.78</v>
      </c>
      <c r="Y138" s="43">
        <v>292519</v>
      </c>
      <c r="Z138" s="43">
        <v>164404</v>
      </c>
      <c r="AA138" s="45">
        <v>1.75</v>
      </c>
      <c r="AB138" s="43">
        <v>315535</v>
      </c>
      <c r="AC138" s="43">
        <v>179865</v>
      </c>
      <c r="AD138" s="46">
        <v>1.37</v>
      </c>
      <c r="AE138" s="43">
        <v>1211089</v>
      </c>
      <c r="AF138" s="43">
        <v>883262</v>
      </c>
      <c r="AG138" s="22"/>
    </row>
    <row r="139" spans="1:33" ht="10.5" customHeight="1" x14ac:dyDescent="0.15">
      <c r="A139" s="47" t="s">
        <v>48</v>
      </c>
      <c r="B139" s="37">
        <v>4</v>
      </c>
      <c r="C139" s="38">
        <v>87338</v>
      </c>
      <c r="D139" s="38">
        <v>255292</v>
      </c>
      <c r="E139" s="38">
        <v>255292</v>
      </c>
      <c r="F139" s="38">
        <v>255292</v>
      </c>
      <c r="G139" s="38">
        <v>1091719</v>
      </c>
      <c r="H139" s="39">
        <v>0.23400000000000001</v>
      </c>
      <c r="I139" s="39">
        <v>0.23400000000000001</v>
      </c>
      <c r="J139" s="39">
        <v>0.23400000000000001</v>
      </c>
      <c r="K139" s="39">
        <v>1E-3</v>
      </c>
      <c r="L139" s="39">
        <f>Tabelle12[[#This Row],[Spalte12]]-Tabelle12[[#This Row],[Spalte11]]</f>
        <v>7.3999999999999996E-2</v>
      </c>
      <c r="M139" s="39">
        <v>7.4999999999999997E-2</v>
      </c>
      <c r="N139" s="39">
        <v>9.0999999999999998E-2</v>
      </c>
      <c r="O139" s="39">
        <v>0.113</v>
      </c>
      <c r="P139" s="39">
        <v>5.3999999999999999E-2</v>
      </c>
      <c r="Q139" s="38">
        <v>4698814</v>
      </c>
      <c r="R139" s="40">
        <v>1.28</v>
      </c>
      <c r="S139" s="38">
        <v>2419896</v>
      </c>
      <c r="T139" s="38">
        <v>1892869</v>
      </c>
      <c r="U139" s="40">
        <v>1.36</v>
      </c>
      <c r="V139" s="38">
        <v>2317764</v>
      </c>
      <c r="W139" s="38">
        <v>1700482</v>
      </c>
      <c r="X139" s="40">
        <v>1.32</v>
      </c>
      <c r="Y139" s="38">
        <v>2267019</v>
      </c>
      <c r="Z139" s="38">
        <v>1716931</v>
      </c>
      <c r="AA139" s="40">
        <v>1.38</v>
      </c>
      <c r="AB139" s="38">
        <v>2107046</v>
      </c>
      <c r="AC139" s="38">
        <v>1526541</v>
      </c>
      <c r="AD139" s="41">
        <v>1.59</v>
      </c>
      <c r="AE139" s="38">
        <v>1829514</v>
      </c>
      <c r="AF139" s="38">
        <v>1151457</v>
      </c>
      <c r="AG139" s="22"/>
    </row>
    <row r="140" spans="1:33" ht="10.5" customHeight="1" x14ac:dyDescent="0.15">
      <c r="A140" s="48" t="s">
        <v>170</v>
      </c>
      <c r="B140" s="42">
        <v>5</v>
      </c>
      <c r="C140" s="43">
        <v>13488</v>
      </c>
      <c r="D140" s="43">
        <v>51039</v>
      </c>
      <c r="E140" s="43">
        <v>51039</v>
      </c>
      <c r="F140" s="43">
        <v>51039</v>
      </c>
      <c r="G140" s="43">
        <v>168596</v>
      </c>
      <c r="H140" s="44">
        <v>0.30299999999999999</v>
      </c>
      <c r="I140" s="44">
        <v>0.30299999999999999</v>
      </c>
      <c r="J140" s="44">
        <v>0.30299999999999999</v>
      </c>
      <c r="K140" s="44">
        <v>0</v>
      </c>
      <c r="L140" s="44">
        <f>Tabelle12[[#This Row],[Spalte12]]-Tabelle12[[#This Row],[Spalte11]]</f>
        <v>7.0000000000000007E-2</v>
      </c>
      <c r="M140" s="44">
        <v>7.0000000000000007E-2</v>
      </c>
      <c r="N140" s="44">
        <v>8.5000000000000006E-2</v>
      </c>
      <c r="O140" s="44">
        <v>0.105</v>
      </c>
      <c r="P140" s="44">
        <v>0.218</v>
      </c>
      <c r="Q140" s="43">
        <v>234426</v>
      </c>
      <c r="R140" s="54" t="s">
        <v>209</v>
      </c>
      <c r="S140" s="54" t="s">
        <v>209</v>
      </c>
      <c r="T140" s="54" t="s">
        <v>209</v>
      </c>
      <c r="U140" s="54" t="s">
        <v>209</v>
      </c>
      <c r="V140" s="54" t="s">
        <v>209</v>
      </c>
      <c r="W140" s="54" t="s">
        <v>209</v>
      </c>
      <c r="X140" s="54" t="s">
        <v>209</v>
      </c>
      <c r="Y140" s="54" t="s">
        <v>209</v>
      </c>
      <c r="Z140" s="54" t="s">
        <v>209</v>
      </c>
      <c r="AA140" s="54" t="s">
        <v>209</v>
      </c>
      <c r="AB140" s="54" t="s">
        <v>209</v>
      </c>
      <c r="AC140" s="54" t="s">
        <v>209</v>
      </c>
      <c r="AD140" s="54" t="s">
        <v>209</v>
      </c>
      <c r="AE140" s="54" t="s">
        <v>209</v>
      </c>
      <c r="AF140" s="54" t="s">
        <v>209</v>
      </c>
      <c r="AG140" s="22"/>
    </row>
    <row r="141" spans="1:33" ht="10.5" customHeight="1" x14ac:dyDescent="0.15">
      <c r="A141" s="47" t="s">
        <v>72</v>
      </c>
      <c r="B141" s="37">
        <v>5</v>
      </c>
      <c r="C141" s="38">
        <v>11459</v>
      </c>
      <c r="D141" s="38">
        <v>44179</v>
      </c>
      <c r="E141" s="38">
        <v>44179</v>
      </c>
      <c r="F141" s="38">
        <v>44179</v>
      </c>
      <c r="G141" s="38">
        <v>143243</v>
      </c>
      <c r="H141" s="39">
        <v>0.308</v>
      </c>
      <c r="I141" s="39">
        <v>0.308</v>
      </c>
      <c r="J141" s="39">
        <v>0.308</v>
      </c>
      <c r="K141" s="39">
        <v>0</v>
      </c>
      <c r="L141" s="39">
        <f>Tabelle12[[#This Row],[Spalte12]]-Tabelle12[[#This Row],[Spalte11]]</f>
        <v>7.0000000000000007E-2</v>
      </c>
      <c r="M141" s="39">
        <v>7.0000000000000007E-2</v>
      </c>
      <c r="N141" s="39">
        <v>8.5000000000000006E-2</v>
      </c>
      <c r="O141" s="39">
        <v>0.105</v>
      </c>
      <c r="P141" s="39">
        <v>7.6999999999999999E-2</v>
      </c>
      <c r="Q141" s="38">
        <v>572519</v>
      </c>
      <c r="R141" s="40">
        <v>3.14</v>
      </c>
      <c r="S141" s="38">
        <v>297366</v>
      </c>
      <c r="T141" s="38">
        <v>94775</v>
      </c>
      <c r="U141" s="40">
        <v>3.33</v>
      </c>
      <c r="V141" s="38">
        <v>315053</v>
      </c>
      <c r="W141" s="38">
        <v>94514</v>
      </c>
      <c r="X141" s="40">
        <v>4.07</v>
      </c>
      <c r="Y141" s="38">
        <v>299984</v>
      </c>
      <c r="Z141" s="38">
        <v>73669</v>
      </c>
      <c r="AA141" s="40">
        <v>4.3899999999999997</v>
      </c>
      <c r="AB141" s="38">
        <v>314635</v>
      </c>
      <c r="AC141" s="38">
        <v>71590</v>
      </c>
      <c r="AD141" s="41">
        <v>4.2300000000000004</v>
      </c>
      <c r="AE141" s="38">
        <v>304167</v>
      </c>
      <c r="AF141" s="38">
        <v>71866</v>
      </c>
      <c r="AG141" s="22"/>
    </row>
    <row r="142" spans="1:33" ht="10.5" customHeight="1" x14ac:dyDescent="0.15">
      <c r="A142" s="48" t="s">
        <v>50</v>
      </c>
      <c r="B142" s="42">
        <v>4</v>
      </c>
      <c r="C142" s="43">
        <v>60240</v>
      </c>
      <c r="D142" s="43">
        <v>158917</v>
      </c>
      <c r="E142" s="43">
        <v>158917</v>
      </c>
      <c r="F142" s="43">
        <v>158917</v>
      </c>
      <c r="G142" s="43">
        <v>753003</v>
      </c>
      <c r="H142" s="44">
        <v>0.21099999999999999</v>
      </c>
      <c r="I142" s="44">
        <v>0.21099999999999999</v>
      </c>
      <c r="J142" s="44">
        <v>0.21099999999999999</v>
      </c>
      <c r="K142" s="44">
        <v>1.4999999999999999E-2</v>
      </c>
      <c r="L142" s="44">
        <f>Tabelle12[[#This Row],[Spalte12]]-Tabelle12[[#This Row],[Spalte11]]</f>
        <v>7.3999999999999996E-2</v>
      </c>
      <c r="M142" s="44">
        <v>8.8999999999999996E-2</v>
      </c>
      <c r="N142" s="44">
        <v>0.105</v>
      </c>
      <c r="O142" s="44">
        <v>0.127</v>
      </c>
      <c r="P142" s="44">
        <v>8.3000000000000004E-2</v>
      </c>
      <c r="Q142" s="43">
        <v>1920471</v>
      </c>
      <c r="R142" s="45">
        <v>1.66</v>
      </c>
      <c r="S142" s="43">
        <v>354703</v>
      </c>
      <c r="T142" s="43">
        <v>214206</v>
      </c>
      <c r="U142" s="45">
        <v>1.62</v>
      </c>
      <c r="V142" s="43">
        <v>332825</v>
      </c>
      <c r="W142" s="43">
        <v>206074</v>
      </c>
      <c r="X142" s="45">
        <v>1.59</v>
      </c>
      <c r="Y142" s="43">
        <v>314152</v>
      </c>
      <c r="Z142" s="43">
        <v>197326</v>
      </c>
      <c r="AA142" s="45">
        <v>1.36</v>
      </c>
      <c r="AB142" s="43">
        <v>286965</v>
      </c>
      <c r="AC142" s="43">
        <v>210407</v>
      </c>
      <c r="AD142" s="46">
        <v>1.44</v>
      </c>
      <c r="AE142" s="43">
        <v>1616866</v>
      </c>
      <c r="AF142" s="43">
        <v>1123713</v>
      </c>
      <c r="AG142" s="22"/>
    </row>
    <row r="143" spans="1:33" ht="10.5" customHeight="1" x14ac:dyDescent="0.15">
      <c r="A143" s="47" t="s">
        <v>27</v>
      </c>
      <c r="B143" s="37">
        <v>4</v>
      </c>
      <c r="C143" s="38">
        <v>382445</v>
      </c>
      <c r="D143" s="38">
        <v>1204085</v>
      </c>
      <c r="E143" s="38">
        <v>1185892</v>
      </c>
      <c r="F143" s="38">
        <v>1185892</v>
      </c>
      <c r="G143" s="38">
        <v>4780565</v>
      </c>
      <c r="H143" s="39">
        <v>0.248</v>
      </c>
      <c r="I143" s="39">
        <v>0.248</v>
      </c>
      <c r="J143" s="39">
        <v>0.252</v>
      </c>
      <c r="K143" s="39">
        <v>1.2999999999999999E-2</v>
      </c>
      <c r="L143" s="39">
        <f>Tabelle12[[#This Row],[Spalte12]]-Tabelle12[[#This Row],[Spalte11]]</f>
        <v>7.3999999999999996E-2</v>
      </c>
      <c r="M143" s="39">
        <v>8.6999999999999994E-2</v>
      </c>
      <c r="N143" s="39">
        <v>0.10299999999999999</v>
      </c>
      <c r="O143" s="39">
        <v>0.125</v>
      </c>
      <c r="P143" s="39">
        <v>0.111</v>
      </c>
      <c r="Q143" s="38">
        <v>10709840</v>
      </c>
      <c r="R143" s="40">
        <v>1.23</v>
      </c>
      <c r="S143" s="38">
        <v>1128464</v>
      </c>
      <c r="T143" s="38">
        <v>917949</v>
      </c>
      <c r="U143" s="40">
        <v>1.49</v>
      </c>
      <c r="V143" s="38">
        <v>1010840</v>
      </c>
      <c r="W143" s="38">
        <v>677477</v>
      </c>
      <c r="X143" s="40">
        <v>1.45</v>
      </c>
      <c r="Y143" s="38">
        <v>1195273</v>
      </c>
      <c r="Z143" s="38">
        <v>826838</v>
      </c>
      <c r="AA143" s="40">
        <v>1.4</v>
      </c>
      <c r="AB143" s="38">
        <v>1426358</v>
      </c>
      <c r="AC143" s="38">
        <v>1016782</v>
      </c>
      <c r="AD143" s="41">
        <v>1.25</v>
      </c>
      <c r="AE143" s="38">
        <v>7695060</v>
      </c>
      <c r="AF143" s="38">
        <v>6140414</v>
      </c>
      <c r="AG143" s="22"/>
    </row>
    <row r="144" spans="1:33" ht="10.5" customHeight="1" x14ac:dyDescent="0.15">
      <c r="A144" s="48" t="s">
        <v>69</v>
      </c>
      <c r="B144" s="42">
        <v>5</v>
      </c>
      <c r="C144" s="43">
        <v>25811</v>
      </c>
      <c r="D144" s="43">
        <v>89990</v>
      </c>
      <c r="E144" s="43">
        <v>89990</v>
      </c>
      <c r="F144" s="43">
        <v>89990</v>
      </c>
      <c r="G144" s="43">
        <v>322635</v>
      </c>
      <c r="H144" s="44">
        <v>0.27900000000000003</v>
      </c>
      <c r="I144" s="44">
        <v>0.27900000000000003</v>
      </c>
      <c r="J144" s="44">
        <v>0.27900000000000003</v>
      </c>
      <c r="K144" s="44">
        <v>0</v>
      </c>
      <c r="L144" s="44">
        <f>Tabelle12[[#This Row],[Spalte12]]-Tabelle12[[#This Row],[Spalte11]]</f>
        <v>7.0000000000000007E-2</v>
      </c>
      <c r="M144" s="44">
        <v>7.0000000000000007E-2</v>
      </c>
      <c r="N144" s="44">
        <v>8.5000000000000006E-2</v>
      </c>
      <c r="O144" s="44">
        <v>0.105</v>
      </c>
      <c r="P144" s="44">
        <v>0.19900000000000001</v>
      </c>
      <c r="Q144" s="43">
        <v>452346</v>
      </c>
      <c r="R144" s="45">
        <v>3.98</v>
      </c>
      <c r="S144" s="43">
        <v>275183</v>
      </c>
      <c r="T144" s="43">
        <v>69213</v>
      </c>
      <c r="U144" s="45">
        <v>4.6500000000000004</v>
      </c>
      <c r="V144" s="43">
        <v>250598</v>
      </c>
      <c r="W144" s="43">
        <v>53847</v>
      </c>
      <c r="X144" s="45">
        <v>6.31</v>
      </c>
      <c r="Y144" s="43">
        <v>247943</v>
      </c>
      <c r="Z144" s="43">
        <v>39270</v>
      </c>
      <c r="AA144" s="45">
        <v>5.01</v>
      </c>
      <c r="AB144" s="43">
        <v>248169</v>
      </c>
      <c r="AC144" s="43">
        <v>49541</v>
      </c>
      <c r="AD144" s="46">
        <v>2</v>
      </c>
      <c r="AE144" s="43">
        <v>337637</v>
      </c>
      <c r="AF144" s="43">
        <v>168839</v>
      </c>
      <c r="AG144" s="22"/>
    </row>
    <row r="145" spans="1:33" ht="10.5" customHeight="1" x14ac:dyDescent="0.15">
      <c r="A145" s="47" t="s">
        <v>28</v>
      </c>
      <c r="B145" s="37">
        <v>3</v>
      </c>
      <c r="C145" s="38">
        <v>808807</v>
      </c>
      <c r="D145" s="38">
        <v>2414048</v>
      </c>
      <c r="E145" s="38">
        <v>2296630</v>
      </c>
      <c r="F145" s="38">
        <v>2296630</v>
      </c>
      <c r="G145" s="38">
        <v>10110081</v>
      </c>
      <c r="H145" s="39">
        <v>0.22700000000000001</v>
      </c>
      <c r="I145" s="39">
        <v>0.22700000000000001</v>
      </c>
      <c r="J145" s="39">
        <v>0.23899999999999999</v>
      </c>
      <c r="K145" s="39">
        <v>1.4E-2</v>
      </c>
      <c r="L145" s="39">
        <f>Tabelle12[[#This Row],[Spalte12]]-Tabelle12[[#This Row],[Spalte11]]</f>
        <v>7.8E-2</v>
      </c>
      <c r="M145" s="39">
        <v>9.1999999999999998E-2</v>
      </c>
      <c r="N145" s="39">
        <v>0.11</v>
      </c>
      <c r="O145" s="39">
        <v>0.13400000000000001</v>
      </c>
      <c r="P145" s="39">
        <v>9.1999999999999998E-2</v>
      </c>
      <c r="Q145" s="38">
        <v>24844206</v>
      </c>
      <c r="R145" s="40">
        <v>1.47</v>
      </c>
      <c r="S145" s="38">
        <v>3213399</v>
      </c>
      <c r="T145" s="38">
        <v>2188272</v>
      </c>
      <c r="U145" s="40">
        <v>1.35</v>
      </c>
      <c r="V145" s="38">
        <v>3075884</v>
      </c>
      <c r="W145" s="38">
        <v>2283610</v>
      </c>
      <c r="X145" s="40">
        <v>1.37</v>
      </c>
      <c r="Y145" s="38">
        <v>2948809</v>
      </c>
      <c r="Z145" s="38">
        <v>2152944</v>
      </c>
      <c r="AA145" s="40">
        <v>1.89</v>
      </c>
      <c r="AB145" s="38">
        <v>3726550</v>
      </c>
      <c r="AC145" s="38">
        <v>1968705</v>
      </c>
      <c r="AD145" s="41">
        <v>1.44</v>
      </c>
      <c r="AE145" s="38">
        <v>18371345</v>
      </c>
      <c r="AF145" s="38">
        <v>12784141</v>
      </c>
      <c r="AG145" s="22"/>
    </row>
    <row r="146" spans="1:33" ht="10.5" customHeight="1" x14ac:dyDescent="0.15">
      <c r="A146" s="48" t="s">
        <v>79</v>
      </c>
      <c r="B146" s="42">
        <v>5</v>
      </c>
      <c r="C146" s="43">
        <v>14547</v>
      </c>
      <c r="D146" s="43">
        <v>130398</v>
      </c>
      <c r="E146" s="43">
        <v>121148</v>
      </c>
      <c r="F146" s="43">
        <v>121148</v>
      </c>
      <c r="G146" s="43">
        <v>181841</v>
      </c>
      <c r="H146" s="44">
        <v>0.66600000000000004</v>
      </c>
      <c r="I146" s="44">
        <v>0.66600000000000004</v>
      </c>
      <c r="J146" s="44">
        <v>0.71699999999999997</v>
      </c>
      <c r="K146" s="44">
        <v>0</v>
      </c>
      <c r="L146" s="44">
        <f>Tabelle12[[#This Row],[Spalte12]]-Tabelle12[[#This Row],[Spalte11]]</f>
        <v>7.0000000000000007E-2</v>
      </c>
      <c r="M146" s="44">
        <v>7.0000000000000007E-2</v>
      </c>
      <c r="N146" s="44">
        <v>8.5000000000000006E-2</v>
      </c>
      <c r="O146" s="44">
        <v>0.105</v>
      </c>
      <c r="P146" s="44">
        <v>0.13400000000000001</v>
      </c>
      <c r="Q146" s="43">
        <v>905396</v>
      </c>
      <c r="R146" s="45">
        <v>9.69</v>
      </c>
      <c r="S146" s="43">
        <v>685046</v>
      </c>
      <c r="T146" s="43">
        <v>70718</v>
      </c>
      <c r="U146" s="45">
        <v>9.86</v>
      </c>
      <c r="V146" s="43">
        <v>845611</v>
      </c>
      <c r="W146" s="43">
        <v>85787</v>
      </c>
      <c r="X146" s="45">
        <v>8.09</v>
      </c>
      <c r="Y146" s="43">
        <v>726010</v>
      </c>
      <c r="Z146" s="43">
        <v>89719</v>
      </c>
      <c r="AA146" s="45">
        <v>13.36</v>
      </c>
      <c r="AB146" s="43">
        <v>555843</v>
      </c>
      <c r="AC146" s="43">
        <v>41595</v>
      </c>
      <c r="AD146" s="46">
        <v>5.87</v>
      </c>
      <c r="AE146" s="43">
        <v>737109</v>
      </c>
      <c r="AF146" s="43">
        <v>125669</v>
      </c>
      <c r="AG146" s="22"/>
    </row>
    <row r="147" spans="1:33" ht="10.5" customHeight="1" x14ac:dyDescent="0.15">
      <c r="A147" s="47" t="s">
        <v>98</v>
      </c>
      <c r="B147" s="37">
        <v>5</v>
      </c>
      <c r="C147" s="38">
        <v>52264</v>
      </c>
      <c r="D147" s="38">
        <v>111992</v>
      </c>
      <c r="E147" s="38">
        <v>110472</v>
      </c>
      <c r="F147" s="38">
        <v>110472</v>
      </c>
      <c r="G147" s="38">
        <v>653303</v>
      </c>
      <c r="H147" s="39">
        <v>0.16900000000000001</v>
      </c>
      <c r="I147" s="39">
        <v>0.16900000000000001</v>
      </c>
      <c r="J147" s="39">
        <v>0.17100000000000001</v>
      </c>
      <c r="K147" s="39">
        <v>1.7000000000000001E-2</v>
      </c>
      <c r="L147" s="39">
        <f>Tabelle12[[#This Row],[Spalte12]]-Tabelle12[[#This Row],[Spalte11]]</f>
        <v>6.9999999999999993E-2</v>
      </c>
      <c r="M147" s="39">
        <v>8.6999999999999994E-2</v>
      </c>
      <c r="N147" s="39">
        <v>0.10199999999999999</v>
      </c>
      <c r="O147" s="39">
        <v>0.122</v>
      </c>
      <c r="P147" s="39">
        <v>7.0000000000000007E-2</v>
      </c>
      <c r="Q147" s="38">
        <v>1572632</v>
      </c>
      <c r="R147" s="55" t="s">
        <v>209</v>
      </c>
      <c r="S147" s="55" t="s">
        <v>209</v>
      </c>
      <c r="T147" s="55" t="s">
        <v>209</v>
      </c>
      <c r="U147" s="56" t="s">
        <v>209</v>
      </c>
      <c r="V147" s="55" t="s">
        <v>209</v>
      </c>
      <c r="W147" s="55" t="s">
        <v>209</v>
      </c>
      <c r="X147" s="56" t="s">
        <v>209</v>
      </c>
      <c r="Y147" s="55" t="s">
        <v>209</v>
      </c>
      <c r="Z147" s="55" t="s">
        <v>209</v>
      </c>
      <c r="AA147" s="56" t="s">
        <v>209</v>
      </c>
      <c r="AB147" s="55" t="s">
        <v>209</v>
      </c>
      <c r="AC147" s="55" t="s">
        <v>209</v>
      </c>
      <c r="AD147" s="57" t="s">
        <v>209</v>
      </c>
      <c r="AE147" s="55" t="s">
        <v>209</v>
      </c>
      <c r="AF147" s="55" t="s">
        <v>209</v>
      </c>
      <c r="AG147" s="22"/>
    </row>
    <row r="148" spans="1:33" ht="10.5" customHeight="1" x14ac:dyDescent="0.15">
      <c r="A148" s="48" t="s">
        <v>52</v>
      </c>
      <c r="B148" s="42">
        <v>5</v>
      </c>
      <c r="C148" s="43">
        <v>745</v>
      </c>
      <c r="D148" s="43">
        <v>2710</v>
      </c>
      <c r="E148" s="43">
        <v>2710</v>
      </c>
      <c r="F148" s="43">
        <v>2710</v>
      </c>
      <c r="G148" s="43">
        <v>9312</v>
      </c>
      <c r="H148" s="44">
        <v>0.29099999999999998</v>
      </c>
      <c r="I148" s="44">
        <v>0.29099999999999998</v>
      </c>
      <c r="J148" s="44">
        <v>0.29099999999999998</v>
      </c>
      <c r="K148" s="44">
        <v>0</v>
      </c>
      <c r="L148" s="44">
        <f>Tabelle12[[#This Row],[Spalte12]]-Tabelle12[[#This Row],[Spalte11]]</f>
        <v>7.0000000000000007E-2</v>
      </c>
      <c r="M148" s="44">
        <v>7.0000000000000007E-2</v>
      </c>
      <c r="N148" s="44">
        <v>8.5000000000000006E-2</v>
      </c>
      <c r="O148" s="44">
        <v>0.105</v>
      </c>
      <c r="P148" s="44">
        <v>8.5999999999999993E-2</v>
      </c>
      <c r="Q148" s="43">
        <v>31610</v>
      </c>
      <c r="R148" s="45">
        <v>1.69</v>
      </c>
      <c r="S148" s="43">
        <v>5220</v>
      </c>
      <c r="T148" s="43">
        <v>3086</v>
      </c>
      <c r="U148" s="45">
        <v>1.56</v>
      </c>
      <c r="V148" s="43">
        <v>4521</v>
      </c>
      <c r="W148" s="43">
        <v>2905</v>
      </c>
      <c r="X148" s="45">
        <v>1.52</v>
      </c>
      <c r="Y148" s="43">
        <v>4976</v>
      </c>
      <c r="Z148" s="43">
        <v>3276</v>
      </c>
      <c r="AA148" s="45">
        <v>1.63</v>
      </c>
      <c r="AB148" s="43">
        <v>5908</v>
      </c>
      <c r="AC148" s="43">
        <v>3621</v>
      </c>
      <c r="AD148" s="46">
        <v>1.37</v>
      </c>
      <c r="AE148" s="43">
        <v>12517</v>
      </c>
      <c r="AF148" s="43">
        <v>9126</v>
      </c>
      <c r="AG148" s="22"/>
    </row>
    <row r="149" spans="1:33" ht="10.5" customHeight="1" x14ac:dyDescent="0.15">
      <c r="A149" s="47" t="s">
        <v>80</v>
      </c>
      <c r="B149" s="37">
        <v>4</v>
      </c>
      <c r="C149" s="38">
        <v>113826</v>
      </c>
      <c r="D149" s="38">
        <v>251506</v>
      </c>
      <c r="E149" s="38">
        <v>251506</v>
      </c>
      <c r="F149" s="38">
        <v>251506</v>
      </c>
      <c r="G149" s="38">
        <v>1422820</v>
      </c>
      <c r="H149" s="39">
        <v>0.17699999999999999</v>
      </c>
      <c r="I149" s="39">
        <v>0.17699999999999999</v>
      </c>
      <c r="J149" s="39">
        <v>0.17699999999999999</v>
      </c>
      <c r="K149" s="39">
        <v>3.0000000000000001E-3</v>
      </c>
      <c r="L149" s="39">
        <f>Tabelle12[[#This Row],[Spalte12]]-Tabelle12[[#This Row],[Spalte11]]</f>
        <v>7.3999999999999996E-2</v>
      </c>
      <c r="M149" s="39">
        <v>7.6999999999999999E-2</v>
      </c>
      <c r="N149" s="39">
        <v>9.2999999999999999E-2</v>
      </c>
      <c r="O149" s="39">
        <v>0.115</v>
      </c>
      <c r="P149" s="39">
        <v>6.9000000000000006E-2</v>
      </c>
      <c r="Q149" s="38">
        <v>3660356</v>
      </c>
      <c r="R149" s="40">
        <v>1.54</v>
      </c>
      <c r="S149" s="38">
        <v>766747</v>
      </c>
      <c r="T149" s="38">
        <v>496589</v>
      </c>
      <c r="U149" s="40">
        <v>1.39</v>
      </c>
      <c r="V149" s="38">
        <v>750578</v>
      </c>
      <c r="W149" s="38">
        <v>539531</v>
      </c>
      <c r="X149" s="40">
        <v>1.33</v>
      </c>
      <c r="Y149" s="38">
        <v>846615</v>
      </c>
      <c r="Z149" s="38">
        <v>637424</v>
      </c>
      <c r="AA149" s="40">
        <v>1.64</v>
      </c>
      <c r="AB149" s="38">
        <v>679647</v>
      </c>
      <c r="AC149" s="38">
        <v>413926</v>
      </c>
      <c r="AD149" s="41">
        <v>1.04</v>
      </c>
      <c r="AE149" s="38">
        <v>1644993</v>
      </c>
      <c r="AF149" s="38">
        <v>1578921</v>
      </c>
      <c r="AG149" s="22"/>
    </row>
    <row r="150" spans="1:33" ht="10.5" customHeight="1" x14ac:dyDescent="0.15">
      <c r="A150" s="48" t="s">
        <v>20</v>
      </c>
      <c r="B150" s="42">
        <v>5</v>
      </c>
      <c r="C150" s="43">
        <v>25197</v>
      </c>
      <c r="D150" s="43">
        <v>72762</v>
      </c>
      <c r="E150" s="43">
        <v>72762</v>
      </c>
      <c r="F150" s="43">
        <v>72762</v>
      </c>
      <c r="G150" s="43">
        <v>314966</v>
      </c>
      <c r="H150" s="44">
        <v>0.23100000000000001</v>
      </c>
      <c r="I150" s="44">
        <v>0.23100000000000001</v>
      </c>
      <c r="J150" s="44">
        <v>0.23100000000000001</v>
      </c>
      <c r="K150" s="44">
        <v>1.2999999999999999E-2</v>
      </c>
      <c r="L150" s="44">
        <f>Tabelle12[[#This Row],[Spalte12]]-Tabelle12[[#This Row],[Spalte11]]</f>
        <v>7.0000000000000007E-2</v>
      </c>
      <c r="M150" s="44">
        <v>8.3000000000000004E-2</v>
      </c>
      <c r="N150" s="44">
        <v>9.8000000000000004E-2</v>
      </c>
      <c r="O150" s="44">
        <v>0.11799999999999999</v>
      </c>
      <c r="P150" s="44">
        <v>0.11</v>
      </c>
      <c r="Q150" s="43">
        <v>661762</v>
      </c>
      <c r="R150" s="45">
        <v>1.86</v>
      </c>
      <c r="S150" s="43">
        <v>60579</v>
      </c>
      <c r="T150" s="43">
        <v>32604</v>
      </c>
      <c r="U150" s="45">
        <v>1.87</v>
      </c>
      <c r="V150" s="43">
        <v>63012</v>
      </c>
      <c r="W150" s="43">
        <v>33755</v>
      </c>
      <c r="X150" s="45">
        <v>1.98</v>
      </c>
      <c r="Y150" s="43">
        <v>59808</v>
      </c>
      <c r="Z150" s="43">
        <v>30194</v>
      </c>
      <c r="AA150" s="45">
        <v>1.76</v>
      </c>
      <c r="AB150" s="43">
        <v>56315</v>
      </c>
      <c r="AC150" s="43">
        <v>31980</v>
      </c>
      <c r="AD150" s="46">
        <v>1.3</v>
      </c>
      <c r="AE150" s="43">
        <v>579964</v>
      </c>
      <c r="AF150" s="43">
        <v>446364</v>
      </c>
      <c r="AG150" s="22"/>
    </row>
    <row r="151" spans="1:33" ht="10.5" customHeight="1" x14ac:dyDescent="0.15">
      <c r="A151" s="47" t="s">
        <v>202</v>
      </c>
      <c r="B151" s="37">
        <v>5</v>
      </c>
      <c r="C151" s="38">
        <v>26226</v>
      </c>
      <c r="D151" s="38">
        <v>55072</v>
      </c>
      <c r="E151" s="38">
        <v>55072</v>
      </c>
      <c r="F151" s="38">
        <v>55072</v>
      </c>
      <c r="G151" s="38">
        <v>327826</v>
      </c>
      <c r="H151" s="39">
        <v>0.16800000000000001</v>
      </c>
      <c r="I151" s="39">
        <v>0.16800000000000001</v>
      </c>
      <c r="J151" s="39">
        <v>0.16800000000000001</v>
      </c>
      <c r="K151" s="39">
        <v>1.6E-2</v>
      </c>
      <c r="L151" s="39">
        <f>Tabelle12[[#This Row],[Spalte12]]-Tabelle12[[#This Row],[Spalte11]]</f>
        <v>6.9999999999999993E-2</v>
      </c>
      <c r="M151" s="39">
        <v>8.5999999999999993E-2</v>
      </c>
      <c r="N151" s="39">
        <v>0.10100000000000001</v>
      </c>
      <c r="O151" s="39">
        <v>0.121</v>
      </c>
      <c r="P151" s="39">
        <v>7.0000000000000007E-2</v>
      </c>
      <c r="Q151" s="38">
        <v>783708</v>
      </c>
      <c r="R151" s="40">
        <v>1.88</v>
      </c>
      <c r="S151" s="38">
        <v>96646</v>
      </c>
      <c r="T151" s="38">
        <v>51470</v>
      </c>
      <c r="U151" s="40">
        <v>2.02</v>
      </c>
      <c r="V151" s="38">
        <v>93153</v>
      </c>
      <c r="W151" s="38">
        <v>46064</v>
      </c>
      <c r="X151" s="40">
        <v>1.76</v>
      </c>
      <c r="Y151" s="38">
        <v>86461</v>
      </c>
      <c r="Z151" s="38">
        <v>49025</v>
      </c>
      <c r="AA151" s="40">
        <v>1.69</v>
      </c>
      <c r="AB151" s="38">
        <v>81178</v>
      </c>
      <c r="AC151" s="38">
        <v>47901</v>
      </c>
      <c r="AD151" s="41">
        <v>1.28</v>
      </c>
      <c r="AE151" s="38">
        <v>654948</v>
      </c>
      <c r="AF151" s="38">
        <v>512971</v>
      </c>
      <c r="AG151" s="22"/>
    </row>
    <row r="152" spans="1:33" ht="10.5" customHeight="1" x14ac:dyDescent="0.15">
      <c r="A152" s="48" t="s">
        <v>203</v>
      </c>
      <c r="B152" s="42">
        <v>5</v>
      </c>
      <c r="C152" s="43">
        <v>37897</v>
      </c>
      <c r="D152" s="43">
        <v>80107</v>
      </c>
      <c r="E152" s="43">
        <v>80107</v>
      </c>
      <c r="F152" s="43">
        <v>80107</v>
      </c>
      <c r="G152" s="43">
        <v>473711</v>
      </c>
      <c r="H152" s="44">
        <v>0.16900000000000001</v>
      </c>
      <c r="I152" s="44">
        <v>0.16900000000000001</v>
      </c>
      <c r="J152" s="44">
        <v>0.16900000000000001</v>
      </c>
      <c r="K152" s="44">
        <v>1.0999999999999999E-2</v>
      </c>
      <c r="L152" s="44">
        <f>Tabelle12[[#This Row],[Spalte12]]-Tabelle12[[#This Row],[Spalte11]]</f>
        <v>7.0000000000000007E-2</v>
      </c>
      <c r="M152" s="44">
        <v>8.1000000000000003E-2</v>
      </c>
      <c r="N152" s="44">
        <v>9.6000000000000002E-2</v>
      </c>
      <c r="O152" s="44">
        <v>0.11600000000000001</v>
      </c>
      <c r="P152" s="44">
        <v>8.6999999999999994E-2</v>
      </c>
      <c r="Q152" s="43">
        <v>920759</v>
      </c>
      <c r="R152" s="54" t="s">
        <v>209</v>
      </c>
      <c r="S152" s="54" t="s">
        <v>209</v>
      </c>
      <c r="T152" s="54" t="s">
        <v>209</v>
      </c>
      <c r="U152" s="54" t="s">
        <v>209</v>
      </c>
      <c r="V152" s="54" t="s">
        <v>209</v>
      </c>
      <c r="W152" s="54" t="s">
        <v>209</v>
      </c>
      <c r="X152" s="54" t="s">
        <v>209</v>
      </c>
      <c r="Y152" s="54" t="s">
        <v>209</v>
      </c>
      <c r="Z152" s="54" t="s">
        <v>209</v>
      </c>
      <c r="AA152" s="54" t="s">
        <v>209</v>
      </c>
      <c r="AB152" s="54" t="s">
        <v>209</v>
      </c>
      <c r="AC152" s="54" t="s">
        <v>209</v>
      </c>
      <c r="AD152" s="54" t="s">
        <v>209</v>
      </c>
      <c r="AE152" s="54" t="s">
        <v>209</v>
      </c>
      <c r="AF152" s="54" t="s">
        <v>209</v>
      </c>
      <c r="AG152" s="22"/>
    </row>
    <row r="153" spans="1:33" ht="10.5" customHeight="1" x14ac:dyDescent="0.15">
      <c r="A153" s="47" t="s">
        <v>26</v>
      </c>
      <c r="B153" s="37">
        <v>3</v>
      </c>
      <c r="C153" s="38">
        <v>1517082</v>
      </c>
      <c r="D153" s="38">
        <v>3318052</v>
      </c>
      <c r="E153" s="38">
        <v>2886654</v>
      </c>
      <c r="F153" s="38">
        <v>2886654</v>
      </c>
      <c r="G153" s="38">
        <v>18963524</v>
      </c>
      <c r="H153" s="39">
        <v>0.152</v>
      </c>
      <c r="I153" s="39">
        <v>0.152</v>
      </c>
      <c r="J153" s="39">
        <v>0.17499999999999999</v>
      </c>
      <c r="K153" s="39">
        <v>1.2E-2</v>
      </c>
      <c r="L153" s="39">
        <f>Tabelle12[[#This Row],[Spalte12]]-Tabelle12[[#This Row],[Spalte11]]</f>
        <v>7.8E-2</v>
      </c>
      <c r="M153" s="39">
        <v>0.09</v>
      </c>
      <c r="N153" s="39">
        <v>0.108</v>
      </c>
      <c r="O153" s="39">
        <v>0.13200000000000001</v>
      </c>
      <c r="P153" s="39">
        <v>6.0999999999999999E-2</v>
      </c>
      <c r="Q153" s="38">
        <v>47136464</v>
      </c>
      <c r="R153" s="40">
        <v>1.33</v>
      </c>
      <c r="S153" s="38">
        <v>7372701</v>
      </c>
      <c r="T153" s="38">
        <v>5533908</v>
      </c>
      <c r="U153" s="40">
        <v>1.39</v>
      </c>
      <c r="V153" s="38">
        <v>8219236</v>
      </c>
      <c r="W153" s="38">
        <v>5897631</v>
      </c>
      <c r="X153" s="40">
        <v>1.53</v>
      </c>
      <c r="Y153" s="38">
        <v>8754719</v>
      </c>
      <c r="Z153" s="38">
        <v>5709578</v>
      </c>
      <c r="AA153" s="40">
        <v>1.38</v>
      </c>
      <c r="AB153" s="38">
        <v>7853869</v>
      </c>
      <c r="AC153" s="38">
        <v>5672253</v>
      </c>
      <c r="AD153" s="41">
        <v>1.3</v>
      </c>
      <c r="AE153" s="38">
        <v>32976709</v>
      </c>
      <c r="AF153" s="38">
        <v>25334169</v>
      </c>
      <c r="AG153" s="22"/>
    </row>
    <row r="154" spans="1:33" ht="10.5" customHeight="1" x14ac:dyDescent="0.15">
      <c r="A154" s="48" t="s">
        <v>114</v>
      </c>
      <c r="B154" s="42">
        <v>5</v>
      </c>
      <c r="C154" s="43">
        <v>14399</v>
      </c>
      <c r="D154" s="43">
        <v>35235</v>
      </c>
      <c r="E154" s="43">
        <v>35235</v>
      </c>
      <c r="F154" s="43">
        <v>35235</v>
      </c>
      <c r="G154" s="43">
        <v>179990</v>
      </c>
      <c r="H154" s="44">
        <v>0.19600000000000001</v>
      </c>
      <c r="I154" s="44">
        <v>0.19600000000000001</v>
      </c>
      <c r="J154" s="44">
        <v>0.19600000000000001</v>
      </c>
      <c r="K154" s="44">
        <v>0</v>
      </c>
      <c r="L154" s="44">
        <f>Tabelle12[[#This Row],[Spalte12]]-Tabelle12[[#This Row],[Spalte11]]</f>
        <v>7.0000000000000007E-2</v>
      </c>
      <c r="M154" s="44">
        <v>7.0000000000000007E-2</v>
      </c>
      <c r="N154" s="44">
        <v>8.5000000000000006E-2</v>
      </c>
      <c r="O154" s="44">
        <v>0.105</v>
      </c>
      <c r="P154" s="44">
        <v>0.10100000000000001</v>
      </c>
      <c r="Q154" s="43">
        <v>348638</v>
      </c>
      <c r="R154" s="45">
        <v>3.51</v>
      </c>
      <c r="S154" s="43">
        <v>107607</v>
      </c>
      <c r="T154" s="43">
        <v>30678</v>
      </c>
      <c r="U154" s="45">
        <v>4.66</v>
      </c>
      <c r="V154" s="43">
        <v>110806</v>
      </c>
      <c r="W154" s="43">
        <v>23800</v>
      </c>
      <c r="X154" s="45">
        <v>4.04</v>
      </c>
      <c r="Y154" s="43">
        <v>118927</v>
      </c>
      <c r="Z154" s="43">
        <v>29444</v>
      </c>
      <c r="AA154" s="45">
        <v>4.25</v>
      </c>
      <c r="AB154" s="43">
        <v>119977</v>
      </c>
      <c r="AC154" s="43">
        <v>28208</v>
      </c>
      <c r="AD154" s="46">
        <v>2.14</v>
      </c>
      <c r="AE154" s="43">
        <v>302807</v>
      </c>
      <c r="AF154" s="43">
        <v>141745</v>
      </c>
      <c r="AG154" s="22"/>
    </row>
    <row r="155" spans="1:33" ht="10.5" customHeight="1" x14ac:dyDescent="0.15">
      <c r="A155" s="47" t="s">
        <v>94</v>
      </c>
      <c r="B155" s="37">
        <v>4</v>
      </c>
      <c r="C155" s="38">
        <v>300886</v>
      </c>
      <c r="D155" s="38">
        <v>754915</v>
      </c>
      <c r="E155" s="38">
        <v>754063</v>
      </c>
      <c r="F155" s="38">
        <v>754063</v>
      </c>
      <c r="G155" s="38">
        <v>3761078</v>
      </c>
      <c r="H155" s="39">
        <v>0.2</v>
      </c>
      <c r="I155" s="39">
        <v>0.2</v>
      </c>
      <c r="J155" s="39">
        <v>0.20100000000000001</v>
      </c>
      <c r="K155" s="39">
        <v>0</v>
      </c>
      <c r="L155" s="39">
        <f>Tabelle12[[#This Row],[Spalte12]]-Tabelle12[[#This Row],[Spalte11]]</f>
        <v>7.3999999999999996E-2</v>
      </c>
      <c r="M155" s="39">
        <v>7.3999999999999996E-2</v>
      </c>
      <c r="N155" s="39">
        <v>0.09</v>
      </c>
      <c r="O155" s="39">
        <v>0.112</v>
      </c>
      <c r="P155" s="39">
        <v>6.0999999999999999E-2</v>
      </c>
      <c r="Q155" s="38">
        <v>12265853</v>
      </c>
      <c r="R155" s="40">
        <v>3.59</v>
      </c>
      <c r="S155" s="38">
        <v>5130705</v>
      </c>
      <c r="T155" s="38">
        <v>1428101</v>
      </c>
      <c r="U155" s="40">
        <v>3.59</v>
      </c>
      <c r="V155" s="38">
        <v>5387528</v>
      </c>
      <c r="W155" s="38">
        <v>1500287</v>
      </c>
      <c r="X155" s="40">
        <v>3.73</v>
      </c>
      <c r="Y155" s="38">
        <v>5351797</v>
      </c>
      <c r="Z155" s="38">
        <v>1434509</v>
      </c>
      <c r="AA155" s="40">
        <v>3.19</v>
      </c>
      <c r="AB155" s="38">
        <v>5977702</v>
      </c>
      <c r="AC155" s="38">
        <v>1871570</v>
      </c>
      <c r="AD155" s="41">
        <v>2.63</v>
      </c>
      <c r="AE155" s="38">
        <v>8795408</v>
      </c>
      <c r="AF155" s="38">
        <v>3349225</v>
      </c>
      <c r="AG155" s="22"/>
    </row>
    <row r="156" spans="1:33" ht="10.5" customHeight="1" x14ac:dyDescent="0.15">
      <c r="A156" s="48" t="s">
        <v>97</v>
      </c>
      <c r="B156" s="42">
        <v>4</v>
      </c>
      <c r="C156" s="43">
        <v>331818</v>
      </c>
      <c r="D156" s="43">
        <v>973051</v>
      </c>
      <c r="E156" s="43">
        <v>968194</v>
      </c>
      <c r="F156" s="43">
        <v>968194</v>
      </c>
      <c r="G156" s="43">
        <v>4147726</v>
      </c>
      <c r="H156" s="44">
        <v>0.23300000000000001</v>
      </c>
      <c r="I156" s="44">
        <v>0.23300000000000001</v>
      </c>
      <c r="J156" s="44">
        <v>0.23499999999999999</v>
      </c>
      <c r="K156" s="44">
        <v>0</v>
      </c>
      <c r="L156" s="44">
        <f>Tabelle12[[#This Row],[Spalte12]]-Tabelle12[[#This Row],[Spalte11]]</f>
        <v>7.3999999999999996E-2</v>
      </c>
      <c r="M156" s="44">
        <v>7.3999999999999996E-2</v>
      </c>
      <c r="N156" s="44">
        <v>0.09</v>
      </c>
      <c r="O156" s="44">
        <v>0.112</v>
      </c>
      <c r="P156" s="44">
        <v>7.1999999999999995E-2</v>
      </c>
      <c r="Q156" s="43">
        <v>13358288</v>
      </c>
      <c r="R156" s="45">
        <v>4.42</v>
      </c>
      <c r="S156" s="43">
        <v>5351995</v>
      </c>
      <c r="T156" s="43">
        <v>1209773</v>
      </c>
      <c r="U156" s="45">
        <v>3.58</v>
      </c>
      <c r="V156" s="43">
        <v>5685761</v>
      </c>
      <c r="W156" s="43">
        <v>1590313</v>
      </c>
      <c r="X156" s="45">
        <v>3.37</v>
      </c>
      <c r="Y156" s="43">
        <v>5611380</v>
      </c>
      <c r="Z156" s="43">
        <v>1664934</v>
      </c>
      <c r="AA156" s="45">
        <v>3.06</v>
      </c>
      <c r="AB156" s="43">
        <v>6289732</v>
      </c>
      <c r="AC156" s="43">
        <v>2052853</v>
      </c>
      <c r="AD156" s="54" t="s">
        <v>209</v>
      </c>
      <c r="AE156" s="54" t="s">
        <v>209</v>
      </c>
      <c r="AF156" s="54" t="s">
        <v>209</v>
      </c>
      <c r="AG156" s="22"/>
    </row>
    <row r="157" spans="1:33" ht="10.5" customHeight="1" x14ac:dyDescent="0.15">
      <c r="A157" s="47" t="s">
        <v>124</v>
      </c>
      <c r="B157" s="37">
        <v>5</v>
      </c>
      <c r="C157" s="38">
        <v>57442</v>
      </c>
      <c r="D157" s="38">
        <v>125530</v>
      </c>
      <c r="E157" s="38">
        <v>125530</v>
      </c>
      <c r="F157" s="38">
        <v>125530</v>
      </c>
      <c r="G157" s="38">
        <v>718020</v>
      </c>
      <c r="H157" s="39">
        <v>0.17499999999999999</v>
      </c>
      <c r="I157" s="39">
        <v>0.17499999999999999</v>
      </c>
      <c r="J157" s="39">
        <v>0.17499999999999999</v>
      </c>
      <c r="K157" s="39">
        <v>0</v>
      </c>
      <c r="L157" s="39">
        <f>Tabelle12[[#This Row],[Spalte12]]-Tabelle12[[#This Row],[Spalte11]]</f>
        <v>7.0000000000000007E-2</v>
      </c>
      <c r="M157" s="39">
        <v>7.0000000000000007E-2</v>
      </c>
      <c r="N157" s="39">
        <v>8.5000000000000006E-2</v>
      </c>
      <c r="O157" s="39">
        <v>0.105</v>
      </c>
      <c r="P157" s="39">
        <v>0.152</v>
      </c>
      <c r="Q157" s="38">
        <v>825174</v>
      </c>
      <c r="R157" s="40">
        <v>3.57</v>
      </c>
      <c r="S157" s="38">
        <v>212500</v>
      </c>
      <c r="T157" s="38">
        <v>59562</v>
      </c>
      <c r="U157" s="40">
        <v>3.47</v>
      </c>
      <c r="V157" s="38">
        <v>166745</v>
      </c>
      <c r="W157" s="38">
        <v>48081</v>
      </c>
      <c r="X157" s="40">
        <v>2.7</v>
      </c>
      <c r="Y157" s="38">
        <v>134235</v>
      </c>
      <c r="Z157" s="38">
        <v>49798</v>
      </c>
      <c r="AA157" s="40">
        <v>2.16</v>
      </c>
      <c r="AB157" s="38">
        <v>94057</v>
      </c>
      <c r="AC157" s="38">
        <v>43602</v>
      </c>
      <c r="AD157" s="41">
        <v>1.89</v>
      </c>
      <c r="AE157" s="38">
        <v>542122</v>
      </c>
      <c r="AF157" s="38">
        <v>286508</v>
      </c>
      <c r="AG157" s="22"/>
    </row>
    <row r="158" spans="1:33" ht="10.5" customHeight="1" x14ac:dyDescent="0.15">
      <c r="A158" s="48" t="s">
        <v>184</v>
      </c>
      <c r="B158" s="42">
        <v>5</v>
      </c>
      <c r="C158" s="43">
        <v>3537</v>
      </c>
      <c r="D158" s="43">
        <v>57646</v>
      </c>
      <c r="E158" s="43">
        <v>57646</v>
      </c>
      <c r="F158" s="43">
        <v>57646</v>
      </c>
      <c r="G158" s="43">
        <v>44217</v>
      </c>
      <c r="H158" s="44">
        <v>1.304</v>
      </c>
      <c r="I158" s="44">
        <v>1.304</v>
      </c>
      <c r="J158" s="44">
        <v>1.304</v>
      </c>
      <c r="K158" s="44">
        <v>0</v>
      </c>
      <c r="L158" s="44">
        <f>Tabelle12[[#This Row],[Spalte12]]-Tabelle12[[#This Row],[Spalte11]]</f>
        <v>7.0000000000000007E-2</v>
      </c>
      <c r="M158" s="44">
        <v>7.0000000000000007E-2</v>
      </c>
      <c r="N158" s="44">
        <v>8.5000000000000006E-2</v>
      </c>
      <c r="O158" s="44">
        <v>0.105</v>
      </c>
      <c r="P158" s="44">
        <v>0.93</v>
      </c>
      <c r="Q158" s="43">
        <v>62014</v>
      </c>
      <c r="R158" s="45">
        <v>58.86</v>
      </c>
      <c r="S158" s="43">
        <v>54664</v>
      </c>
      <c r="T158" s="43">
        <v>929</v>
      </c>
      <c r="U158" s="45">
        <v>69.959999999999994</v>
      </c>
      <c r="V158" s="43">
        <v>52631</v>
      </c>
      <c r="W158" s="43">
        <v>752</v>
      </c>
      <c r="X158" s="45">
        <v>81.99</v>
      </c>
      <c r="Y158" s="43">
        <v>52061</v>
      </c>
      <c r="Z158" s="43">
        <v>635</v>
      </c>
      <c r="AA158" s="45">
        <v>58.9</v>
      </c>
      <c r="AB158" s="43">
        <v>47491</v>
      </c>
      <c r="AC158" s="43">
        <v>806</v>
      </c>
      <c r="AD158" s="46">
        <v>9.73</v>
      </c>
      <c r="AE158" s="43">
        <v>58467</v>
      </c>
      <c r="AF158" s="43">
        <v>6008</v>
      </c>
      <c r="AG158" s="22"/>
    </row>
    <row r="159" spans="1:33" ht="10.5" customHeight="1" x14ac:dyDescent="0.15">
      <c r="A159" s="47" t="s">
        <v>226</v>
      </c>
      <c r="B159" s="37">
        <v>5</v>
      </c>
      <c r="C159" s="38">
        <v>14165</v>
      </c>
      <c r="D159" s="38">
        <v>31011</v>
      </c>
      <c r="E159" s="38">
        <v>31011</v>
      </c>
      <c r="F159" s="38">
        <v>31011</v>
      </c>
      <c r="G159" s="38">
        <v>177066</v>
      </c>
      <c r="H159" s="39">
        <v>0.17499999999999999</v>
      </c>
      <c r="I159" s="39">
        <v>0.17499999999999999</v>
      </c>
      <c r="J159" s="39">
        <v>0.17499999999999999</v>
      </c>
      <c r="K159" s="39">
        <v>4.0000000000000001E-3</v>
      </c>
      <c r="L159" s="39">
        <f>Tabelle12[[#This Row],[Spalte12]]-Tabelle12[[#This Row],[Spalte11]]</f>
        <v>6.9999999999999993E-2</v>
      </c>
      <c r="M159" s="39">
        <v>7.3999999999999996E-2</v>
      </c>
      <c r="N159" s="39">
        <v>8.8999999999999996E-2</v>
      </c>
      <c r="O159" s="39">
        <v>0.109</v>
      </c>
      <c r="P159" s="39">
        <v>0.1</v>
      </c>
      <c r="Q159" s="38">
        <v>309623</v>
      </c>
      <c r="R159" s="40">
        <v>4.66</v>
      </c>
      <c r="S159" s="38">
        <v>72508</v>
      </c>
      <c r="T159" s="38">
        <v>15544</v>
      </c>
      <c r="U159" s="40">
        <v>4.3600000000000003</v>
      </c>
      <c r="V159" s="38">
        <v>73266</v>
      </c>
      <c r="W159" s="38">
        <v>16815</v>
      </c>
      <c r="X159" s="40">
        <v>5.44</v>
      </c>
      <c r="Y159" s="38">
        <v>68047</v>
      </c>
      <c r="Z159" s="38">
        <v>12498</v>
      </c>
      <c r="AA159" s="40">
        <v>4.9000000000000004</v>
      </c>
      <c r="AB159" s="38">
        <v>83274</v>
      </c>
      <c r="AC159" s="38">
        <v>16987</v>
      </c>
      <c r="AD159" s="41">
        <v>1.79</v>
      </c>
      <c r="AE159" s="38">
        <v>173451</v>
      </c>
      <c r="AF159" s="38">
        <v>96712</v>
      </c>
      <c r="AG159" s="22"/>
    </row>
    <row r="160" spans="1:33" ht="10.5" customHeight="1" x14ac:dyDescent="0.15">
      <c r="A160" s="48" t="s">
        <v>17</v>
      </c>
      <c r="B160" s="42">
        <v>3</v>
      </c>
      <c r="C160" s="43">
        <v>1171168</v>
      </c>
      <c r="D160" s="43">
        <v>2804265</v>
      </c>
      <c r="E160" s="43">
        <v>2751068</v>
      </c>
      <c r="F160" s="43">
        <v>2751068</v>
      </c>
      <c r="G160" s="43">
        <v>14639596</v>
      </c>
      <c r="H160" s="44">
        <v>0.188</v>
      </c>
      <c r="I160" s="44">
        <v>0.188</v>
      </c>
      <c r="J160" s="44">
        <v>0.192</v>
      </c>
      <c r="K160" s="44">
        <v>1.2999999999999999E-2</v>
      </c>
      <c r="L160" s="44">
        <f>Tabelle12[[#This Row],[Spalte12]]-Tabelle12[[#This Row],[Spalte11]]</f>
        <v>7.8E-2</v>
      </c>
      <c r="M160" s="44">
        <v>9.0999999999999998E-2</v>
      </c>
      <c r="N160" s="44">
        <v>0.109</v>
      </c>
      <c r="O160" s="44">
        <v>0.13300000000000001</v>
      </c>
      <c r="P160" s="44">
        <v>7.5999999999999998E-2</v>
      </c>
      <c r="Q160" s="43">
        <v>36167003</v>
      </c>
      <c r="R160" s="45">
        <v>1.41</v>
      </c>
      <c r="S160" s="43">
        <v>5100489</v>
      </c>
      <c r="T160" s="43">
        <v>3625241</v>
      </c>
      <c r="U160" s="45">
        <v>1.4</v>
      </c>
      <c r="V160" s="43">
        <v>5160294</v>
      </c>
      <c r="W160" s="43">
        <v>3677846</v>
      </c>
      <c r="X160" s="45">
        <v>1.48</v>
      </c>
      <c r="Y160" s="43">
        <v>4750825</v>
      </c>
      <c r="Z160" s="43">
        <v>3209883</v>
      </c>
      <c r="AA160" s="45">
        <v>1.68</v>
      </c>
      <c r="AB160" s="43">
        <v>5093050</v>
      </c>
      <c r="AC160" s="43">
        <v>3028434</v>
      </c>
      <c r="AD160" s="46">
        <v>1.32</v>
      </c>
      <c r="AE160" s="43">
        <v>27192584</v>
      </c>
      <c r="AF160" s="43">
        <v>20572244</v>
      </c>
      <c r="AG160" s="22"/>
    </row>
    <row r="161" spans="1:33" ht="10.5" customHeight="1" x14ac:dyDescent="0.15">
      <c r="A161" s="47" t="s">
        <v>204</v>
      </c>
      <c r="B161" s="37">
        <v>5</v>
      </c>
      <c r="C161" s="38">
        <v>36270</v>
      </c>
      <c r="D161" s="38">
        <v>484400</v>
      </c>
      <c r="E161" s="38">
        <v>484400</v>
      </c>
      <c r="F161" s="38">
        <v>484400</v>
      </c>
      <c r="G161" s="38">
        <v>453372</v>
      </c>
      <c r="H161" s="39">
        <v>1.0680000000000001</v>
      </c>
      <c r="I161" s="39">
        <v>1.0680000000000001</v>
      </c>
      <c r="J161" s="39">
        <v>1.0680000000000001</v>
      </c>
      <c r="K161" s="39">
        <v>0</v>
      </c>
      <c r="L161" s="39">
        <f>Tabelle12[[#This Row],[Spalte12]]-Tabelle12[[#This Row],[Spalte11]]</f>
        <v>7.0000000000000007E-2</v>
      </c>
      <c r="M161" s="39">
        <v>7.0000000000000007E-2</v>
      </c>
      <c r="N161" s="39">
        <v>8.5000000000000006E-2</v>
      </c>
      <c r="O161" s="39">
        <v>0.105</v>
      </c>
      <c r="P161" s="39">
        <v>0.75</v>
      </c>
      <c r="Q161" s="38">
        <v>645919</v>
      </c>
      <c r="R161" s="40">
        <v>6.13</v>
      </c>
      <c r="S161" s="38">
        <v>273264</v>
      </c>
      <c r="T161" s="38">
        <v>44570</v>
      </c>
      <c r="U161" s="40">
        <v>13.25</v>
      </c>
      <c r="V161" s="38">
        <v>274718</v>
      </c>
      <c r="W161" s="38">
        <v>20731</v>
      </c>
      <c r="X161" s="40">
        <v>12.09</v>
      </c>
      <c r="Y161" s="38">
        <v>254607</v>
      </c>
      <c r="Z161" s="38">
        <v>21055</v>
      </c>
      <c r="AA161" s="40">
        <v>8.27</v>
      </c>
      <c r="AB161" s="38">
        <v>170757</v>
      </c>
      <c r="AC161" s="38">
        <v>20643</v>
      </c>
      <c r="AD161" s="41">
        <v>2.13</v>
      </c>
      <c r="AE161" s="38">
        <v>628198</v>
      </c>
      <c r="AF161" s="38">
        <v>294477</v>
      </c>
      <c r="AG161" s="22"/>
    </row>
    <row r="162" spans="1:33" ht="10.5" customHeight="1" x14ac:dyDescent="0.15">
      <c r="A162" s="48" t="s">
        <v>74</v>
      </c>
      <c r="B162" s="42">
        <v>3</v>
      </c>
      <c r="C162" s="43">
        <v>694315</v>
      </c>
      <c r="D162" s="43">
        <v>2507951</v>
      </c>
      <c r="E162" s="43">
        <v>2503951</v>
      </c>
      <c r="F162" s="43">
        <v>2503951</v>
      </c>
      <c r="G162" s="43">
        <v>8678943</v>
      </c>
      <c r="H162" s="44">
        <v>0.28899999999999998</v>
      </c>
      <c r="I162" s="44">
        <v>0.28899999999999998</v>
      </c>
      <c r="J162" s="44">
        <v>0.28899999999999998</v>
      </c>
      <c r="K162" s="44">
        <v>0</v>
      </c>
      <c r="L162" s="44">
        <f>Tabelle12[[#This Row],[Spalte12]]-Tabelle12[[#This Row],[Spalte11]]</f>
        <v>7.8E-2</v>
      </c>
      <c r="M162" s="44">
        <v>7.8E-2</v>
      </c>
      <c r="N162" s="44">
        <v>9.6000000000000002E-2</v>
      </c>
      <c r="O162" s="44">
        <v>0.12</v>
      </c>
      <c r="P162" s="44">
        <v>0.06</v>
      </c>
      <c r="Q162" s="43">
        <v>41427436</v>
      </c>
      <c r="R162" s="45">
        <v>3.06</v>
      </c>
      <c r="S162" s="43">
        <v>14233627</v>
      </c>
      <c r="T162" s="43">
        <v>4654238</v>
      </c>
      <c r="U162" s="45">
        <v>2.81</v>
      </c>
      <c r="V162" s="43">
        <v>14060425</v>
      </c>
      <c r="W162" s="43">
        <v>5012610</v>
      </c>
      <c r="X162" s="45">
        <v>3</v>
      </c>
      <c r="Y162" s="43">
        <v>12959390</v>
      </c>
      <c r="Z162" s="43">
        <v>4324800</v>
      </c>
      <c r="AA162" s="45">
        <v>3.2</v>
      </c>
      <c r="AB162" s="43">
        <v>15073563</v>
      </c>
      <c r="AC162" s="43">
        <v>4706388</v>
      </c>
      <c r="AD162" s="46">
        <v>1.8</v>
      </c>
      <c r="AE162" s="43">
        <v>23735559</v>
      </c>
      <c r="AF162" s="43">
        <v>13170004</v>
      </c>
      <c r="AG162" s="22"/>
    </row>
    <row r="163" spans="1:33" ht="10.5" customHeight="1" x14ac:dyDescent="0.15">
      <c r="A163" s="47" t="s">
        <v>7</v>
      </c>
      <c r="B163" s="37">
        <v>4</v>
      </c>
      <c r="C163" s="38">
        <v>147572</v>
      </c>
      <c r="D163" s="38">
        <v>362084</v>
      </c>
      <c r="E163" s="38">
        <v>352628</v>
      </c>
      <c r="F163" s="38">
        <v>352628</v>
      </c>
      <c r="G163" s="38">
        <v>1844655</v>
      </c>
      <c r="H163" s="39">
        <v>0.191</v>
      </c>
      <c r="I163" s="39">
        <v>0.191</v>
      </c>
      <c r="J163" s="39">
        <v>0.19600000000000001</v>
      </c>
      <c r="K163" s="39">
        <v>1.2E-2</v>
      </c>
      <c r="L163" s="39">
        <f>Tabelle12[[#This Row],[Spalte12]]-Tabelle12[[#This Row],[Spalte11]]</f>
        <v>7.3999999999999996E-2</v>
      </c>
      <c r="M163" s="39">
        <v>8.5999999999999993E-2</v>
      </c>
      <c r="N163" s="39">
        <v>0.10199999999999999</v>
      </c>
      <c r="O163" s="39">
        <v>0.124</v>
      </c>
      <c r="P163" s="39">
        <v>8.8999999999999996E-2</v>
      </c>
      <c r="Q163" s="38">
        <v>3943627</v>
      </c>
      <c r="R163" s="40">
        <v>1.47</v>
      </c>
      <c r="S163" s="38">
        <v>368891</v>
      </c>
      <c r="T163" s="38">
        <v>250869</v>
      </c>
      <c r="U163" s="40">
        <v>1.43</v>
      </c>
      <c r="V163" s="38">
        <v>372268</v>
      </c>
      <c r="W163" s="38">
        <v>260780</v>
      </c>
      <c r="X163" s="40">
        <v>1.5</v>
      </c>
      <c r="Y163" s="38">
        <v>367423</v>
      </c>
      <c r="Z163" s="38">
        <v>245121</v>
      </c>
      <c r="AA163" s="40">
        <v>1.58</v>
      </c>
      <c r="AB163" s="38">
        <v>395268</v>
      </c>
      <c r="AC163" s="38">
        <v>249640</v>
      </c>
      <c r="AD163" s="41">
        <v>1.25</v>
      </c>
      <c r="AE163" s="38">
        <v>3201896</v>
      </c>
      <c r="AF163" s="38">
        <v>2565115</v>
      </c>
      <c r="AG163" s="22"/>
    </row>
    <row r="164" spans="1:33" ht="10.5" customHeight="1" x14ac:dyDescent="0.15">
      <c r="A164" s="48" t="s">
        <v>2</v>
      </c>
      <c r="B164" s="42">
        <v>3</v>
      </c>
      <c r="C164" s="43">
        <v>1234769</v>
      </c>
      <c r="D164" s="43">
        <v>2469298</v>
      </c>
      <c r="E164" s="43">
        <v>2467070</v>
      </c>
      <c r="F164" s="43">
        <v>2467070</v>
      </c>
      <c r="G164" s="43">
        <v>15434612</v>
      </c>
      <c r="H164" s="44">
        <v>0.16</v>
      </c>
      <c r="I164" s="44">
        <v>0.16</v>
      </c>
      <c r="J164" s="44">
        <v>0.16</v>
      </c>
      <c r="K164" s="44">
        <v>1.6E-2</v>
      </c>
      <c r="L164" s="44">
        <f>Tabelle12[[#This Row],[Spalte12]]-Tabelle12[[#This Row],[Spalte11]]</f>
        <v>7.8E-2</v>
      </c>
      <c r="M164" s="44">
        <v>9.4E-2</v>
      </c>
      <c r="N164" s="44">
        <v>0.112</v>
      </c>
      <c r="O164" s="44">
        <v>0.13600000000000001</v>
      </c>
      <c r="P164" s="44">
        <v>6.6000000000000003E-2</v>
      </c>
      <c r="Q164" s="43">
        <v>37607765</v>
      </c>
      <c r="R164" s="45">
        <v>1.35</v>
      </c>
      <c r="S164" s="43">
        <v>5368338</v>
      </c>
      <c r="T164" s="43">
        <v>3980543</v>
      </c>
      <c r="U164" s="45">
        <v>1.37</v>
      </c>
      <c r="V164" s="43">
        <v>5503842</v>
      </c>
      <c r="W164" s="43">
        <v>4018130</v>
      </c>
      <c r="X164" s="45">
        <v>1.43</v>
      </c>
      <c r="Y164" s="43">
        <v>5339696</v>
      </c>
      <c r="Z164" s="43">
        <v>3744384</v>
      </c>
      <c r="AA164" s="45">
        <v>1.33</v>
      </c>
      <c r="AB164" s="43">
        <v>5393399</v>
      </c>
      <c r="AC164" s="43">
        <v>4063492</v>
      </c>
      <c r="AD164" s="46">
        <v>1.1499999999999999</v>
      </c>
      <c r="AE164" s="43">
        <v>29622265</v>
      </c>
      <c r="AF164" s="43">
        <v>25860411</v>
      </c>
      <c r="AG164" s="22"/>
    </row>
    <row r="165" spans="1:33" ht="10.5" customHeight="1" x14ac:dyDescent="0.15">
      <c r="A165" s="47" t="s">
        <v>90</v>
      </c>
      <c r="B165" s="37">
        <v>3</v>
      </c>
      <c r="C165" s="38">
        <v>1252273</v>
      </c>
      <c r="D165" s="38">
        <v>2583186</v>
      </c>
      <c r="E165" s="38">
        <v>2580958</v>
      </c>
      <c r="F165" s="38">
        <v>2580958</v>
      </c>
      <c r="G165" s="38">
        <v>15653408</v>
      </c>
      <c r="H165" s="39">
        <v>0.16500000000000001</v>
      </c>
      <c r="I165" s="39">
        <v>0.16500000000000001</v>
      </c>
      <c r="J165" s="39">
        <v>0.16500000000000001</v>
      </c>
      <c r="K165" s="39">
        <v>1.4999999999999999E-2</v>
      </c>
      <c r="L165" s="39">
        <f>Tabelle12[[#This Row],[Spalte12]]-Tabelle12[[#This Row],[Spalte11]]</f>
        <v>7.8E-2</v>
      </c>
      <c r="M165" s="39">
        <v>9.2999999999999999E-2</v>
      </c>
      <c r="N165" s="39">
        <v>0.111</v>
      </c>
      <c r="O165" s="39">
        <v>0.13500000000000001</v>
      </c>
      <c r="P165" s="39">
        <v>6.6000000000000003E-2</v>
      </c>
      <c r="Q165" s="38">
        <v>38916287</v>
      </c>
      <c r="R165" s="55" t="s">
        <v>209</v>
      </c>
      <c r="S165" s="55" t="s">
        <v>209</v>
      </c>
      <c r="T165" s="55" t="s">
        <v>209</v>
      </c>
      <c r="U165" s="56" t="s">
        <v>209</v>
      </c>
      <c r="V165" s="55" t="s">
        <v>209</v>
      </c>
      <c r="W165" s="55" t="s">
        <v>209</v>
      </c>
      <c r="X165" s="56" t="s">
        <v>209</v>
      </c>
      <c r="Y165" s="55" t="s">
        <v>209</v>
      </c>
      <c r="Z165" s="55" t="s">
        <v>209</v>
      </c>
      <c r="AA165" s="56" t="s">
        <v>209</v>
      </c>
      <c r="AB165" s="55" t="s">
        <v>209</v>
      </c>
      <c r="AC165" s="55" t="s">
        <v>209</v>
      </c>
      <c r="AD165" s="57" t="s">
        <v>209</v>
      </c>
      <c r="AE165" s="55" t="s">
        <v>209</v>
      </c>
      <c r="AF165" s="55" t="s">
        <v>209</v>
      </c>
      <c r="AG165" s="22"/>
    </row>
    <row r="166" spans="1:33" ht="10.5" customHeight="1" x14ac:dyDescent="0.15">
      <c r="A166" s="48" t="s">
        <v>220</v>
      </c>
      <c r="B166" s="42">
        <v>5</v>
      </c>
      <c r="C166" s="43">
        <v>4896</v>
      </c>
      <c r="D166" s="43">
        <v>30010</v>
      </c>
      <c r="E166" s="43">
        <v>30010</v>
      </c>
      <c r="F166" s="43">
        <v>30010</v>
      </c>
      <c r="G166" s="43">
        <v>61199</v>
      </c>
      <c r="H166" s="44">
        <v>0.49</v>
      </c>
      <c r="I166" s="44">
        <v>0.49</v>
      </c>
      <c r="J166" s="44">
        <v>0.49</v>
      </c>
      <c r="K166" s="44">
        <v>0</v>
      </c>
      <c r="L166" s="44">
        <f>Tabelle12[[#This Row],[Spalte12]]-Tabelle12[[#This Row],[Spalte11]]</f>
        <v>7.0000000000000007E-2</v>
      </c>
      <c r="M166" s="44">
        <v>7.0000000000000007E-2</v>
      </c>
      <c r="N166" s="44">
        <v>8.5000000000000006E-2</v>
      </c>
      <c r="O166" s="44">
        <v>0.105</v>
      </c>
      <c r="P166" s="44">
        <v>8.2000000000000003E-2</v>
      </c>
      <c r="Q166" s="43">
        <v>365681</v>
      </c>
      <c r="R166" s="45">
        <v>2.31</v>
      </c>
      <c r="S166" s="43">
        <v>59547</v>
      </c>
      <c r="T166" s="43">
        <v>25763</v>
      </c>
      <c r="U166" s="45">
        <v>4.1500000000000004</v>
      </c>
      <c r="V166" s="43">
        <v>57710</v>
      </c>
      <c r="W166" s="43">
        <v>13891</v>
      </c>
      <c r="X166" s="45">
        <v>5.85</v>
      </c>
      <c r="Y166" s="43">
        <v>56566</v>
      </c>
      <c r="Z166" s="43">
        <v>9675</v>
      </c>
      <c r="AA166" s="45">
        <v>3.47</v>
      </c>
      <c r="AB166" s="43">
        <v>52913</v>
      </c>
      <c r="AC166" s="43">
        <v>15270</v>
      </c>
      <c r="AD166" s="46">
        <v>1.58</v>
      </c>
      <c r="AE166" s="43">
        <v>182305</v>
      </c>
      <c r="AF166" s="43">
        <v>115145</v>
      </c>
      <c r="AG166" s="22"/>
    </row>
    <row r="167" spans="1:33" ht="10.5" customHeight="1" x14ac:dyDescent="0.15">
      <c r="A167" s="47" t="s">
        <v>89</v>
      </c>
      <c r="B167" s="37">
        <v>3</v>
      </c>
      <c r="C167" s="38">
        <v>601485</v>
      </c>
      <c r="D167" s="38">
        <v>1574947</v>
      </c>
      <c r="E167" s="38">
        <v>1210323</v>
      </c>
      <c r="F167" s="38">
        <v>1574947</v>
      </c>
      <c r="G167" s="38">
        <v>7518561</v>
      </c>
      <c r="H167" s="39">
        <v>0.161</v>
      </c>
      <c r="I167" s="39">
        <v>0.20899999999999999</v>
      </c>
      <c r="J167" s="39">
        <v>0.20899999999999999</v>
      </c>
      <c r="K167" s="39">
        <v>2E-3</v>
      </c>
      <c r="L167" s="39">
        <f>Tabelle12[[#This Row],[Spalte12]]-Tabelle12[[#This Row],[Spalte11]]</f>
        <v>7.8E-2</v>
      </c>
      <c r="M167" s="39">
        <v>0.08</v>
      </c>
      <c r="N167" s="39">
        <v>9.8000000000000004E-2</v>
      </c>
      <c r="O167" s="39">
        <v>0.122</v>
      </c>
      <c r="P167" s="39">
        <v>4.8000000000000001E-2</v>
      </c>
      <c r="Q167" s="38">
        <v>32743305</v>
      </c>
      <c r="R167" s="40">
        <v>2.0299999999999998</v>
      </c>
      <c r="S167" s="38">
        <v>9552253</v>
      </c>
      <c r="T167" s="38">
        <v>4715731</v>
      </c>
      <c r="U167" s="40">
        <v>2.15</v>
      </c>
      <c r="V167" s="38">
        <v>9986906</v>
      </c>
      <c r="W167" s="38">
        <v>4640540</v>
      </c>
      <c r="X167" s="40">
        <v>1.97</v>
      </c>
      <c r="Y167" s="38">
        <v>10251794</v>
      </c>
      <c r="Z167" s="38">
        <v>5191000</v>
      </c>
      <c r="AA167" s="40">
        <v>1.83</v>
      </c>
      <c r="AB167" s="38">
        <v>10069595</v>
      </c>
      <c r="AC167" s="38">
        <v>5509035</v>
      </c>
      <c r="AD167" s="41">
        <v>1.22</v>
      </c>
      <c r="AE167" s="38">
        <v>16726779</v>
      </c>
      <c r="AF167" s="38">
        <v>13701087</v>
      </c>
      <c r="AG167" s="22"/>
    </row>
    <row r="168" spans="1:33" ht="10.5" customHeight="1" x14ac:dyDescent="0.15">
      <c r="A168" s="48" t="s">
        <v>39</v>
      </c>
      <c r="B168" s="42">
        <v>4</v>
      </c>
      <c r="C168" s="43">
        <v>25786</v>
      </c>
      <c r="D168" s="43">
        <v>120379</v>
      </c>
      <c r="E168" s="43">
        <v>120379</v>
      </c>
      <c r="F168" s="43">
        <v>120379</v>
      </c>
      <c r="G168" s="43">
        <v>322321</v>
      </c>
      <c r="H168" s="44">
        <v>0.373</v>
      </c>
      <c r="I168" s="44">
        <v>0.373</v>
      </c>
      <c r="J168" s="44">
        <v>0.373</v>
      </c>
      <c r="K168" s="44">
        <v>1.0999999999999999E-2</v>
      </c>
      <c r="L168" s="44">
        <f>Tabelle12[[#This Row],[Spalte12]]-Tabelle12[[#This Row],[Spalte11]]</f>
        <v>7.400000000000001E-2</v>
      </c>
      <c r="M168" s="44">
        <v>8.5000000000000006E-2</v>
      </c>
      <c r="N168" s="44">
        <v>0.10100000000000001</v>
      </c>
      <c r="O168" s="44">
        <v>0.123</v>
      </c>
      <c r="P168" s="44">
        <v>0.10100000000000001</v>
      </c>
      <c r="Q168" s="43">
        <v>1188643</v>
      </c>
      <c r="R168" s="45">
        <v>2.65</v>
      </c>
      <c r="S168" s="43">
        <v>332471</v>
      </c>
      <c r="T168" s="43">
        <v>125492</v>
      </c>
      <c r="U168" s="45">
        <v>2.44</v>
      </c>
      <c r="V168" s="43">
        <v>281822</v>
      </c>
      <c r="W168" s="43">
        <v>115267</v>
      </c>
      <c r="X168" s="45">
        <v>2.5099999999999998</v>
      </c>
      <c r="Y168" s="43">
        <v>261432</v>
      </c>
      <c r="Z168" s="43">
        <v>104164</v>
      </c>
      <c r="AA168" s="45">
        <v>1.89</v>
      </c>
      <c r="AB168" s="43">
        <v>234150</v>
      </c>
      <c r="AC168" s="43">
        <v>124124</v>
      </c>
      <c r="AD168" s="46">
        <v>1.57</v>
      </c>
      <c r="AE168" s="43">
        <v>704800</v>
      </c>
      <c r="AF168" s="43">
        <v>450345</v>
      </c>
      <c r="AG168" s="22"/>
    </row>
    <row r="169" spans="1:33" ht="10.5" customHeight="1" x14ac:dyDescent="0.15">
      <c r="A169" s="47" t="s">
        <v>107</v>
      </c>
      <c r="B169" s="37">
        <v>4</v>
      </c>
      <c r="C169" s="38">
        <v>211539</v>
      </c>
      <c r="D169" s="38">
        <v>601745</v>
      </c>
      <c r="E169" s="38">
        <v>601745</v>
      </c>
      <c r="F169" s="38">
        <v>601745</v>
      </c>
      <c r="G169" s="38">
        <v>2644239</v>
      </c>
      <c r="H169" s="39">
        <v>0.22800000000000001</v>
      </c>
      <c r="I169" s="39">
        <v>0.22800000000000001</v>
      </c>
      <c r="J169" s="39">
        <v>0.22800000000000001</v>
      </c>
      <c r="K169" s="39">
        <v>1.4E-2</v>
      </c>
      <c r="L169" s="39">
        <f>Tabelle12[[#This Row],[Spalte12]]-Tabelle12[[#This Row],[Spalte11]]</f>
        <v>7.3999999999999996E-2</v>
      </c>
      <c r="M169" s="39">
        <v>8.7999999999999995E-2</v>
      </c>
      <c r="N169" s="39">
        <v>0.104</v>
      </c>
      <c r="O169" s="39">
        <v>0.126</v>
      </c>
      <c r="P169" s="39">
        <v>8.5000000000000006E-2</v>
      </c>
      <c r="Q169" s="38">
        <v>7094939</v>
      </c>
      <c r="R169" s="40">
        <v>2.14</v>
      </c>
      <c r="S169" s="38">
        <v>1600380</v>
      </c>
      <c r="T169" s="38">
        <v>747761</v>
      </c>
      <c r="U169" s="40">
        <v>2.06</v>
      </c>
      <c r="V169" s="38">
        <v>1470413</v>
      </c>
      <c r="W169" s="38">
        <v>712495</v>
      </c>
      <c r="X169" s="40">
        <v>1.88</v>
      </c>
      <c r="Y169" s="38">
        <v>1435309</v>
      </c>
      <c r="Z169" s="38">
        <v>763035</v>
      </c>
      <c r="AA169" s="40">
        <v>2.14</v>
      </c>
      <c r="AB169" s="38">
        <v>1601602</v>
      </c>
      <c r="AC169" s="38">
        <v>747604</v>
      </c>
      <c r="AD169" s="41">
        <v>1.66</v>
      </c>
      <c r="AE169" s="38">
        <v>5851520</v>
      </c>
      <c r="AF169" s="38">
        <v>3524344</v>
      </c>
      <c r="AG169" s="22"/>
    </row>
    <row r="170" spans="1:33" ht="10.5" customHeight="1" x14ac:dyDescent="0.15">
      <c r="A170" s="48" t="s">
        <v>110</v>
      </c>
      <c r="B170" s="42">
        <v>4</v>
      </c>
      <c r="C170" s="43">
        <v>276150</v>
      </c>
      <c r="D170" s="43">
        <v>778897</v>
      </c>
      <c r="E170" s="43">
        <v>778897</v>
      </c>
      <c r="F170" s="43">
        <v>778897</v>
      </c>
      <c r="G170" s="43">
        <v>3451871</v>
      </c>
      <c r="H170" s="44">
        <v>0.22600000000000001</v>
      </c>
      <c r="I170" s="44">
        <v>0.22600000000000001</v>
      </c>
      <c r="J170" s="44">
        <v>0.22600000000000001</v>
      </c>
      <c r="K170" s="44">
        <v>1.0999999999999999E-2</v>
      </c>
      <c r="L170" s="44">
        <f>Tabelle12[[#This Row],[Spalte12]]-Tabelle12[[#This Row],[Spalte11]]</f>
        <v>7.400000000000001E-2</v>
      </c>
      <c r="M170" s="44">
        <v>8.5000000000000006E-2</v>
      </c>
      <c r="N170" s="44">
        <v>0.10100000000000001</v>
      </c>
      <c r="O170" s="44">
        <v>0.123</v>
      </c>
      <c r="P170" s="44">
        <v>0.10100000000000001</v>
      </c>
      <c r="Q170" s="43">
        <v>7734471</v>
      </c>
      <c r="R170" s="54" t="s">
        <v>209</v>
      </c>
      <c r="S170" s="54" t="s">
        <v>209</v>
      </c>
      <c r="T170" s="54" t="s">
        <v>209</v>
      </c>
      <c r="U170" s="54" t="s">
        <v>209</v>
      </c>
      <c r="V170" s="54" t="s">
        <v>209</v>
      </c>
      <c r="W170" s="54" t="s">
        <v>209</v>
      </c>
      <c r="X170" s="54" t="s">
        <v>209</v>
      </c>
      <c r="Y170" s="54" t="s">
        <v>209</v>
      </c>
      <c r="Z170" s="54" t="s">
        <v>209</v>
      </c>
      <c r="AA170" s="54" t="s">
        <v>209</v>
      </c>
      <c r="AB170" s="54" t="s">
        <v>209</v>
      </c>
      <c r="AC170" s="54" t="s">
        <v>209</v>
      </c>
      <c r="AD170" s="54" t="s">
        <v>209</v>
      </c>
      <c r="AE170" s="54" t="s">
        <v>209</v>
      </c>
      <c r="AF170" s="54" t="s">
        <v>209</v>
      </c>
      <c r="AG170" s="22"/>
    </row>
    <row r="171" spans="1:33" ht="10.5" customHeight="1" x14ac:dyDescent="0.15">
      <c r="A171" s="47" t="s">
        <v>63</v>
      </c>
      <c r="B171" s="37">
        <v>4</v>
      </c>
      <c r="C171" s="38">
        <v>303359</v>
      </c>
      <c r="D171" s="38">
        <v>627444</v>
      </c>
      <c r="E171" s="38">
        <v>604745</v>
      </c>
      <c r="F171" s="38">
        <v>604745</v>
      </c>
      <c r="G171" s="38">
        <v>3791987</v>
      </c>
      <c r="H171" s="39">
        <v>0.159</v>
      </c>
      <c r="I171" s="39">
        <v>0.159</v>
      </c>
      <c r="J171" s="39">
        <v>0.16500000000000001</v>
      </c>
      <c r="K171" s="39">
        <v>0.01</v>
      </c>
      <c r="L171" s="39">
        <f>Tabelle12[[#This Row],[Spalte12]]-Tabelle12[[#This Row],[Spalte11]]</f>
        <v>7.400000000000001E-2</v>
      </c>
      <c r="M171" s="39">
        <v>8.4000000000000005E-2</v>
      </c>
      <c r="N171" s="39">
        <v>0.1</v>
      </c>
      <c r="O171" s="39">
        <v>0.122</v>
      </c>
      <c r="P171" s="39">
        <v>9.0999999999999998E-2</v>
      </c>
      <c r="Q171" s="38">
        <v>6661630</v>
      </c>
      <c r="R171" s="40">
        <v>1.46</v>
      </c>
      <c r="S171" s="38">
        <v>394191</v>
      </c>
      <c r="T171" s="38">
        <v>269422</v>
      </c>
      <c r="U171" s="40">
        <v>2.2000000000000002</v>
      </c>
      <c r="V171" s="38">
        <v>521790</v>
      </c>
      <c r="W171" s="38">
        <v>236776</v>
      </c>
      <c r="X171" s="40">
        <v>1.92</v>
      </c>
      <c r="Y171" s="38">
        <v>517117</v>
      </c>
      <c r="Z171" s="38">
        <v>269684</v>
      </c>
      <c r="AA171" s="40">
        <v>2.11</v>
      </c>
      <c r="AB171" s="38">
        <v>476738</v>
      </c>
      <c r="AC171" s="38">
        <v>225454</v>
      </c>
      <c r="AD171" s="41">
        <v>1.2</v>
      </c>
      <c r="AE171" s="38">
        <v>5026961</v>
      </c>
      <c r="AF171" s="38">
        <v>4190491</v>
      </c>
      <c r="AG171" s="22"/>
    </row>
    <row r="172" spans="1:33" ht="10.5" customHeight="1" x14ac:dyDescent="0.15">
      <c r="A172" s="48" t="s">
        <v>29</v>
      </c>
      <c r="B172" s="42">
        <v>3</v>
      </c>
      <c r="C172" s="43">
        <v>672182</v>
      </c>
      <c r="D172" s="43">
        <v>1665379</v>
      </c>
      <c r="E172" s="43">
        <v>1456109</v>
      </c>
      <c r="F172" s="43">
        <v>1456109</v>
      </c>
      <c r="G172" s="43">
        <v>8402275</v>
      </c>
      <c r="H172" s="44">
        <v>0.17299999999999999</v>
      </c>
      <c r="I172" s="44">
        <v>0.17299999999999999</v>
      </c>
      <c r="J172" s="44">
        <v>0.19800000000000001</v>
      </c>
      <c r="K172" s="44">
        <v>1.4E-2</v>
      </c>
      <c r="L172" s="44">
        <f>Tabelle12[[#This Row],[Spalte12]]-Tabelle12[[#This Row],[Spalte11]]</f>
        <v>7.8E-2</v>
      </c>
      <c r="M172" s="44">
        <v>9.1999999999999998E-2</v>
      </c>
      <c r="N172" s="44">
        <v>0.11</v>
      </c>
      <c r="O172" s="44">
        <v>0.13400000000000001</v>
      </c>
      <c r="P172" s="44">
        <v>7.5999999999999998E-2</v>
      </c>
      <c r="Q172" s="43">
        <v>19273050</v>
      </c>
      <c r="R172" s="45">
        <v>1.52</v>
      </c>
      <c r="S172" s="43">
        <v>2993865</v>
      </c>
      <c r="T172" s="43">
        <v>1966554</v>
      </c>
      <c r="U172" s="45">
        <v>1.49</v>
      </c>
      <c r="V172" s="43">
        <v>2811022</v>
      </c>
      <c r="W172" s="43">
        <v>1891126</v>
      </c>
      <c r="X172" s="45">
        <v>1.49</v>
      </c>
      <c r="Y172" s="43">
        <v>2900728</v>
      </c>
      <c r="Z172" s="43">
        <v>1944857</v>
      </c>
      <c r="AA172" s="45">
        <v>1.35</v>
      </c>
      <c r="AB172" s="43">
        <v>2760000</v>
      </c>
      <c r="AC172" s="43">
        <v>2044358</v>
      </c>
      <c r="AD172" s="46">
        <v>1.44</v>
      </c>
      <c r="AE172" s="43">
        <v>16360725</v>
      </c>
      <c r="AF172" s="43">
        <v>11396059</v>
      </c>
      <c r="AG172" s="22"/>
    </row>
    <row r="173" spans="1:33" ht="10.5" customHeight="1" x14ac:dyDescent="0.15">
      <c r="A173" s="47" t="s">
        <v>30</v>
      </c>
      <c r="B173" s="37">
        <v>5</v>
      </c>
      <c r="C173" s="38">
        <v>38044</v>
      </c>
      <c r="D173" s="38">
        <v>78742</v>
      </c>
      <c r="E173" s="38">
        <v>74081</v>
      </c>
      <c r="F173" s="38">
        <v>74081</v>
      </c>
      <c r="G173" s="38">
        <v>475556</v>
      </c>
      <c r="H173" s="39">
        <v>0.156</v>
      </c>
      <c r="I173" s="39">
        <v>0.156</v>
      </c>
      <c r="J173" s="39">
        <v>0.16600000000000001</v>
      </c>
      <c r="K173" s="39">
        <v>1.4E-2</v>
      </c>
      <c r="L173" s="39">
        <f>Tabelle12[[#This Row],[Spalte12]]-Tabelle12[[#This Row],[Spalte11]]</f>
        <v>7.0000000000000007E-2</v>
      </c>
      <c r="M173" s="39">
        <v>8.4000000000000005E-2</v>
      </c>
      <c r="N173" s="39">
        <v>9.9000000000000005E-2</v>
      </c>
      <c r="O173" s="39">
        <v>0.11899999999999999</v>
      </c>
      <c r="P173" s="39">
        <v>6.9000000000000006E-2</v>
      </c>
      <c r="Q173" s="38">
        <v>1076910</v>
      </c>
      <c r="R173" s="40">
        <v>1.71</v>
      </c>
      <c r="S173" s="38">
        <v>89425</v>
      </c>
      <c r="T173" s="38">
        <v>52210</v>
      </c>
      <c r="U173" s="40">
        <v>2.08</v>
      </c>
      <c r="V173" s="38">
        <v>98888</v>
      </c>
      <c r="W173" s="38">
        <v>47629</v>
      </c>
      <c r="X173" s="40">
        <v>2.0499999999999998</v>
      </c>
      <c r="Y173" s="38">
        <v>97004</v>
      </c>
      <c r="Z173" s="38">
        <v>47386</v>
      </c>
      <c r="AA173" s="40">
        <v>2.06</v>
      </c>
      <c r="AB173" s="38">
        <v>102395</v>
      </c>
      <c r="AC173" s="38">
        <v>49775</v>
      </c>
      <c r="AD173" s="41">
        <v>1.41</v>
      </c>
      <c r="AE173" s="38">
        <v>977980</v>
      </c>
      <c r="AF173" s="38">
        <v>691357</v>
      </c>
      <c r="AG173" s="22"/>
    </row>
    <row r="174" spans="1:33" ht="10.5" customHeight="1" x14ac:dyDescent="0.15">
      <c r="A174" s="32"/>
      <c r="B174" s="32"/>
      <c r="C174" s="33"/>
      <c r="D174" s="33"/>
      <c r="E174" s="33"/>
      <c r="F174" s="33"/>
      <c r="G174" s="33"/>
      <c r="H174" s="34"/>
      <c r="I174" s="34"/>
      <c r="J174" s="34"/>
      <c r="K174" s="34"/>
      <c r="L174" s="34"/>
      <c r="M174" s="34"/>
      <c r="N174" s="34"/>
      <c r="O174" s="34"/>
      <c r="P174" s="34"/>
      <c r="Q174" s="33"/>
      <c r="R174" s="35"/>
      <c r="S174" s="36"/>
      <c r="T174" s="36"/>
      <c r="U174" s="35"/>
      <c r="V174" s="36"/>
      <c r="W174" s="36"/>
      <c r="X174" s="35"/>
      <c r="Y174" s="36"/>
      <c r="Z174" s="36"/>
      <c r="AA174" s="35"/>
      <c r="AB174" s="36"/>
      <c r="AC174" s="36"/>
      <c r="AD174" s="31"/>
      <c r="AE174" s="30"/>
      <c r="AF174" s="30"/>
      <c r="AG174" s="22"/>
    </row>
    <row r="175" spans="1:33" s="26" customFormat="1" ht="12.75" customHeight="1" x14ac:dyDescent="0.15">
      <c r="A175" s="24" t="s">
        <v>227</v>
      </c>
      <c r="B175" s="25"/>
      <c r="C175" s="25"/>
      <c r="D175" s="25"/>
      <c r="E175" s="25"/>
      <c r="F175" s="25"/>
      <c r="G175" s="25"/>
      <c r="H175" s="25"/>
      <c r="I175" s="25"/>
      <c r="J175" s="25"/>
      <c r="Q175" s="27"/>
      <c r="R175" s="28"/>
      <c r="S175" s="27"/>
      <c r="T175" s="27"/>
      <c r="U175" s="28"/>
      <c r="V175" s="27"/>
      <c r="W175" s="27"/>
      <c r="X175" s="28"/>
      <c r="Y175" s="27"/>
      <c r="Z175" s="27"/>
      <c r="AA175" s="28"/>
      <c r="AB175" s="27"/>
      <c r="AC175" s="27"/>
      <c r="AD175" s="27"/>
      <c r="AE175" s="27"/>
      <c r="AF175" s="27"/>
    </row>
    <row r="176" spans="1:33" s="29" customFormat="1" ht="12.75" customHeight="1" x14ac:dyDescent="0.15">
      <c r="A176" s="25" t="s">
        <v>210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3"/>
      <c r="L176" s="23"/>
      <c r="M176" s="25"/>
      <c r="N176" s="25"/>
      <c r="O176" s="25"/>
      <c r="P176" s="26"/>
      <c r="Q176" s="27"/>
      <c r="R176" s="28"/>
      <c r="S176" s="27"/>
      <c r="T176" s="27"/>
      <c r="U176" s="28"/>
      <c r="V176" s="27"/>
      <c r="W176" s="27"/>
      <c r="X176" s="28"/>
      <c r="Y176" s="27"/>
      <c r="Z176" s="27"/>
      <c r="AA176" s="28"/>
      <c r="AB176" s="27"/>
      <c r="AC176" s="27"/>
      <c r="AD176" s="27"/>
      <c r="AE176" s="27"/>
      <c r="AF176" s="3"/>
    </row>
    <row r="177" spans="1:33" s="3" customFormat="1" x14ac:dyDescent="0.15">
      <c r="A177" s="25"/>
      <c r="B177" s="2"/>
      <c r="H177" s="4"/>
      <c r="I177" s="4"/>
      <c r="J177" s="4"/>
      <c r="K177" s="4"/>
      <c r="L177" s="4"/>
      <c r="M177" s="4"/>
      <c r="N177" s="4"/>
      <c r="O177" s="4"/>
      <c r="P177" s="4"/>
      <c r="R177" s="5"/>
      <c r="U177" s="5"/>
      <c r="X177" s="5"/>
      <c r="AA177" s="5"/>
      <c r="AG177" s="2"/>
    </row>
    <row r="178" spans="1:33" s="3" customFormat="1" x14ac:dyDescent="0.15">
      <c r="A178" s="2"/>
      <c r="B178" s="2"/>
      <c r="H178" s="4"/>
      <c r="I178" s="4"/>
      <c r="J178" s="4"/>
      <c r="K178" s="4"/>
      <c r="L178" s="4"/>
      <c r="M178" s="4"/>
      <c r="N178" s="4"/>
      <c r="O178" s="4"/>
      <c r="P178" s="4"/>
      <c r="R178" s="5"/>
      <c r="U178" s="5"/>
      <c r="X178" s="5"/>
      <c r="AA178" s="5"/>
      <c r="AG178" s="2"/>
    </row>
  </sheetData>
  <mergeCells count="5">
    <mergeCell ref="R5:T5"/>
    <mergeCell ref="U5:W5"/>
    <mergeCell ref="X5:Z5"/>
    <mergeCell ref="AA5:AC5"/>
    <mergeCell ref="AD5:AF5"/>
  </mergeCells>
  <phoneticPr fontId="16" type="noConversion"/>
  <pageMargins left="0.70866141732283472" right="0.70866141732283472" top="0.78740157480314965" bottom="0.78740157480314965" header="0.31496062992125984" footer="0.31496062992125984"/>
  <pageSetup paperSize="9" scale="75" fitToWidth="2" fitToHeight="0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maCaseDescription xmlns="e515c71f-5b55-42ee-bbab-3e247c9622d9">Publikation Key Metrics 2025 (G01504635)</FinmaCaseDescription>
    <FinmaCaseID xmlns="e515c71f-5b55-42ee-bbab-3e247c9622d9">G01504635</FinmaCaseID>
    <g1c9cab47ab34847b4ac830bba5063b0 xmlns="e515c71f-5b55-42ee-bbab-3e247c9622d9">
      <Terms xmlns="http://schemas.microsoft.com/office/infopath/2007/PartnerControls"/>
    </g1c9cab47ab34847b4ac830bba5063b0>
    <FinmaObjectId xmlns="e515c71f-5b55-42ee-bbab-3e247c9622d9">F00164912</FinmaObjectId>
    <n1f5c6536ac648a38ad663cdf8bd44e6 xmlns="e515c71f-5b55-42ee-bbab-3e247c9622d9">
      <Terms xmlns="http://schemas.microsoft.com/office/infopath/2007/PartnerControls"/>
    </n1f5c6536ac648a38ad663cdf8bd44e6>
    <h5452bf913d342ef967d06fb0970c0a5 xmlns="e515c71f-5b55-42ee-bbab-3e247c9622d9">
      <Terms xmlns="http://schemas.microsoft.com/office/infopath/2007/PartnerControls"/>
    </h5452bf913d342ef967d06fb0970c0a5>
    <_dlc_DocId xmlns="e515c71f-5b55-42ee-bbab-3e247c9622d9">G01504635-000032</_dlc_DocId>
    <FinmaValidationResult xmlns="e515c71f-5b55-42ee-bbab-3e247c9622d9" xsi:nil="true"/>
    <TaxCatchAll xmlns="e515c71f-5b55-42ee-bbab-3e247c9622d9">
      <Value>1</Value>
    </TaxCatchAll>
    <FinmaValidationDate xmlns="e515c71f-5b55-42ee-bbab-3e247c9622d9">2025-08-05T07:38:26+00:00</FinmaValidationDate>
    <f6ac7f7711e24d149a1ab98f6cfad432 xmlns="e515c71f-5b55-42ee-bbab-3e247c9622d9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ObjectName xmlns="e515c71f-5b55-42ee-bbab-3e247c9622d9">Eidgenössische Finanzmarktaufsicht FINMA (F00164912)</FinmaObjectName>
    <FinmaDocumentDate xmlns="e515c71f-5b55-42ee-bbab-3e247c9622d9">2024-05-15T22:00:00+00:00</FinmaDocumentDate>
    <FinmaPasswordProtected xmlns="e515c71f-5b55-42ee-bbab-3e247c9622d9">false</FinmaPasswordProtected>
    <_dlc_DocIdUrl xmlns="e515c71f-5b55-42ee-bbab-3e247c9622d9">
      <Url>https://gdok.finma.ch/container/2247/_layouts/15/DocIdRedir.aspx?ID=G01504635-000032</Url>
      <Description>G01504635-000032</Description>
    </_dlc_DocIdUrl>
    <Aktionswert xmlns="e515c71f-5b55-42ee-bbab-3e247c9622d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80EFD9ADBA9575469400995A03BCB99A" ma:contentTypeVersion="33" ma:contentTypeDescription="Create a new document." ma:contentTypeScope="" ma:versionID="ea8c4c1ba30cc38625be71e1ecd23adb">
  <xsd:schema xmlns:xsd="http://www.w3.org/2001/XMLSchema" xmlns:xs="http://www.w3.org/2001/XMLSchema" xmlns:p="http://schemas.microsoft.com/office/2006/metadata/properties" xmlns:ns2="e515c71f-5b55-42ee-bbab-3e247c9622d9" targetNamespace="http://schemas.microsoft.com/office/2006/metadata/properties" ma:root="true" ma:fieldsID="93a69c634c90a5cc67b66da18112c3d7" ns2:_="">
    <xsd:import namespace="e515c71f-5b55-42ee-bbab-3e247c9622d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5c71f-5b55-42ee-bbab-3e247c9622d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5 (G01504635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d961447-bb21-449f-9e9a-1c3b495f7e78}" ma:internalName="TaxCatchAll" ma:showField="CatchAllData" ma:web="e515c71f-5b55-42ee-bbab-3e247c962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d961447-bb21-449f-9e9a-1c3b495f7e78}" ma:internalName="TaxCatchAllLabel" ma:readOnly="true" ma:showField="CatchAllDataLabel" ma:web="e515c71f-5b55-42ee-bbab-3e247c962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504635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6a92205c-8b99-4329-be26-13cf967d0e9a" ma:anchorId="3d144a4b-6737-4119-8449-7b63c81140da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16CD9-641C-44EB-97BF-70D0C9D9459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478C5F1-3EC9-4967-99A5-033953D1A4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0D27D4-055B-436B-A16E-275B53BAD8BF}">
  <ds:schemaRefs>
    <ds:schemaRef ds:uri="http://purl.org/dc/dcmitype/"/>
    <ds:schemaRef ds:uri="e515c71f-5b55-42ee-bbab-3e247c9622d9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D7D98ED-B196-432E-97BE-376444B30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15c71f-5b55-42ee-bbab-3e247c96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Key Metrics 2024</vt:lpstr>
      <vt:lpstr>'Key Metrics 2024'!Druckbereich</vt:lpstr>
      <vt:lpstr>'Key Metrics 2024'!Drucktitel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2025-08-04T14:02:07Z</dcterms:created>
  <dcterms:modified xsi:type="dcterms:W3CDTF">2026-02-23T12:20:09Z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maCrmEntityIDs">
    <vt:lpwstr/>
  </property>
  <property fmtid="{D5CDD505-2E9C-101B-9397-08002B2CF9AE}" pid="3" name="Topic">
    <vt:lpwstr/>
  </property>
  <property fmtid="{D5CDD505-2E9C-101B-9397-08002B2CF9AE}" pid="4" name="FinmaCatchphrases">
    <vt:lpwstr/>
  </property>
  <property fmtid="{D5CDD505-2E9C-101B-9397-08002B2CF9AE}" pid="5" name="ContentTypeId">
    <vt:lpwstr>0x0101003A499141982C43AFAF241BDE541C18D50080EFD9ADBA9575469400995A03BCB99A</vt:lpwstr>
  </property>
  <property fmtid="{D5CDD505-2E9C-101B-9397-08002B2CF9AE}" pid="6" name="OSP">
    <vt:lpwstr>11;#4-01.9 Verschiedenes|e6fcb4e3-30b0-4407-a767-d767f5fd947e</vt:lpwstr>
  </property>
  <property fmtid="{D5CDD505-2E9C-101B-9397-08002B2CF9AE}" pid="7" name="OU">
    <vt:lpwstr>2;#B-ANI|72e08c1a-6daa-4ddd-9fb5-697ff07cf528</vt:lpwstr>
  </property>
  <property fmtid="{D5CDD505-2E9C-101B-9397-08002B2CF9AE}" pid="8" name="FinmaCaseStatus">
    <vt:lpwstr>1;#Aktiv|7439e81f-a110-4e88-a7af-acf8d4806223</vt:lpwstr>
  </property>
  <property fmtid="{D5CDD505-2E9C-101B-9397-08002B2CF9AE}" pid="9" name="FinmaCategory">
    <vt:lpwstr/>
  </property>
  <property fmtid="{D5CDD505-2E9C-101B-9397-08002B2CF9AE}" pid="10" name="_dlc_DocIdItemGuid">
    <vt:lpwstr>05ba7202-afc5-4a0d-8bbe-7ef2c81df15a</vt:lpwstr>
  </property>
</Properties>
</file>