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hidePivotFieldList="1"/>
  <mc:AlternateContent xmlns:mc="http://schemas.openxmlformats.org/markup-compatibility/2006">
    <mc:Choice Requires="x15">
      <x15ac:absPath xmlns:x15ac="http://schemas.microsoft.com/office/spreadsheetml/2010/11/ac" url="/Users/natalialessia/Desktop/RAW_Data_Banks/"/>
    </mc:Choice>
  </mc:AlternateContent>
  <xr:revisionPtr revIDLastSave="0" documentId="13_ncr:1_{9DF354BF-10D3-4F41-A787-E6CFD6BEA71C}" xr6:coauthVersionLast="47" xr6:coauthVersionMax="47" xr10:uidLastSave="{00000000-0000-0000-0000-000000000000}"/>
  <bookViews>
    <workbookView xWindow="13580" yWindow="500" windowWidth="15220" windowHeight="14800" xr2:uid="{00000000-000D-0000-FFFF-FFFF00000000}"/>
  </bookViews>
  <sheets>
    <sheet name="Tabelle1" sheetId="17" r:id="rId1"/>
    <sheet name="KeyMetrics2021" sheetId="16" r:id="rId2"/>
  </sheets>
  <definedNames>
    <definedName name="_xlnm.Print_Area" localSheetId="1">KeyMetrics2021!$A$1:$AB$178</definedName>
    <definedName name="_xlnm.Print_Titles" localSheetId="1">KeyMetrics2021!$6:$7</definedName>
  </definedNam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<sst xmlns="http://schemas.openxmlformats.org/spreadsheetml/2006/main" count="481" uniqueCount="236">
  <si>
    <t>Name</t>
  </si>
  <si>
    <t>Entris Banking AG</t>
  </si>
  <si>
    <t>Valiant Bank AG</t>
  </si>
  <si>
    <t>Alpha RHEINTAL Bank AG</t>
  </si>
  <si>
    <t>Caisse d'Epargne et de Crédit Mutuel de Chermignon société coopérative</t>
  </si>
  <si>
    <t>Bezirks-Sparkasse Dielsdorf Genossenschaft</t>
  </si>
  <si>
    <t>GRB Glarner Regionalbank Genossenschaft</t>
  </si>
  <si>
    <t>Urner Kantonalbank</t>
  </si>
  <si>
    <t>Appenzeller Kantonalbank</t>
  </si>
  <si>
    <t>Basler Kantonalbank</t>
  </si>
  <si>
    <t>Banque Cantonale de Fribourg</t>
  </si>
  <si>
    <t>Banque Cantonale de Genève</t>
  </si>
  <si>
    <t>Glarner Kantonalbank</t>
  </si>
  <si>
    <t>Basellandschaftliche Kantonalbank</t>
  </si>
  <si>
    <t>Luzerner Kantonalbank AG</t>
  </si>
  <si>
    <t>Banque cantonale neuchâteloise</t>
  </si>
  <si>
    <t>Banque Cantonale du Jura SA</t>
  </si>
  <si>
    <t>Banque Cantonale du Valais</t>
  </si>
  <si>
    <t>Thurgauer Kantonalbank</t>
  </si>
  <si>
    <t>BANK ZIMMERBERG AG</t>
  </si>
  <si>
    <t>Bank EKI Genossenschaft</t>
  </si>
  <si>
    <t>Spar+Leihkasse Riggisberg AG</t>
  </si>
  <si>
    <t>Hypothekarbank Lenzburg AG</t>
  </si>
  <si>
    <t>Banca dello Stato del Cantone Ticino</t>
  </si>
  <si>
    <t>Berner Kantonalbank AG</t>
  </si>
  <si>
    <t>Graubündner Kantonalbank</t>
  </si>
  <si>
    <t>Banque Cantonale Vaudoise</t>
  </si>
  <si>
    <t>St. Galler Kantonalbank AG</t>
  </si>
  <si>
    <t>Schaffhauser Kantonalbank</t>
  </si>
  <si>
    <t>Schwyzer Kantonalbank</t>
  </si>
  <si>
    <t>Zuger Kantonalbank</t>
  </si>
  <si>
    <t>Zürcher Landbank AG</t>
  </si>
  <si>
    <t>Regiobank Solothurn AG</t>
  </si>
  <si>
    <t>Caisse d'Epargne Riviera, société coopérative</t>
  </si>
  <si>
    <t>Cornèr Banca SA</t>
  </si>
  <si>
    <t>Bank Julius Bär &amp; Co. AG</t>
  </si>
  <si>
    <t>Privatbank IHAG Zürich AG</t>
  </si>
  <si>
    <t>BSZ Genossenschaft</t>
  </si>
  <si>
    <t>Lienhardt &amp; Partner Privatbank Zürich AG</t>
  </si>
  <si>
    <t>Baloise Bank SoBa AG</t>
  </si>
  <si>
    <t>EFG Bank European Financial Group SA</t>
  </si>
  <si>
    <t>Bank Vontobel AG</t>
  </si>
  <si>
    <t>VP Bank (Schweiz) AG</t>
  </si>
  <si>
    <t>Bank J. Safra Sarasin AG</t>
  </si>
  <si>
    <t>Deutsche Bank (Suisse) SA</t>
  </si>
  <si>
    <t>J.P. Morgan (Suisse) SA</t>
  </si>
  <si>
    <t>BANCA DEL SEMPIONE SA</t>
  </si>
  <si>
    <t>DZ PRIVATBANK (Schweiz) AG</t>
  </si>
  <si>
    <t>ODDO BHF (Schweiz) AG</t>
  </si>
  <si>
    <t>Habib Bank AG Zürich</t>
  </si>
  <si>
    <t>Piguet Galland &amp; Cie SA</t>
  </si>
  <si>
    <t>BLOM BANK (Switzerland) SA</t>
  </si>
  <si>
    <t>PKB PRIVATBANK SA</t>
  </si>
  <si>
    <t>Rothschild &amp; Co Bank AG</t>
  </si>
  <si>
    <t>Ersparniskasse Rüeggisberg Genossenschaft</t>
  </si>
  <si>
    <t>SB Saanen Bank AG</t>
  </si>
  <si>
    <t>Bank Cler AG</t>
  </si>
  <si>
    <t>SELVI &amp; Cie SA</t>
  </si>
  <si>
    <t>REYL &amp; Cie SA</t>
  </si>
  <si>
    <t>Gonet &amp; Cie SA</t>
  </si>
  <si>
    <t>Banque Lombard Odier &amp; Cie SA</t>
  </si>
  <si>
    <t>Credit Europe Bank (Suisse) SA</t>
  </si>
  <si>
    <t>Banque Thaler SA</t>
  </si>
  <si>
    <t>Privatbank Bellerive AG</t>
  </si>
  <si>
    <t>Mercantil Bank (Schweiz) AG</t>
  </si>
  <si>
    <t>Bank BSU Genossenschaft</t>
  </si>
  <si>
    <t>Bank Linth LLB AG</t>
  </si>
  <si>
    <t>Migros Bank AG</t>
  </si>
  <si>
    <t>Dreyfus Söhne &amp; Cie. Aktiengesellschaft, Banquiers</t>
  </si>
  <si>
    <t>Edmond de Rothschild (Suisse) S.A.</t>
  </si>
  <si>
    <t>WIR Bank Genossenschaft</t>
  </si>
  <si>
    <t>Freie Gemeinschaftsbank Genossenschaft</t>
  </si>
  <si>
    <t>CBH Compagnie Bancaire Helvétique SA</t>
  </si>
  <si>
    <t>Bank CIC (Schweiz) AG</t>
  </si>
  <si>
    <t>Banque de Commerce et de Placements SA</t>
  </si>
  <si>
    <t>Barclays Bank (Suisse) SA</t>
  </si>
  <si>
    <t>Schroder &amp; Co Bank AG</t>
  </si>
  <si>
    <t>EFG Bank AG</t>
  </si>
  <si>
    <t>Hyposwiss Private Bank Genève SA</t>
  </si>
  <si>
    <t>F. van Lanschot Bankiers (Schweiz) AG</t>
  </si>
  <si>
    <t>SAXO BANK (SCHWEIZ) AG</t>
  </si>
  <si>
    <t>CA Indosuez (Switzerland) SA</t>
  </si>
  <si>
    <t>Gazprombank (Schweiz) AG</t>
  </si>
  <si>
    <t>UNION BANCAIRE PRIVEE, UBP SA</t>
  </si>
  <si>
    <t>Frankfurter Bankgesellschaft (Schweiz) AG</t>
  </si>
  <si>
    <t>Aargauische Kantonalbank</t>
  </si>
  <si>
    <t>Banque Degroof Petercam (Suisse) SA</t>
  </si>
  <si>
    <t>Fidurhône SA</t>
  </si>
  <si>
    <t>Delen (Suisse) SA</t>
  </si>
  <si>
    <t>Scobag Privatbank AG</t>
  </si>
  <si>
    <t>SOCIETE GENERALE Private Banking (Suisse) SA</t>
  </si>
  <si>
    <t>CIM BANQUE SA</t>
  </si>
  <si>
    <t>Banque SYZ SA</t>
  </si>
  <si>
    <t>Sberbank (Switzerland) AG</t>
  </si>
  <si>
    <t>Banca Popolare di Sondrio (Suisse) SA</t>
  </si>
  <si>
    <t>AXION SWISS BANK SA</t>
  </si>
  <si>
    <t>Banca Aletti &amp; C. (Suisse) SA</t>
  </si>
  <si>
    <t>Quantus AG</t>
  </si>
  <si>
    <t>BANQUE HERITAGE SA</t>
  </si>
  <si>
    <t>Tellco AG</t>
  </si>
  <si>
    <t>Quilvest (Switzerland) Ltd.</t>
  </si>
  <si>
    <t>BNP Paribas (Suisse) SA</t>
  </si>
  <si>
    <t>Vontobel Holding AG</t>
  </si>
  <si>
    <t>Valiant Holding AG</t>
  </si>
  <si>
    <t>Edmond de Rothschild Holding SA</t>
  </si>
  <si>
    <t>ISP Securities AG</t>
  </si>
  <si>
    <t>HSBC Private Bank (Suisse) SA</t>
  </si>
  <si>
    <t>Crédit Agricole next bank (Suisse) SA</t>
  </si>
  <si>
    <t>Swissquote Bank SA</t>
  </si>
  <si>
    <t>BANCA ZARATTINI &amp; CO. SA</t>
  </si>
  <si>
    <t>J. Safra Sarasin Holding AG</t>
  </si>
  <si>
    <t>Swissquote Group Holding SA</t>
  </si>
  <si>
    <t>SeeBeteiligungs AG</t>
  </si>
  <si>
    <t>Financière SYZ SA</t>
  </si>
  <si>
    <t>NPB Neue Privat Bank AG</t>
  </si>
  <si>
    <t>LGT Bank (Schweiz) AG</t>
  </si>
  <si>
    <t>Banque Cramer &amp; Cie SA</t>
  </si>
  <si>
    <t>Gonet SA</t>
  </si>
  <si>
    <t>Clientis AG</t>
  </si>
  <si>
    <t>Bank Sparhafen Zürich AG</t>
  </si>
  <si>
    <t>BANCA CREDINVEST SA</t>
  </si>
  <si>
    <t>FAB Private Bank (Suisse) SA</t>
  </si>
  <si>
    <t>EFG International AG</t>
  </si>
  <si>
    <t>Dukascopy Bank SA</t>
  </si>
  <si>
    <t>VZ Depotbank AG</t>
  </si>
  <si>
    <t>Bank-now AG</t>
  </si>
  <si>
    <t>HINDUJA SUISSE HOLDING SA</t>
  </si>
  <si>
    <t>VZ Holding AG</t>
  </si>
  <si>
    <t>bank zweiplus ag</t>
  </si>
  <si>
    <t>QNB (Suisse) SA</t>
  </si>
  <si>
    <t>Bank von Roll AG</t>
  </si>
  <si>
    <t>Banco Itaú (Suisse) SA</t>
  </si>
  <si>
    <t>Swiss Bankers Prepaid Services AG</t>
  </si>
  <si>
    <t>Julius Bär Gruppe AG</t>
  </si>
  <si>
    <t>Cité Gestion SA</t>
  </si>
  <si>
    <t>Helvetische Bank AG</t>
  </si>
  <si>
    <t>Cembra Money Bank AG</t>
  </si>
  <si>
    <t>PATRIMONY 1873 SA</t>
  </si>
  <si>
    <t>Banque du Léman SA</t>
  </si>
  <si>
    <t>Banque Internationale de Commerce - BRED (Suisse) SA</t>
  </si>
  <si>
    <t>ISP Group AG</t>
  </si>
  <si>
    <t>Groupe Mirabaud</t>
  </si>
  <si>
    <t>Banco Santander International SA</t>
  </si>
  <si>
    <t>Bank Avera Genossenschaft</t>
  </si>
  <si>
    <t>Intesa Sanpaolo Private Bank (Suisse) Morval SA</t>
  </si>
  <si>
    <t>Remaco Asset Management AG</t>
  </si>
  <si>
    <t>SEBA Bank AG</t>
  </si>
  <si>
    <t>Sygnum Bank AG</t>
  </si>
  <si>
    <t>1. Quartal</t>
  </si>
  <si>
    <t>2. Quartal</t>
  </si>
  <si>
    <t>3. Quartal</t>
  </si>
  <si>
    <t>4. Quartal</t>
  </si>
  <si>
    <r>
      <t xml:space="preserve">Kategorie </t>
    </r>
    <r>
      <rPr>
        <b/>
        <vertAlign val="superscript"/>
        <sz val="8"/>
        <color theme="1"/>
        <rFont val="Arial"/>
        <family val="2"/>
      </rPr>
      <t>1)</t>
    </r>
  </si>
  <si>
    <t>Anrechenbare Eigenmittel</t>
  </si>
  <si>
    <t>davon hartes Kernkapital (CET1)</t>
  </si>
  <si>
    <t>davon Kernkapital (T1)</t>
  </si>
  <si>
    <t>Risiko-gewichtete Positionen (RWA)</t>
  </si>
  <si>
    <t>CET1-Quote (CET1 in % der RWA)</t>
  </si>
  <si>
    <t>Kernkapital-quote (T1 in % der RWA)</t>
  </si>
  <si>
    <t>Gesamtkapital-
quote (in % 
der RWA)</t>
  </si>
  <si>
    <t>LCR</t>
  </si>
  <si>
    <t>Zähler der LCR (HQLA)</t>
  </si>
  <si>
    <t>Nenner der LCR (Net Outflow)</t>
  </si>
  <si>
    <t>in TCHF</t>
  </si>
  <si>
    <t>Spalte1</t>
  </si>
  <si>
    <t>Spalte2</t>
  </si>
  <si>
    <t>Spalte3</t>
  </si>
  <si>
    <t>Spalte4</t>
  </si>
  <si>
    <t>Spalte5</t>
  </si>
  <si>
    <t>Spalte6</t>
  </si>
  <si>
    <t>Spalte7</t>
  </si>
  <si>
    <t>Spalte8</t>
  </si>
  <si>
    <t>Spalte9</t>
  </si>
  <si>
    <t>Spalte10</t>
  </si>
  <si>
    <t>Spalte11</t>
  </si>
  <si>
    <t>Spalte12</t>
  </si>
  <si>
    <t>Spalte13</t>
  </si>
  <si>
    <t>Spalte14</t>
  </si>
  <si>
    <t>Spalte15</t>
  </si>
  <si>
    <t>Spalte16</t>
  </si>
  <si>
    <t>Spalte17</t>
  </si>
  <si>
    <t>Spalte18</t>
  </si>
  <si>
    <t>Spalte19</t>
  </si>
  <si>
    <t>Spalte20</t>
  </si>
  <si>
    <t>Spalte21</t>
  </si>
  <si>
    <t>Spalte22</t>
  </si>
  <si>
    <t>Spalte23</t>
  </si>
  <si>
    <t>Spalte24</t>
  </si>
  <si>
    <t>Spalte25</t>
  </si>
  <si>
    <t>Spalte26</t>
  </si>
  <si>
    <t>Spalte27</t>
  </si>
  <si>
    <t>Spalte28</t>
  </si>
  <si>
    <t>BANQUE AUDI (SUISSE) SA</t>
  </si>
  <si>
    <t>FlowBank SA</t>
  </si>
  <si>
    <t>NBK Private Bank (Switzerland) Ltd</t>
  </si>
  <si>
    <t>Quintet Private Bank (Schweiz) AG</t>
  </si>
  <si>
    <t>S.P. Hinduja Banque Privée SA</t>
  </si>
  <si>
    <t>n/a</t>
  </si>
  <si>
    <t>Mindest-
eigenmittel (RWA-basiert)</t>
  </si>
  <si>
    <t>FINMA-Publikation von Key Metrics 2021</t>
  </si>
  <si>
    <t>Offenlegung gemäss Rundschreiben "Offenlegung - Banken" per 31.12.2021</t>
  </si>
  <si>
    <r>
      <t>1)</t>
    </r>
    <r>
      <rPr>
        <sz val="7"/>
        <rFont val="Arial"/>
        <family val="2"/>
      </rPr>
      <t xml:space="preserve"> Die Kategorie nach BankV Art. 2 Abs. 2 bezieht sich auf den Stichtag 31.12.2021.</t>
    </r>
  </si>
  <si>
    <t>Basel III Leverage
Ratio</t>
  </si>
  <si>
    <t>Gesamt-
engagement</t>
  </si>
  <si>
    <t>3)</t>
  </si>
  <si>
    <r>
      <rPr>
        <vertAlign val="superscript"/>
        <sz val="7"/>
        <rFont val="Arial"/>
        <family val="2"/>
      </rPr>
      <t>3)</t>
    </r>
    <r>
      <rPr>
        <sz val="7"/>
        <rFont val="Arial"/>
        <family val="2"/>
      </rPr>
      <t xml:space="preserve"> Holding- und Gruppengesellschaften sind unter bestimmten Voraussetzungen von der Offenlegung der LCR-Liquiditätskennzahlen befreit (Rz 8 Rundschreiben 2016/1 "Offenlegung - Banken" bzw. Art. 14 Liquiditätsverordnung (LiqV) bzw. Rz 104 ff. Rundschreiben 2015/2 "Liquiditätsrisiken - Banken").</t>
    </r>
  </si>
  <si>
    <t>Banque Eric Sturdza SA</t>
  </si>
  <si>
    <t>Banque Internationale à Luxembourg (Suisse) SA</t>
  </si>
  <si>
    <t>BBVA SA</t>
  </si>
  <si>
    <t>BERGOS AG</t>
  </si>
  <si>
    <t>Crypto Finance (Brokerage) AG</t>
  </si>
  <si>
    <t>Crypto Finance AG</t>
  </si>
  <si>
    <t>InCore Bank AG</t>
  </si>
  <si>
    <t>Kaleido Privatbank AG</t>
  </si>
  <si>
    <t>NEUTRAL HOLDING S.A. SPF</t>
  </si>
  <si>
    <t>Obwaldner Kantonalbank</t>
  </si>
  <si>
    <t>ONE swiss bank SA</t>
  </si>
  <si>
    <t>SOBACO Holding AG</t>
  </si>
  <si>
    <t>Taurus SA</t>
  </si>
  <si>
    <t>Spalte29</t>
  </si>
  <si>
    <t>Spalte30</t>
  </si>
  <si>
    <t>Spalte31</t>
  </si>
  <si>
    <t>NSFR</t>
  </si>
  <si>
    <t>Zähler der NSFR (ASF)</t>
  </si>
  <si>
    <t>Nenner der NSFR (RSF)</t>
  </si>
  <si>
    <r>
      <t>Antizyklischer Puffer (AZP; in % der RWA)</t>
    </r>
    <r>
      <rPr>
        <b/>
        <vertAlign val="superscript"/>
        <sz val="8"/>
        <rFont val="Arial"/>
        <family val="2"/>
      </rPr>
      <t xml:space="preserve"> 2)</t>
    </r>
  </si>
  <si>
    <r>
      <t xml:space="preserve">T1-Zielquote
inkl. AZP </t>
    </r>
    <r>
      <rPr>
        <b/>
        <vertAlign val="superscript"/>
        <sz val="8"/>
        <rFont val="Arial"/>
        <family val="2"/>
      </rPr>
      <t>2)</t>
    </r>
  </si>
  <si>
    <r>
      <t xml:space="preserve">Gesamtkapital-
Zielquote inkl. AZP </t>
    </r>
    <r>
      <rPr>
        <b/>
        <vertAlign val="superscript"/>
        <sz val="8"/>
        <rFont val="Arial"/>
        <family val="2"/>
      </rPr>
      <t>2)</t>
    </r>
  </si>
  <si>
    <r>
      <t>CET1-Zielquote
inkl. AZP</t>
    </r>
    <r>
      <rPr>
        <b/>
        <vertAlign val="superscript"/>
        <sz val="8"/>
        <rFont val="Arial"/>
        <family val="2"/>
      </rPr>
      <t xml:space="preserve"> 2)</t>
    </r>
  </si>
  <si>
    <r>
      <rPr>
        <vertAlign val="superscript"/>
        <sz val="7"/>
        <rFont val="Arial"/>
        <family val="2"/>
      </rPr>
      <t xml:space="preserve">2) </t>
    </r>
    <r>
      <rPr>
        <sz val="7"/>
        <rFont val="Arial"/>
        <family val="2"/>
      </rPr>
      <t xml:space="preserve">Infolge der COVID-19-Krise hat der Bundesrat auf Antrag der Schweizerischen Nationalbank den nationalen antizyklischen Kapitalpuffer (AZP) per 27.03.2020 deaktiviert. Mit Wirkung ab 30.09.2022 wurde er reaktiviert. </t>
    </r>
  </si>
  <si>
    <t>Groupe Pictet</t>
  </si>
  <si>
    <t xml:space="preserve"> </t>
  </si>
  <si>
    <t>Zeilenbeschriftungen</t>
  </si>
  <si>
    <t>Gesamtergebnis</t>
  </si>
  <si>
    <t>Summe von Risiko-gewichtete Positionen (RWA)</t>
  </si>
  <si>
    <t>Summe von CET1-Quote (CET1 in % der RWA)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</si>
</sst>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0"/>
      <name val="Arial"/>
      <family val="2"/>
    </font>
    <font>
      <b/>
      <sz val="8"/>
      <color theme="1"/>
      <name val="Arial"/>
      <family val="2"/>
    </font>
    <font>
      <sz val="10"/>
      <color indexed="8"/>
      <name val="Arial"/>
      <family val="2"/>
    </font>
    <font>
      <b/>
      <sz val="8"/>
      <name val="Arial"/>
      <family val="2"/>
    </font>
    <font>
      <b/>
      <vertAlign val="superscript"/>
      <sz val="8"/>
      <color theme="1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vertAlign val="superscript"/>
      <sz val="7"/>
      <name val="Arial"/>
      <family val="2"/>
    </font>
    <font>
      <sz val="7"/>
      <name val="Arial"/>
      <family val="2"/>
    </font>
    <font>
      <vertAlign val="superscript"/>
      <sz val="8"/>
      <color theme="1"/>
      <name val="Arial"/>
      <family val="2"/>
    </font>
    <font>
      <u/>
      <sz val="8"/>
      <color theme="10"/>
      <name val="Arial"/>
      <family val="2"/>
    </font>
    <font>
      <u/>
      <sz val="7"/>
      <color theme="10"/>
      <name val="Arial"/>
      <family val="2"/>
    </font>
    <font>
      <sz val="8"/>
      <color theme="1"/>
      <name val="Arial"/>
      <family val="2"/>
    </font>
    <font>
      <b/>
      <vertAlign val="superscript"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 applyNumberForma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  <xf numFmtId="9" fontId="3" fillId="0" borderId="0" xfId="0" applyNumberFormat="1" applyFont="1"/>
    <xf numFmtId="0" fontId="4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right" vertical="center"/>
    </xf>
    <xf numFmtId="164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7" fillId="0" borderId="0" xfId="2" applyFont="1"/>
    <xf numFmtId="0" fontId="5" fillId="0" borderId="0" xfId="0" applyFont="1" applyAlignment="1">
      <alignment wrapText="1"/>
    </xf>
    <xf numFmtId="3" fontId="7" fillId="0" borderId="0" xfId="2" applyNumberFormat="1" applyFont="1" applyAlignment="1">
      <alignment horizontal="right" wrapText="1"/>
    </xf>
    <xf numFmtId="0" fontId="7" fillId="0" borderId="0" xfId="2" applyFont="1" applyAlignment="1">
      <alignment horizontal="right" wrapText="1"/>
    </xf>
    <xf numFmtId="164" fontId="7" fillId="0" borderId="0" xfId="1" applyNumberFormat="1" applyFont="1" applyFill="1" applyBorder="1" applyAlignment="1" applyProtection="1">
      <alignment horizontal="right" wrapText="1"/>
    </xf>
    <xf numFmtId="9" fontId="7" fillId="0" borderId="0" xfId="1" applyFont="1" applyFill="1" applyBorder="1" applyAlignment="1" applyProtection="1">
      <alignment horizontal="right" wrapText="1"/>
    </xf>
    <xf numFmtId="9" fontId="7" fillId="0" borderId="1" xfId="1" applyFont="1" applyFill="1" applyBorder="1" applyAlignment="1" applyProtection="1">
      <alignment horizontal="right" wrapText="1"/>
    </xf>
    <xf numFmtId="9" fontId="7" fillId="0" borderId="2" xfId="1" applyFont="1" applyFill="1" applyBorder="1" applyAlignment="1" applyProtection="1">
      <alignment horizontal="right" wrapText="1"/>
    </xf>
    <xf numFmtId="164" fontId="3" fillId="0" borderId="0" xfId="0" applyNumberFormat="1" applyFont="1" applyAlignment="1">
      <alignment vertical="center"/>
    </xf>
    <xf numFmtId="9" fontId="3" fillId="0" borderId="0" xfId="0" applyNumberFormat="1" applyFont="1" applyAlignment="1">
      <alignment vertical="center"/>
    </xf>
    <xf numFmtId="9" fontId="3" fillId="0" borderId="1" xfId="0" applyNumberFormat="1" applyFont="1" applyBorder="1"/>
    <xf numFmtId="3" fontId="3" fillId="0" borderId="2" xfId="0" applyNumberFormat="1" applyFont="1" applyBorder="1" applyAlignment="1">
      <alignment horizontal="right" vertical="center"/>
    </xf>
    <xf numFmtId="0" fontId="3" fillId="2" borderId="3" xfId="0" applyFont="1" applyFill="1" applyBorder="1"/>
    <xf numFmtId="0" fontId="3" fillId="0" borderId="3" xfId="0" applyFont="1" applyBorder="1"/>
    <xf numFmtId="9" fontId="3" fillId="0" borderId="3" xfId="0" applyNumberFormat="1" applyFont="1" applyBorder="1" applyAlignment="1">
      <alignment horizontal="right"/>
    </xf>
    <xf numFmtId="3" fontId="3" fillId="0" borderId="3" xfId="0" applyNumberFormat="1" applyFont="1" applyBorder="1" applyAlignment="1">
      <alignment horizontal="right"/>
    </xf>
    <xf numFmtId="164" fontId="3" fillId="0" borderId="3" xfId="0" applyNumberFormat="1" applyFont="1" applyBorder="1" applyAlignment="1">
      <alignment horizontal="right"/>
    </xf>
    <xf numFmtId="164" fontId="3" fillId="0" borderId="0" xfId="1" applyNumberFormat="1" applyFont="1"/>
    <xf numFmtId="9" fontId="13" fillId="0" borderId="3" xfId="0" applyNumberFormat="1" applyFont="1" applyBorder="1" applyAlignment="1">
      <alignment horizontal="right"/>
    </xf>
    <xf numFmtId="3" fontId="13" fillId="0" borderId="3" xfId="0" applyNumberFormat="1" applyFont="1" applyBorder="1" applyAlignment="1">
      <alignment horizontal="right"/>
    </xf>
    <xf numFmtId="9" fontId="13" fillId="2" borderId="3" xfId="0" applyNumberFormat="1" applyFont="1" applyFill="1" applyBorder="1" applyAlignment="1">
      <alignment horizontal="right"/>
    </xf>
    <xf numFmtId="9" fontId="14" fillId="0" borderId="0" xfId="3" applyNumberFormat="1" applyFont="1" applyAlignment="1" applyProtection="1">
      <alignment horizontal="left" vertical="center"/>
    </xf>
    <xf numFmtId="0" fontId="15" fillId="0" borderId="0" xfId="3" applyFont="1" applyAlignment="1" applyProtection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left" vertical="center"/>
    </xf>
    <xf numFmtId="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3" fontId="16" fillId="0" borderId="0" xfId="0" applyNumberFormat="1" applyFont="1"/>
    <xf numFmtId="3" fontId="13" fillId="0" borderId="0" xfId="0" applyNumberFormat="1" applyFont="1" applyAlignment="1">
      <alignment horizontal="right"/>
    </xf>
    <xf numFmtId="3" fontId="16" fillId="0" borderId="0" xfId="0" applyNumberFormat="1" applyFont="1" applyAlignment="1">
      <alignment horizontal="right"/>
    </xf>
    <xf numFmtId="164" fontId="16" fillId="0" borderId="0" xfId="1" applyNumberFormat="1" applyFont="1"/>
    <xf numFmtId="164" fontId="16" fillId="0" borderId="0" xfId="1" applyNumberFormat="1" applyFont="1" applyAlignment="1">
      <alignment horizontal="right"/>
    </xf>
    <xf numFmtId="9" fontId="3" fillId="2" borderId="3" xfId="0" applyNumberFormat="1" applyFont="1" applyFill="1" applyBorder="1" applyAlignment="1">
      <alignment horizontal="right"/>
    </xf>
    <xf numFmtId="164" fontId="13" fillId="0" borderId="0" xfId="1" applyNumberFormat="1" applyFont="1" applyAlignment="1">
      <alignment horizontal="right"/>
    </xf>
    <xf numFmtId="0" fontId="16" fillId="0" borderId="0" xfId="0" applyFont="1"/>
    <xf numFmtId="164" fontId="16" fillId="0" borderId="0" xfId="0" applyNumberFormat="1" applyFont="1"/>
    <xf numFmtId="9" fontId="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2" borderId="3" xfId="0" applyFont="1" applyFill="1" applyBorder="1" applyAlignment="1">
      <alignment horizontal="right"/>
    </xf>
    <xf numFmtId="3" fontId="3" fillId="2" borderId="3" xfId="0" applyNumberFormat="1" applyFont="1" applyFill="1" applyBorder="1" applyAlignment="1">
      <alignment horizontal="right"/>
    </xf>
    <xf numFmtId="164" fontId="3" fillId="2" borderId="3" xfId="0" applyNumberFormat="1" applyFont="1" applyFill="1" applyBorder="1" applyAlignment="1">
      <alignment horizontal="right"/>
    </xf>
    <xf numFmtId="3" fontId="16" fillId="2" borderId="0" xfId="0" applyNumberFormat="1" applyFont="1" applyFill="1" applyAlignment="1">
      <alignment horizontal="right"/>
    </xf>
    <xf numFmtId="0" fontId="3" fillId="0" borderId="3" xfId="0" applyFont="1" applyBorder="1" applyAlignment="1">
      <alignment horizontal="right"/>
    </xf>
    <xf numFmtId="3" fontId="13" fillId="2" borderId="3" xfId="0" applyNumberFormat="1" applyFont="1" applyFill="1" applyBorder="1" applyAlignment="1">
      <alignment horizontal="right"/>
    </xf>
    <xf numFmtId="3" fontId="13" fillId="2" borderId="0" xfId="0" applyNumberFormat="1" applyFont="1" applyFill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9" fontId="5" fillId="0" borderId="1" xfId="0" applyNumberFormat="1" applyFont="1" applyBorder="1" applyAlignment="1">
      <alignment horizontal="center"/>
    </xf>
    <xf numFmtId="9" fontId="5" fillId="0" borderId="0" xfId="0" applyNumberFormat="1" applyFont="1" applyAlignment="1">
      <alignment horizontal="center"/>
    </xf>
    <xf numFmtId="9" fontId="5" fillId="0" borderId="2" xfId="0" applyNumberFormat="1" applyFont="1" applyBorder="1" applyAlignment="1">
      <alignment horizontal="center"/>
    </xf>
    <xf numFmtId="0" fontId="0" fillId="0" borderId="0" xfId="0" applyNumberFormat="1"/>
  </cellXfs>
  <cellStyles count="4">
    <cellStyle name="Link" xfId="3" builtinId="8"/>
    <cellStyle name="Prozent" xfId="1" builtinId="5"/>
    <cellStyle name="Standard" xfId="0" builtinId="0"/>
    <cellStyle name="Standard_Tabelle2" xfId="2" xr:uid="{00000000-0005-0000-0000-000003000000}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0.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3" formatCode="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3" formatCode="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3" formatCode="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3" formatCode="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0.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0.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0.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0.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0.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0.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0.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0.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77931</xdr:colOff>
      <xdr:row>0</xdr:row>
      <xdr:rowOff>51954</xdr:rowOff>
    </xdr:from>
    <xdr:to>
      <xdr:col>12</xdr:col>
      <xdr:colOff>165653</xdr:colOff>
      <xdr:row>4</xdr:row>
      <xdr:rowOff>8283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849214" y="51954"/>
          <a:ext cx="3119156" cy="11573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800" b="1" u="sng">
              <a:latin typeface="Arial" panose="020B0604020202020204" pitchFamily="34" charset="0"/>
              <a:cs typeface="Arial" panose="020B0604020202020204" pitchFamily="34" charset="0"/>
            </a:rPr>
            <a:t>Legende</a:t>
          </a:r>
        </a:p>
        <a:p>
          <a:r>
            <a:rPr lang="de-CH" sz="800">
              <a:latin typeface="Arial" panose="020B0604020202020204" pitchFamily="34" charset="0"/>
              <a:cs typeface="Arial" panose="020B0604020202020204" pitchFamily="34" charset="0"/>
            </a:rPr>
            <a:t>CET1</a:t>
          </a:r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 : Hartes Kernkapital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T1: Kernkapital (Tier 1)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CH" sz="8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HQLA: Total der qualitativ hochwertigen</a:t>
          </a:r>
          <a:r>
            <a:rPr lang="de-CH" sz="8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liquiden Aktiven</a:t>
          </a:r>
          <a:endParaRPr lang="de-CH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de-CH" sz="8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LCR: Quote für kurzfristige Liquidität (Liquidity Coverage Ratio)</a:t>
          </a:r>
          <a:endParaRPr lang="de-CH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Leverage Ratio: Ungewichtete Kapitalquote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Net Outflow: Total des Nettomittelabflusses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NSFR: Finanzierungsquote (Net Stable Funding Ratio)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RWA: Risikogewichtete Aktiven</a:t>
          </a:r>
        </a:p>
        <a:p>
          <a:endParaRPr lang="de-CH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 Jacob" refreshedDate="46076.638368287036" createdVersion="8" refreshedVersion="8" minRefreshableVersion="3" recordCount="168" xr:uid="{98FD1313-6766-CC4B-AE18-43EB8B4FCE2A}">
  <cacheSource type="worksheet">
    <worksheetSource ref="A6:AE174" sheet="KeyMetrics2021"/>
  </cacheSource>
  <cacheFields count="31">
    <cacheField name="Name" numFmtId="0">
      <sharedItems containsBlank="1" count="168">
        <m/>
        <s v="Spalte1"/>
        <s v="Aargauische Kantonalbank"/>
        <s v="Alpha RHEINTAL Bank AG"/>
        <s v="Appenzeller Kantonalbank"/>
        <s v="AXION SWISS BANK SA"/>
        <s v="Baloise Bank SoBa AG"/>
        <s v="Banca Aletti &amp; C. (Suisse) SA"/>
        <s v="BANCA CREDINVEST SA"/>
        <s v="BANCA DEL SEMPIONE SA"/>
        <s v="Banca dello Stato del Cantone Ticino"/>
        <s v="Banca Popolare di Sondrio (Suisse) SA"/>
        <s v="BANCA ZARATTINI &amp; CO. SA"/>
        <s v="Banco Itaú (Suisse) SA"/>
        <s v="Banco Santander International SA"/>
        <s v="Bank Avera Genossenschaft"/>
        <s v="Bank BSU Genossenschaft"/>
        <s v="Bank CIC (Schweiz) AG"/>
        <s v="Bank Cler AG"/>
        <s v="Bank EKI Genossenschaft"/>
        <s v="Bank J. Safra Sarasin AG"/>
        <s v="Bank Julius Bär &amp; Co. AG"/>
        <s v="Bank Linth LLB AG"/>
        <s v="Bank Sparhafen Zürich AG"/>
        <s v="Bank von Roll AG"/>
        <s v="Bank Vontobel AG"/>
        <s v="BANK ZIMMERBERG AG"/>
        <s v="bank zweiplus ag"/>
        <s v="Bank-now AG"/>
        <s v="BANQUE AUDI (SUISSE) SA"/>
        <s v="Banque Cantonale de Fribourg"/>
        <s v="Banque Cantonale de Genève"/>
        <s v="Banque Cantonale du Jura SA"/>
        <s v="Banque Cantonale du Valais"/>
        <s v="Banque cantonale neuchâteloise"/>
        <s v="Banque Cantonale Vaudoise"/>
        <s v="Banque Cramer &amp; Cie SA"/>
        <s v="Banque de Commerce et de Placements SA"/>
        <s v="Banque Degroof Petercam (Suisse) SA"/>
        <s v="Banque du Léman SA"/>
        <s v="Banque Eric Sturdza SA"/>
        <s v="BANQUE HERITAGE SA"/>
        <s v="Banque Internationale à Luxembourg (Suisse) SA"/>
        <s v="Banque Internationale de Commerce - BRED (Suisse) SA"/>
        <s v="Banque Lombard Odier &amp; Cie SA"/>
        <s v="Banque SYZ SA"/>
        <s v="Banque Thaler SA"/>
        <s v="Barclays Bank (Suisse) SA"/>
        <s v="Basellandschaftliche Kantonalbank"/>
        <s v="Basler Kantonalbank"/>
        <s v="BBVA SA"/>
        <s v="BERGOS AG"/>
        <s v="Berner Kantonalbank AG"/>
        <s v="Bezirks-Sparkasse Dielsdorf Genossenschaft"/>
        <s v="BLOM BANK (Switzerland) SA"/>
        <s v="BNP Paribas (Suisse) SA"/>
        <s v="BSZ Genossenschaft"/>
        <s v="CA Indosuez (Switzerland) SA"/>
        <s v="Caisse d'Epargne et de Crédit Mutuel de Chermignon société coopérative"/>
        <s v="Caisse d'Epargne Riviera, société coopérative"/>
        <s v="CBH Compagnie Bancaire Helvétique SA"/>
        <s v="Cembra Money Bank AG"/>
        <s v="CIM BANQUE SA"/>
        <s v="Cité Gestion SA"/>
        <s v="Clientis AG"/>
        <s v="Cornèr Banca SA"/>
        <s v="Crédit Agricole next bank (Suisse) SA"/>
        <s v="Credit Europe Bank (Suisse) SA"/>
        <s v="Crypto Finance (Brokerage) AG"/>
        <s v="Crypto Finance AG"/>
        <s v="Delen (Suisse) SA"/>
        <s v="Deutsche Bank (Suisse) SA"/>
        <s v="Dreyfus Söhne &amp; Cie. Aktiengesellschaft, Banquiers"/>
        <s v="Dukascopy Bank SA"/>
        <s v="DZ PRIVATBANK (Schweiz) AG"/>
        <s v="Edmond de Rothschild (Suisse) S.A."/>
        <s v="Edmond de Rothschild Holding SA"/>
        <s v="EFG Bank AG"/>
        <s v="EFG Bank European Financial Group SA"/>
        <s v="EFG International AG"/>
        <s v="Entris Banking AG"/>
        <s v="Ersparniskasse Rüeggisberg Genossenschaft"/>
        <s v="F. van Lanschot Bankiers (Schweiz) AG"/>
        <s v="FAB Private Bank (Suisse) SA"/>
        <s v="Fidurhône SA"/>
        <s v="Financière SYZ SA"/>
        <s v="FlowBank SA"/>
        <s v="Frankfurter Bankgesellschaft (Schweiz) AG"/>
        <s v="Freie Gemeinschaftsbank Genossenschaft"/>
        <s v="Gazprombank (Schweiz) AG"/>
        <s v="Glarner Kantonalbank"/>
        <s v="Gonet &amp; Cie SA"/>
        <s v="Gonet SA"/>
        <s v="Graubündner Kantonalbank"/>
        <s v="GRB Glarner Regionalbank Genossenschaft"/>
        <s v="Groupe Mirabaud"/>
        <s v="Groupe Pictet"/>
        <s v="Habib Bank AG Zürich"/>
        <s v="Helvetische Bank AG"/>
        <s v="HINDUJA SUISSE HOLDING SA"/>
        <s v="HSBC Private Bank (Suisse) SA"/>
        <s v="Hyposwiss Private Bank Genève SA"/>
        <s v="Hypothekarbank Lenzburg AG"/>
        <s v="InCore Bank AG"/>
        <s v="Intesa Sanpaolo Private Bank (Suisse) Morval SA"/>
        <s v="ISP Group AG"/>
        <s v="ISP Securities AG"/>
        <s v="J. Safra Sarasin Holding AG"/>
        <s v="J.P. Morgan (Suisse) SA"/>
        <s v="Julius Bär Gruppe AG"/>
        <s v="Kaleido Privatbank AG"/>
        <s v="LGT Bank (Schweiz) AG"/>
        <s v="Lienhardt &amp; Partner Privatbank Zürich AG"/>
        <s v="Luzerner Kantonalbank AG"/>
        <s v="Mercantil Bank (Schweiz) AG"/>
        <s v="Migros Bank AG"/>
        <s v="NBK Private Bank (Switzerland) Ltd"/>
        <s v="NEUTRAL HOLDING S.A. SPF"/>
        <s v="NPB Neue Privat Bank AG"/>
        <s v="Obwaldner Kantonalbank"/>
        <s v="ODDO BHF (Schweiz) AG"/>
        <s v="ONE swiss bank SA"/>
        <s v="PATRIMONY 1873 SA"/>
        <s v="Piguet Galland &amp; Cie SA"/>
        <s v="PKB PRIVATBANK SA"/>
        <s v="Privatbank Bellerive AG"/>
        <s v="Privatbank IHAG Zürich AG"/>
        <s v="QNB (Suisse) SA"/>
        <s v="Quantus AG"/>
        <s v="Quilvest (Switzerland) Ltd."/>
        <s v="Quintet Private Bank (Schweiz) AG"/>
        <s v="Regiobank Solothurn AG"/>
        <s v="Remaco Asset Management AG"/>
        <s v="REYL &amp; Cie SA"/>
        <s v="Rothschild &amp; Co Bank AG"/>
        <s v="S.P. Hinduja Banque Privée SA"/>
        <s v="SAXO BANK (SCHWEIZ) AG"/>
        <s v="SB Saanen Bank AG"/>
        <s v="Sberbank (Switzerland) AG"/>
        <s v="Schaffhauser Kantonalbank"/>
        <s v="Schroder &amp; Co Bank AG"/>
        <s v="Schwyzer Kantonalbank"/>
        <s v="Scobag Privatbank AG"/>
        <s v="SEBA Bank AG"/>
        <s v="SeeBeteiligungs AG"/>
        <s v="SELVI &amp; Cie SA"/>
        <s v="SOBACO Holding AG"/>
        <s v="SOCIETE GENERALE Private Banking (Suisse) SA"/>
        <s v="Spar+Leihkasse Riggisberg AG"/>
        <s v="St. Galler Kantonalbank AG"/>
        <s v="Swiss Bankers Prepaid Services AG"/>
        <s v="Swissquote Bank SA"/>
        <s v="Swissquote Group Holding SA"/>
        <s v="Sygnum Bank AG"/>
        <s v="Taurus SA"/>
        <s v="Tellco AG"/>
        <s v="Thurgauer Kantonalbank"/>
        <s v="UNION BANCAIRE PRIVEE, UBP SA"/>
        <s v="Urner Kantonalbank"/>
        <s v="Valiant Bank AG"/>
        <s v="Valiant Holding AG"/>
        <s v="Vontobel Holding AG"/>
        <s v="VP Bank (Schweiz) AG"/>
        <s v="VZ Depotbank AG"/>
        <s v="VZ Holding AG"/>
        <s v="WIR Bank Genossenschaft"/>
        <s v="Zuger Kantonalbank"/>
        <s v="Zürcher Landbank AG"/>
      </sharedItems>
    </cacheField>
    <cacheField name="Kategorie 1)" numFmtId="0">
      <sharedItems containsBlank="1" containsMixedTypes="1" containsNumber="1" containsInteger="1" minValue="3" maxValue="5"/>
    </cacheField>
    <cacheField name="Mindest-_x000a_eigenmittel (RWA-basiert)" numFmtId="3">
      <sharedItems containsMixedTypes="1" containsNumber="1" containsInteger="1" minValue="645" maxValue="1915760"/>
    </cacheField>
    <cacheField name="Anrechenbare Eigenmittel" numFmtId="3">
      <sharedItems containsMixedTypes="1" containsNumber="1" containsInteger="1" minValue="1801" maxValue="5814809"/>
    </cacheField>
    <cacheField name="davon hartes Kernkapital (CET1)" numFmtId="3">
      <sharedItems containsMixedTypes="1" containsNumber="1" containsInteger="1" minValue="1801" maxValue="5707838"/>
    </cacheField>
    <cacheField name="davon Kernkapital (T1)" numFmtId="3">
      <sharedItems containsMixedTypes="1" containsNumber="1" containsInteger="1" minValue="1801" maxValue="5707838"/>
    </cacheField>
    <cacheField name="Risiko-gewichtete Positionen (RWA)" numFmtId="3">
      <sharedItems containsMixedTypes="1" containsNumber="1" containsInteger="1" minValue="8061" maxValue="23947001"/>
    </cacheField>
    <cacheField name="CET1-Quote (CET1 in % der RWA)" numFmtId="164">
      <sharedItems containsBlank="1" containsMixedTypes="1" containsNumber="1" minValue="0.08" maxValue="0.85299999999999998"/>
    </cacheField>
    <cacheField name="Kernkapital-quote (T1 in % der RWA)" numFmtId="164">
      <sharedItems containsBlank="1" containsMixedTypes="1" containsNumber="1" minValue="0.112" maxValue="0.85299999999999998"/>
    </cacheField>
    <cacheField name="Gesamtkapital-_x000a_quote (in % _x000a_der RWA)" numFmtId="164">
      <sharedItems containsBlank="1" containsMixedTypes="1" containsNumber="1" minValue="0.126" maxValue="0.85299999999999998"/>
    </cacheField>
    <cacheField name="Antizyklischer Puffer (AZP; in % der RWA) 2)" numFmtId="164">
      <sharedItems containsBlank="1"/>
    </cacheField>
    <cacheField name="CET1-Zielquote_x000a_inkl. AZP 2)" numFmtId="164">
      <sharedItems containsBlank="1" containsMixedTypes="1" containsNumber="1" minValue="7.0000000000000007E-2" maxValue="7.8E-2"/>
    </cacheField>
    <cacheField name="T1-Zielquote_x000a_inkl. AZP 2)" numFmtId="0">
      <sharedItems containsBlank="1" containsMixedTypes="1" containsNumber="1" minValue="8.5000000000000006E-2" maxValue="9.6000000000000002E-2"/>
    </cacheField>
    <cacheField name="Gesamtkapital-_x000a_Zielquote inkl. AZP 2)" numFmtId="0">
      <sharedItems containsBlank="1" containsMixedTypes="1" containsNumber="1" minValue="0.105" maxValue="0.12"/>
    </cacheField>
    <cacheField name="Basel III Leverage_x000a_Ratio" numFmtId="0">
      <sharedItems containsBlank="1" containsMixedTypes="1" containsNumber="1" minValue="3.4000000000000002E-2" maxValue="0.93799999999999994"/>
    </cacheField>
    <cacheField name="Gesamt-_x000a_engagement" numFmtId="3">
      <sharedItems containsMixedTypes="1" containsNumber="1" containsInteger="1" minValue="7287" maxValue="118273934"/>
    </cacheField>
    <cacheField name="LCR" numFmtId="9">
      <sharedItems containsBlank="1" containsMixedTypes="1" containsNumber="1" minValue="1.04" maxValue="39.35"/>
    </cacheField>
    <cacheField name="Zähler der LCR (HQLA)" numFmtId="3">
      <sharedItems containsMixedTypes="1" containsNumber="1" containsInteger="1" minValue="4431" maxValue="26715253"/>
    </cacheField>
    <cacheField name="Nenner der LCR (Net Outflow)" numFmtId="3">
      <sharedItems containsMixedTypes="1" containsNumber="1" containsInteger="1" minValue="113" maxValue="15822125"/>
    </cacheField>
    <cacheField name="LCR2" numFmtId="9">
      <sharedItems containsBlank="1" containsMixedTypes="1" containsNumber="1" minValue="1.05" maxValue="23.93"/>
    </cacheField>
    <cacheField name="Zähler der LCR (HQLA)2" numFmtId="3">
      <sharedItems containsMixedTypes="1" containsNumber="1" containsInteger="1" minValue="402" maxValue="27096494"/>
    </cacheField>
    <cacheField name="Nenner der LCR (Net Outflow)2" numFmtId="3">
      <sharedItems containsMixedTypes="1" containsNumber="1" containsInteger="1" minValue="53" maxValue="15437917"/>
    </cacheField>
    <cacheField name="LCR3" numFmtId="9">
      <sharedItems containsBlank="1" containsMixedTypes="1" containsNumber="1" minValue="1.04" maxValue="24.41"/>
    </cacheField>
    <cacheField name="Zähler der LCR (HQLA)3" numFmtId="3">
      <sharedItems containsMixedTypes="1" containsNumber="1" containsInteger="1" minValue="602" maxValue="27623526"/>
    </cacheField>
    <cacheField name="Nenner der LCR (Net Outflow)3" numFmtId="3">
      <sharedItems containsMixedTypes="1" containsNumber="1" containsInteger="1" minValue="47" maxValue="16593365"/>
    </cacheField>
    <cacheField name="LCR4" numFmtId="9">
      <sharedItems containsBlank="1" containsMixedTypes="1" containsNumber="1" minValue="1.04" maxValue="25.13"/>
    </cacheField>
    <cacheField name="Zähler der LCR (HQLA)4" numFmtId="3">
      <sharedItems containsMixedTypes="1" containsNumber="1" containsInteger="1" minValue="603" maxValue="28056961"/>
    </cacheField>
    <cacheField name="Nenner der LCR (Net Outflow)4" numFmtId="3">
      <sharedItems containsMixedTypes="1" containsNumber="1" containsInteger="1" minValue="48" maxValue="17168061"/>
    </cacheField>
    <cacheField name="NSFR" numFmtId="0">
      <sharedItems containsBlank="1" containsMixedTypes="1" containsNumber="1" minValue="1.06" maxValue="11.13"/>
    </cacheField>
    <cacheField name="Zähler der NSFR (ASF)" numFmtId="3">
      <sharedItems containsBlank="1" containsMixedTypes="1" containsNumber="1" containsInteger="1" minValue="5003" maxValue="70377081"/>
    </cacheField>
    <cacheField name="Nenner der NSFR (RSF)" numFmtId="3">
      <sharedItems containsBlank="1" containsMixedTypes="1" containsNumber="1" containsInteger="1" minValue="2980" maxValue="524825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x v="0"/>
    <m/>
    <s v="in TCHF"/>
    <s v="in TCHF"/>
    <s v="in TCHF"/>
    <s v="in TCHF"/>
    <s v="in TCHF"/>
    <m/>
    <m/>
    <m/>
    <m/>
    <m/>
    <m/>
    <m/>
    <m/>
    <s v="in TCHF"/>
    <m/>
    <s v="in TCHF"/>
    <s v="in TCHF"/>
    <m/>
    <s v="in TCHF"/>
    <s v="in TCHF"/>
    <m/>
    <s v="in TCHF"/>
    <s v="in TCHF"/>
    <m/>
    <s v="in TCHF"/>
    <s v="in TCHF"/>
    <m/>
    <s v="in TCHF"/>
    <s v="in TCHF"/>
  </r>
  <r>
    <x v="1"/>
    <s v="Spalte2"/>
    <s v="Spalte3"/>
    <s v="Spalte4"/>
    <s v="Spalte5"/>
    <s v="Spalte6"/>
    <s v="Spalte7"/>
    <s v="Spalte8"/>
    <s v="Spalte9"/>
    <s v="Spalte10"/>
    <s v="Spalte11"/>
    <s v="Spalte12"/>
    <s v="Spalte13"/>
    <s v="Spalte14"/>
    <s v="Spalte15"/>
    <s v="Spalte16"/>
    <s v="Spalte17"/>
    <s v="Spalte18"/>
    <s v="Spalte19"/>
    <s v="Spalte20"/>
    <s v="Spalte21"/>
    <s v="Spalte22"/>
    <s v="Spalte23"/>
    <s v="Spalte24"/>
    <s v="Spalte25"/>
    <s v="Spalte26"/>
    <s v="Spalte27"/>
    <s v="Spalte28"/>
    <s v="Spalte29"/>
    <s v="Spalte30"/>
    <s v="Spalte31"/>
  </r>
  <r>
    <x v="2"/>
    <n v="3"/>
    <n v="1116434"/>
    <n v="2625679"/>
    <n v="2563776"/>
    <n v="2563776"/>
    <n v="13955422"/>
    <n v="0.184"/>
    <n v="0.184"/>
    <n v="0.188"/>
    <m/>
    <n v="7.8E-2"/>
    <n v="9.6000000000000002E-2"/>
    <n v="0.12"/>
    <n v="7.1999999999999995E-2"/>
    <n v="35427066"/>
    <n v="1.81"/>
    <n v="8666654"/>
    <n v="4798321"/>
    <n v="1.89"/>
    <n v="8670835"/>
    <n v="4596994"/>
    <n v="2.0499999999999998"/>
    <n v="9439469"/>
    <n v="4604632"/>
    <n v="1.92"/>
    <n v="9216022"/>
    <n v="4804797"/>
    <n v="1.49"/>
    <n v="26001616"/>
    <n v="17394501"/>
  </r>
  <r>
    <x v="3"/>
    <n v="4"/>
    <n v="123273"/>
    <n v="231314"/>
    <n v="231314"/>
    <n v="231314"/>
    <n v="1540908"/>
    <n v="0.15"/>
    <n v="0.15"/>
    <n v="0.15"/>
    <m/>
    <n v="7.3999999999999996E-2"/>
    <n v="0.09"/>
    <n v="0.112"/>
    <n v="7.5999999999999998E-2"/>
    <n v="3058985"/>
    <n v="1.42"/>
    <n v="290102"/>
    <n v="204661"/>
    <n v="1.37"/>
    <n v="298016"/>
    <n v="216813"/>
    <n v="1.4"/>
    <n v="337476"/>
    <n v="240464"/>
    <n v="1.35"/>
    <n v="349386"/>
    <n v="259542"/>
    <n v="1.1399999999999999"/>
    <n v="2287551"/>
    <n v="2005375"/>
  </r>
  <r>
    <x v="4"/>
    <n v="4"/>
    <n v="134549"/>
    <n v="338310"/>
    <n v="338310"/>
    <n v="338310"/>
    <n v="1681859"/>
    <n v="0.20100000000000001"/>
    <n v="0.20100000000000001"/>
    <n v="0.20100000000000001"/>
    <m/>
    <n v="7.3999999999999996E-2"/>
    <n v="0.09"/>
    <n v="0.112"/>
    <n v="8.2000000000000003E-2"/>
    <n v="4102558"/>
    <n v="1.69"/>
    <n v="589143"/>
    <n v="349238"/>
    <n v="1.77"/>
    <n v="637729"/>
    <n v="360084"/>
    <n v="1.78"/>
    <n v="679286"/>
    <n v="381652"/>
    <n v="1.66"/>
    <n v="641055"/>
    <n v="385987"/>
    <n v="1.41"/>
    <n v="3400807"/>
    <n v="2406249"/>
  </r>
  <r>
    <x v="5"/>
    <n v="4"/>
    <n v="20628"/>
    <n v="74043"/>
    <n v="54043"/>
    <n v="74043"/>
    <n v="257854"/>
    <n v="0.21"/>
    <n v="0.28699999999999998"/>
    <n v="0.28699999999999998"/>
    <m/>
    <n v="7.3999999999999996E-2"/>
    <n v="0.09"/>
    <n v="0.112"/>
    <n v="4.7E-2"/>
    <n v="1561543"/>
    <n v="3.06"/>
    <n v="398046"/>
    <n v="130288"/>
    <n v="3.16"/>
    <n v="435237"/>
    <n v="137625"/>
    <n v="3.48"/>
    <n v="485432"/>
    <n v="139366"/>
    <n v="3.54"/>
    <n v="463423"/>
    <n v="130917"/>
    <n v="3.46"/>
    <n v="989251"/>
    <n v="286059"/>
  </r>
  <r>
    <x v="6"/>
    <n v="4"/>
    <n v="261512"/>
    <n v="447985"/>
    <n v="392678"/>
    <n v="432678"/>
    <n v="3268896"/>
    <n v="0.12"/>
    <n v="0.13200000000000001"/>
    <n v="0.13700000000000001"/>
    <m/>
    <n v="7.3999999999999996E-2"/>
    <n v="0.09"/>
    <n v="0.112"/>
    <n v="4.9000000000000002E-2"/>
    <n v="8820688"/>
    <n v="1.9"/>
    <n v="1449264"/>
    <n v="762103"/>
    <n v="1.73"/>
    <n v="1440729"/>
    <n v="831053"/>
    <n v="1.92"/>
    <n v="1444841"/>
    <n v="754110"/>
    <n v="1.87"/>
    <n v="1402010"/>
    <n v="751330"/>
    <n v="1.32"/>
    <n v="7309422"/>
    <n v="5530374"/>
  </r>
  <r>
    <x v="7"/>
    <n v="5"/>
    <n v="2678"/>
    <n v="28537"/>
    <n v="28537"/>
    <n v="28537"/>
    <n v="33473"/>
    <n v="0.85299999999999998"/>
    <n v="0.85299999999999998"/>
    <n v="0.85299999999999998"/>
    <m/>
    <n v="7.0000000000000007E-2"/>
    <n v="8.5000000000000006E-2"/>
    <n v="0.105"/>
    <n v="0.217"/>
    <n v="131514"/>
    <n v="1.18"/>
    <n v="15531"/>
    <n v="13112"/>
    <n v="1.24"/>
    <n v="14607"/>
    <n v="11784"/>
    <n v="1.63"/>
    <n v="21379"/>
    <n v="13132"/>
    <n v="1.87"/>
    <n v="30897"/>
    <n v="16507"/>
    <n v="2.15"/>
    <n v="69139"/>
    <n v="32228"/>
  </r>
  <r>
    <x v="8"/>
    <n v="5"/>
    <n v="7381"/>
    <n v="31223"/>
    <n v="31223"/>
    <n v="31223"/>
    <n v="92266"/>
    <n v="0.33800000000000002"/>
    <n v="0.33800000000000002"/>
    <n v="0.33800000000000002"/>
    <m/>
    <n v="7.0000000000000007E-2"/>
    <n v="8.5000000000000006E-2"/>
    <n v="0.105"/>
    <n v="5.8000000000000003E-2"/>
    <n v="537090"/>
    <n v="2.0499999999999998"/>
    <n v="68339"/>
    <n v="33305"/>
    <n v="1.76"/>
    <n v="54056"/>
    <n v="30744"/>
    <n v="1.79"/>
    <n v="59642"/>
    <n v="33407"/>
    <n v="2.15"/>
    <n v="81413"/>
    <n v="37849"/>
    <n v="2.23"/>
    <n v="369170"/>
    <n v="165270"/>
  </r>
  <r>
    <x v="9"/>
    <n v="5"/>
    <n v="36521"/>
    <n v="125845"/>
    <n v="125845"/>
    <n v="125845"/>
    <n v="456516"/>
    <n v="0.27600000000000002"/>
    <n v="0.27600000000000002"/>
    <n v="0.27600000000000002"/>
    <m/>
    <n v="7.0000000000000007E-2"/>
    <n v="8.5000000000000006E-2"/>
    <n v="0.105"/>
    <n v="0.14099999999999999"/>
    <n v="893465"/>
    <n v="4.93"/>
    <n v="175790"/>
    <n v="35650"/>
    <n v="4.8099999999999996"/>
    <n v="178910"/>
    <n v="37182"/>
    <n v="4.75"/>
    <n v="184518"/>
    <n v="38886"/>
    <n v="5.26"/>
    <n v="175626"/>
    <n v="33398"/>
    <n v="2.06"/>
    <n v="730809"/>
    <n v="354066"/>
  </r>
  <r>
    <x v="10"/>
    <n v="3"/>
    <n v="674527"/>
    <n v="1575893"/>
    <n v="1283277"/>
    <n v="1333277"/>
    <n v="8431589"/>
    <n v="0.152"/>
    <n v="0.158"/>
    <n v="0.187"/>
    <m/>
    <n v="7.8E-2"/>
    <n v="9.6000000000000002E-2"/>
    <n v="0.12"/>
    <n v="7.1999999999999995E-2"/>
    <n v="18519640"/>
    <n v="1.86"/>
    <n v="3010362"/>
    <n v="1619240"/>
    <n v="1.79"/>
    <n v="3072724"/>
    <n v="1717974"/>
    <n v="1.95"/>
    <n v="3175043"/>
    <n v="1629585"/>
    <n v="1.84"/>
    <n v="3200753"/>
    <n v="1741448"/>
    <n v="1.43"/>
    <n v="14593453"/>
    <n v="10226675"/>
  </r>
  <r>
    <x v="11"/>
    <n v="4"/>
    <n v="190748"/>
    <n v="426034"/>
    <n v="426034"/>
    <n v="426034"/>
    <n v="2384356"/>
    <n v="0.17899999999999999"/>
    <n v="0.17899999999999999"/>
    <n v="0.17899999999999999"/>
    <m/>
    <n v="7.3999999999999996E-2"/>
    <n v="0.09"/>
    <n v="0.112"/>
    <n v="6.5000000000000002E-2"/>
    <n v="6515047"/>
    <n v="1.69"/>
    <n v="879377"/>
    <n v="519295"/>
    <n v="1.76"/>
    <n v="886173"/>
    <n v="502323"/>
    <n v="1.82"/>
    <n v="874197"/>
    <n v="479109"/>
    <n v="1.76"/>
    <n v="873232"/>
    <n v="496909"/>
    <n v="1.22"/>
    <n v="4369072"/>
    <n v="3581055"/>
  </r>
  <r>
    <x v="12"/>
    <n v="5"/>
    <n v="23073"/>
    <n v="68961"/>
    <n v="68961"/>
    <n v="68961"/>
    <n v="288417"/>
    <n v="0.23899999999999999"/>
    <n v="0.23899999999999999"/>
    <n v="0.23899999999999999"/>
    <m/>
    <n v="7.0000000000000007E-2"/>
    <n v="8.5000000000000006E-2"/>
    <n v="0.105"/>
    <n v="0.115"/>
    <n v="599914"/>
    <n v="1.48"/>
    <n v="68046"/>
    <n v="46110"/>
    <n v="1.39"/>
    <n v="67889"/>
    <n v="48876"/>
    <n v="1.44"/>
    <n v="74530"/>
    <n v="51823"/>
    <n v="1.38"/>
    <n v="69299"/>
    <n v="50106"/>
    <n v="1.9"/>
    <n v="372280"/>
    <n v="195505"/>
  </r>
  <r>
    <x v="13"/>
    <n v="5"/>
    <n v="37599"/>
    <n v="211478"/>
    <n v="211478"/>
    <n v="211478"/>
    <n v="469993"/>
    <n v="0.45"/>
    <n v="0.45"/>
    <n v="0.45"/>
    <m/>
    <n v="7.0000000000000007E-2"/>
    <n v="8.5000000000000006E-2"/>
    <n v="0.105"/>
    <n v="0.17299999999999999"/>
    <n v="1223510"/>
    <n v="3.93"/>
    <n v="190646"/>
    <n v="48476"/>
    <n v="3.23"/>
    <n v="193157"/>
    <n v="59870"/>
    <n v="2.78"/>
    <n v="284005"/>
    <n v="102191"/>
    <n v="2.2599999999999998"/>
    <n v="309700"/>
    <n v="137167"/>
    <n v="1.88"/>
    <n v="699622"/>
    <n v="372761"/>
  </r>
  <r>
    <x v="14"/>
    <n v="4"/>
    <n v="112911"/>
    <n v="1126776"/>
    <n v="1126006"/>
    <n v="1126006"/>
    <n v="1411387"/>
    <n v="0.79800000000000004"/>
    <n v="0.79800000000000004"/>
    <n v="0.79800000000000004"/>
    <m/>
    <n v="7.3999999999999996E-2"/>
    <n v="0.09"/>
    <n v="0.112"/>
    <n v="0.309"/>
    <n v="3646936"/>
    <n v="2.11"/>
    <n v="1146095"/>
    <n v="542752"/>
    <n v="1.41"/>
    <n v="1034993"/>
    <n v="733803"/>
    <n v="1.38"/>
    <n v="1017866"/>
    <n v="737149"/>
    <n v="1.63"/>
    <n v="1075089"/>
    <n v="660501"/>
    <n v="1.94"/>
    <n v="2558879"/>
    <n v="1316526"/>
  </r>
  <r>
    <x v="15"/>
    <n v="4"/>
    <n v="152000"/>
    <n v="318411"/>
    <n v="216582"/>
    <n v="216582"/>
    <n v="1900003"/>
    <n v="0.114"/>
    <n v="0.114"/>
    <n v="0.16800000000000001"/>
    <m/>
    <n v="7.3999999999999996E-2"/>
    <n v="0.09"/>
    <n v="0.112"/>
    <n v="4.5999999999999999E-2"/>
    <n v="4747003"/>
    <n v="1.67"/>
    <n v="477949"/>
    <n v="286601"/>
    <n v="1.77"/>
    <n v="509382"/>
    <n v="287181"/>
    <n v="1.63"/>
    <n v="523579"/>
    <n v="321712"/>
    <n v="1.8"/>
    <n v="557799"/>
    <n v="310231"/>
    <n v="1.25"/>
    <n v="4158952"/>
    <n v="3332156"/>
  </r>
  <r>
    <x v="16"/>
    <n v="5"/>
    <n v="39684"/>
    <n v="86582"/>
    <n v="86575"/>
    <n v="86575"/>
    <n v="496056"/>
    <n v="0.17499999999999999"/>
    <n v="0.17499999999999999"/>
    <n v="0.17499999999999999"/>
    <m/>
    <n v="7.0000000000000007E-2"/>
    <n v="8.5000000000000006E-2"/>
    <n v="0.105"/>
    <n v="7.3999999999999996E-2"/>
    <n v="1166039"/>
    <n v="2.3199999999999998"/>
    <n v="119309"/>
    <n v="51503"/>
    <n v="2.63"/>
    <n v="129645"/>
    <n v="49379"/>
    <n v="2.25"/>
    <n v="127271"/>
    <n v="56521"/>
    <n v="2.0099999999999998"/>
    <n v="109462"/>
    <n v="54351"/>
    <n v="1.37"/>
    <n v="1060913"/>
    <n v="776859"/>
  </r>
  <r>
    <x v="17"/>
    <n v="4"/>
    <n v="436354"/>
    <n v="782905"/>
    <n v="538238"/>
    <n v="628238"/>
    <n v="5454421"/>
    <n v="9.9000000000000005E-2"/>
    <n v="0.115"/>
    <n v="0.14399999999999999"/>
    <m/>
    <n v="7.3999999999999996E-2"/>
    <n v="0.09"/>
    <n v="0.112"/>
    <n v="4.5999999999999999E-2"/>
    <n v="13603695"/>
    <n v="2.16"/>
    <n v="2067468"/>
    <n v="958649"/>
    <n v="2.31"/>
    <n v="1889332"/>
    <n v="817901"/>
    <n v="2.41"/>
    <n v="2230664"/>
    <n v="925767"/>
    <n v="2.44"/>
    <n v="2162470"/>
    <n v="886225"/>
    <n v="1.23"/>
    <n v="8051721"/>
    <n v="6525168"/>
  </r>
  <r>
    <x v="18"/>
    <n v="3"/>
    <n v="600306"/>
    <n v="1370716"/>
    <n v="1260882"/>
    <n v="1350882"/>
    <n v="7503822"/>
    <n v="0.16800000000000001"/>
    <n v="0.18"/>
    <n v="0.183"/>
    <m/>
    <n v="7.8E-2"/>
    <n v="9.6000000000000002E-2"/>
    <n v="0.12"/>
    <n v="6.5000000000000002E-2"/>
    <n v="20931722"/>
    <n v="2.04"/>
    <n v="3301293"/>
    <n v="1617394"/>
    <n v="1.86"/>
    <n v="3481802"/>
    <n v="1875399"/>
    <n v="1.73"/>
    <n v="3641878"/>
    <n v="2105342"/>
    <n v="1.59"/>
    <n v="3878068"/>
    <n v="2440369"/>
    <n v="1.39"/>
    <n v="16714538"/>
    <n v="11982724"/>
  </r>
  <r>
    <x v="19"/>
    <n v="4"/>
    <n v="51515"/>
    <n v="119222"/>
    <n v="110068"/>
    <n v="110068"/>
    <n v="643943"/>
    <n v="0.17100000000000001"/>
    <n v="0.17100000000000001"/>
    <n v="0.185"/>
    <m/>
    <n v="7.3999999999999996E-2"/>
    <n v="0.09"/>
    <n v="0.112"/>
    <n v="7.0000000000000007E-2"/>
    <n v="1564980"/>
    <n v="2.56"/>
    <n v="270576"/>
    <n v="105700"/>
    <n v="2.68"/>
    <n v="289213"/>
    <n v="107864"/>
    <n v="2.75"/>
    <n v="325723"/>
    <n v="118418"/>
    <n v="2.85"/>
    <n v="327300"/>
    <n v="114690"/>
    <n v="1.36"/>
    <n v="1259446"/>
    <n v="927615"/>
  </r>
  <r>
    <x v="20"/>
    <n v="3"/>
    <n v="851436"/>
    <n v="3128521"/>
    <n v="3052919"/>
    <n v="3052919"/>
    <n v="10642951"/>
    <n v="0.28699999999999998"/>
    <n v="0.28699999999999998"/>
    <n v="0.29399999999999998"/>
    <m/>
    <n v="7.8E-2"/>
    <n v="9.6000000000000002E-2"/>
    <n v="0.12"/>
    <n v="8.5999999999999993E-2"/>
    <n v="35589730"/>
    <n v="1.41"/>
    <n v="8135956"/>
    <n v="5766393"/>
    <n v="1.49"/>
    <n v="9563906"/>
    <n v="6409644"/>
    <n v="1.58"/>
    <n v="9834439"/>
    <n v="6233266"/>
    <n v="1.54"/>
    <n v="9994665"/>
    <n v="6498074"/>
    <n v="1.22"/>
    <n v="16556434"/>
    <n v="13547409"/>
  </r>
  <r>
    <x v="21"/>
    <n v="3"/>
    <n v="1505482"/>
    <n v="4278718"/>
    <n v="3687168"/>
    <n v="4167168"/>
    <n v="18818524"/>
    <n v="0.19600000000000001"/>
    <n v="0.221"/>
    <n v="0.22700000000000001"/>
    <m/>
    <n v="7.8E-2"/>
    <n v="9.6000000000000002E-2"/>
    <n v="0.12"/>
    <n v="3.6999999999999998E-2"/>
    <n v="112133779"/>
    <n v="1.41"/>
    <n v="20076958"/>
    <n v="14269145"/>
    <n v="1.6"/>
    <n v="21119595"/>
    <n v="13227543"/>
    <n v="1.51"/>
    <n v="21748593"/>
    <n v="14436091"/>
    <n v="1.58"/>
    <n v="23443993"/>
    <n v="14880475"/>
    <n v="1.3"/>
    <n v="62245817"/>
    <n v="47926753"/>
  </r>
  <r>
    <x v="22"/>
    <n v="4"/>
    <n v="288481"/>
    <n v="558652"/>
    <n v="558652"/>
    <n v="558652"/>
    <n v="3606019"/>
    <n v="0.155"/>
    <n v="0.155"/>
    <n v="0.155"/>
    <m/>
    <n v="7.3999999999999996E-2"/>
    <n v="0.09"/>
    <n v="0.112"/>
    <n v="6.4000000000000001E-2"/>
    <n v="8779116"/>
    <n v="1.32"/>
    <n v="1612961"/>
    <n v="1221070"/>
    <n v="1.32"/>
    <n v="1620001"/>
    <n v="1224790"/>
    <n v="1.36"/>
    <n v="1631550"/>
    <n v="1201691"/>
    <n v="1.3"/>
    <n v="1662083"/>
    <n v="1280366"/>
    <n v="1.19"/>
    <n v="5846182"/>
    <n v="4930752"/>
  </r>
  <r>
    <x v="23"/>
    <n v="5"/>
    <n v="23149"/>
    <n v="50889"/>
    <n v="45466"/>
    <n v="45466"/>
    <n v="289365"/>
    <n v="0.157"/>
    <n v="0.157"/>
    <n v="0.17599999999999999"/>
    <m/>
    <n v="7.0000000000000007E-2"/>
    <n v="8.5000000000000006E-2"/>
    <n v="0.105"/>
    <n v="6.5000000000000002E-2"/>
    <n v="702677"/>
    <n v="1.6"/>
    <n v="72183"/>
    <n v="45165"/>
    <n v="1.41"/>
    <n v="69655"/>
    <n v="49519"/>
    <n v="1.56"/>
    <n v="82456"/>
    <n v="52869"/>
    <n v="1.46"/>
    <n v="91890"/>
    <n v="63082"/>
    <n v="1.37"/>
    <n v="598629"/>
    <n v="437736"/>
  </r>
  <r>
    <x v="24"/>
    <n v="5"/>
    <n v="5426"/>
    <n v="24867"/>
    <n v="24867"/>
    <n v="24867"/>
    <n v="67825"/>
    <n v="0.36699999999999999"/>
    <n v="0.36699999999999999"/>
    <n v="0.36699999999999999"/>
    <m/>
    <n v="7.0000000000000007E-2"/>
    <n v="8.5000000000000006E-2"/>
    <n v="0.105"/>
    <n v="7.9000000000000001E-2"/>
    <n v="315121"/>
    <n v="2.36"/>
    <n v="67289"/>
    <n v="28515"/>
    <n v="2.39"/>
    <n v="68201"/>
    <n v="28558"/>
    <n v="2.0099999999999998"/>
    <n v="65400"/>
    <n v="32503"/>
    <n v="2.83"/>
    <n v="63453"/>
    <n v="22415"/>
    <n v="1.68"/>
    <n v="207981"/>
    <n v="123846"/>
  </r>
  <r>
    <x v="25"/>
    <n v="3"/>
    <n v="403600"/>
    <n v="1267288"/>
    <n v="1165923"/>
    <n v="1165923"/>
    <n v="5044800"/>
    <n v="0.23100000000000001"/>
    <n v="0.23100000000000001"/>
    <n v="0.251"/>
    <m/>
    <n v="7.8E-2"/>
    <n v="9.6000000000000002E-2"/>
    <n v="0.12"/>
    <n v="5.0999999999999997E-2"/>
    <n v="22781000"/>
    <n v="1.18"/>
    <n v="5130767"/>
    <n v="4362357"/>
    <n v="1.1200000000000001"/>
    <n v="5405476"/>
    <n v="4807872"/>
    <n v="1.1299999999999999"/>
    <n v="5403000"/>
    <n v="4787300"/>
    <n v="1.22"/>
    <n v="5943400"/>
    <n v="4853000"/>
    <n v="1.25"/>
    <n v="11312094"/>
    <n v="9055013"/>
  </r>
  <r>
    <x v="26"/>
    <n v="5"/>
    <n v="42594"/>
    <n v="89223"/>
    <n v="64905"/>
    <n v="64905"/>
    <n v="532428"/>
    <n v="0.122"/>
    <n v="0.122"/>
    <n v="0.16800000000000001"/>
    <m/>
    <n v="7.0000000000000007E-2"/>
    <n v="8.5000000000000006E-2"/>
    <n v="0.105"/>
    <n v="4.3999999999999997E-2"/>
    <n v="1479090"/>
    <n v="1.8"/>
    <n v="182991"/>
    <n v="101824"/>
    <n v="1.9"/>
    <n v="207353"/>
    <n v="109331"/>
    <n v="2.0099999999999998"/>
    <n v="260878"/>
    <n v="129616"/>
    <n v="1.97"/>
    <n v="250404"/>
    <n v="126968"/>
    <n v="1.35"/>
    <n v="1190985"/>
    <n v="883815"/>
  </r>
  <r>
    <x v="27"/>
    <n v="5"/>
    <n v="9277"/>
    <n v="58062"/>
    <n v="57933"/>
    <n v="57933"/>
    <n v="115963"/>
    <n v="0.5"/>
    <n v="0.5"/>
    <n v="0.501"/>
    <m/>
    <n v="7.0000000000000007E-2"/>
    <n v="8.5000000000000006E-2"/>
    <n v="0.105"/>
    <n v="0.109"/>
    <n v="529467"/>
    <n v="11.86"/>
    <n v="339019"/>
    <n v="28587"/>
    <n v="11.62"/>
    <n v="337635"/>
    <n v="29067"/>
    <n v="10.74"/>
    <n v="355718"/>
    <n v="33124"/>
    <n v="10.25"/>
    <n v="341502"/>
    <n v="33317"/>
    <n v="11.13"/>
    <n v="464414"/>
    <n v="41736"/>
  </r>
  <r>
    <x v="28"/>
    <n v="5"/>
    <n v="231362"/>
    <n v="373282"/>
    <n v="283282"/>
    <n v="323282"/>
    <n v="2892023"/>
    <n v="9.8000000000000004E-2"/>
    <n v="0.112"/>
    <n v="0.129"/>
    <m/>
    <n v="7.0000000000000007E-2"/>
    <n v="8.5000000000000006E-2"/>
    <n v="0.105"/>
    <n v="7.4999999999999997E-2"/>
    <n v="4306013"/>
    <s v="3)"/>
    <s v="3)"/>
    <s v="3)"/>
    <s v="3)"/>
    <s v="3)"/>
    <s v="3)"/>
    <s v="3)"/>
    <s v="3)"/>
    <s v="3)"/>
    <s v="3)"/>
    <s v="3)"/>
    <s v="3)"/>
    <s v="3)"/>
    <s v="3)"/>
    <s v="3)"/>
  </r>
  <r>
    <x v="29"/>
    <n v="4"/>
    <n v="29051"/>
    <n v="185468"/>
    <n v="179796"/>
    <n v="179796"/>
    <n v="363135"/>
    <n v="0.495"/>
    <n v="0.495"/>
    <n v="0.51100000000000001"/>
    <m/>
    <n v="7.3999999999999996E-2"/>
    <n v="0.09"/>
    <n v="0.112"/>
    <n v="9.7000000000000003E-2"/>
    <n v="1857276"/>
    <n v="5.07"/>
    <n v="847515"/>
    <n v="167119"/>
    <n v="6.66"/>
    <n v="896280"/>
    <n v="134628"/>
    <n v="5.1100000000000003"/>
    <n v="933445"/>
    <n v="182727"/>
    <n v="4.04"/>
    <n v="947820"/>
    <n v="234667"/>
    <n v="3.12"/>
    <n v="1482145"/>
    <n v="474571"/>
  </r>
  <r>
    <x v="30"/>
    <n v="3"/>
    <n v="978032"/>
    <n v="2254272"/>
    <n v="2251504"/>
    <n v="2251504"/>
    <n v="12225400"/>
    <n v="0.184"/>
    <n v="0.184"/>
    <n v="0.184"/>
    <m/>
    <n v="7.8E-2"/>
    <n v="9.6000000000000002E-2"/>
    <n v="0.12"/>
    <n v="7.9000000000000001E-2"/>
    <n v="28434741"/>
    <n v="1.86"/>
    <n v="4906073"/>
    <n v="2643870"/>
    <n v="2.08"/>
    <n v="5320595"/>
    <n v="2554968"/>
    <n v="2.15"/>
    <n v="5964339"/>
    <n v="2769471"/>
    <n v="2.12"/>
    <n v="5780596"/>
    <n v="2730490"/>
    <n v="1.37"/>
    <n v="23887477"/>
    <n v="17423145"/>
  </r>
  <r>
    <x v="31"/>
    <n v="3"/>
    <n v="1064918"/>
    <n v="2194906"/>
    <n v="1787231"/>
    <n v="2011976"/>
    <n v="13311471"/>
    <n v="0.13400000000000001"/>
    <n v="0.151"/>
    <n v="0.16500000000000001"/>
    <m/>
    <n v="7.8E-2"/>
    <n v="9.6000000000000002E-2"/>
    <n v="0.12"/>
    <n v="6.7000000000000004E-2"/>
    <n v="29828305"/>
    <n v="1.65"/>
    <n v="6993806"/>
    <n v="4233673"/>
    <n v="1.72"/>
    <n v="7123232"/>
    <n v="4141127"/>
    <n v="1.88"/>
    <n v="7277993"/>
    <n v="3877835"/>
    <n v="2.0099999999999998"/>
    <n v="7518806"/>
    <n v="3734458"/>
    <n v="1.37"/>
    <n v="20667551"/>
    <n v="15104719"/>
  </r>
  <r>
    <x v="32"/>
    <n v="4"/>
    <n v="125933"/>
    <n v="267055"/>
    <n v="267055"/>
    <n v="267055"/>
    <n v="1574163"/>
    <n v="0.17"/>
    <n v="0.17"/>
    <n v="0.17"/>
    <m/>
    <n v="7.3999999999999996E-2"/>
    <n v="0.09"/>
    <n v="0.112"/>
    <n v="6.3E-2"/>
    <n v="4210499"/>
    <n v="1.52"/>
    <n v="770440"/>
    <n v="505901"/>
    <n v="1.46"/>
    <n v="813612"/>
    <n v="558008"/>
    <n v="1.64"/>
    <n v="823279"/>
    <n v="501242"/>
    <n v="1.67"/>
    <n v="856312"/>
    <n v="512406"/>
    <n v="1.29"/>
    <n v="3146046"/>
    <n v="2447867"/>
  </r>
  <r>
    <x v="33"/>
    <n v="3"/>
    <n v="648805"/>
    <n v="1441669"/>
    <n v="1379380"/>
    <n v="1379380"/>
    <n v="8110061"/>
    <n v="0.17"/>
    <n v="0.17"/>
    <n v="0.17799999999999999"/>
    <m/>
    <n v="7.8E-2"/>
    <n v="9.6000000000000002E-2"/>
    <n v="0.12"/>
    <n v="7.2999999999999995E-2"/>
    <n v="18986942"/>
    <n v="1.51"/>
    <n v="3206346"/>
    <n v="2124418"/>
    <n v="1.58"/>
    <n v="3311777"/>
    <n v="2099928"/>
    <n v="1.52"/>
    <n v="3276410"/>
    <n v="2149029"/>
    <n v="1.57"/>
    <n v="3257243"/>
    <n v="2076417"/>
    <n v="1.28"/>
    <n v="14962051"/>
    <n v="11691708"/>
  </r>
  <r>
    <x v="34"/>
    <n v="4"/>
    <n v="379552"/>
    <n v="951145"/>
    <n v="931958"/>
    <n v="931958"/>
    <n v="4744398"/>
    <n v="0.19600000000000001"/>
    <n v="0.19600000000000001"/>
    <n v="0.2"/>
    <m/>
    <n v="7.3999999999999996E-2"/>
    <n v="0.09"/>
    <n v="0.112"/>
    <n v="7.9000000000000001E-2"/>
    <n v="11763028"/>
    <n v="1.56"/>
    <n v="1800019"/>
    <n v="1151857"/>
    <n v="1.81"/>
    <n v="1928955"/>
    <n v="1065019"/>
    <n v="1.72"/>
    <n v="1933265"/>
    <n v="1121077"/>
    <n v="1.81"/>
    <n v="1987187"/>
    <n v="1100862"/>
    <n v="1.28"/>
    <n v="9339855"/>
    <n v="7303392"/>
  </r>
  <r>
    <x v="35"/>
    <n v="3"/>
    <n v="1541204"/>
    <n v="3334378"/>
    <n v="3308221"/>
    <n v="3308221"/>
    <n v="19265053"/>
    <n v="0.17199999999999999"/>
    <n v="0.17199999999999999"/>
    <n v="0.17299999999999999"/>
    <m/>
    <n v="7.8E-2"/>
    <n v="9.6000000000000002E-2"/>
    <n v="0.12"/>
    <n v="5.6000000000000001E-2"/>
    <n v="58853428"/>
    <n v="1.4"/>
    <n v="11528000"/>
    <n v="8234947"/>
    <n v="1.5"/>
    <n v="12535319"/>
    <n v="8355431"/>
    <n v="1.55"/>
    <n v="13135899"/>
    <n v="8469402"/>
    <n v="1.58"/>
    <n v="13446069"/>
    <n v="8491154"/>
    <n v="1.25"/>
    <n v="37562574"/>
    <n v="29993069"/>
  </r>
  <r>
    <x v="36"/>
    <n v="5"/>
    <n v="27385"/>
    <n v="69940"/>
    <n v="64759"/>
    <n v="64759"/>
    <n v="342315"/>
    <n v="0.189"/>
    <n v="0.189"/>
    <n v="0.20399999999999999"/>
    <m/>
    <n v="7.0000000000000007E-2"/>
    <n v="8.5000000000000006E-2"/>
    <n v="0.105"/>
    <n v="7.5999999999999998E-2"/>
    <n v="851615"/>
    <n v="2.4900000000000002"/>
    <n v="152770"/>
    <n v="61245"/>
    <n v="2.4500000000000002"/>
    <n v="145713"/>
    <n v="59354"/>
    <n v="2.73"/>
    <n v="154970"/>
    <n v="56811"/>
    <n v="2.62"/>
    <n v="145863"/>
    <n v="55590"/>
    <n v="1.77"/>
    <n v="563103"/>
    <n v="318969"/>
  </r>
  <r>
    <x v="37"/>
    <n v="5"/>
    <n v="307753"/>
    <n v="511405"/>
    <n v="511405"/>
    <n v="511405"/>
    <n v="3846913"/>
    <n v="0.13300000000000001"/>
    <n v="0.13300000000000001"/>
    <n v="0.13300000000000001"/>
    <m/>
    <n v="7.0000000000000007E-2"/>
    <n v="8.5000000000000006E-2"/>
    <n v="0.105"/>
    <n v="9.8000000000000004E-2"/>
    <n v="5206442"/>
    <n v="1.72"/>
    <n v="606684"/>
    <n v="353007"/>
    <n v="2.39"/>
    <n v="744145"/>
    <n v="310992"/>
    <n v="2.98"/>
    <n v="772147"/>
    <n v="258704"/>
    <n v="2.61"/>
    <n v="698068"/>
    <n v="266956"/>
    <n v="1.06"/>
    <n v="1703881"/>
    <n v="1600022"/>
  </r>
  <r>
    <x v="38"/>
    <n v="5"/>
    <n v="3297"/>
    <n v="16091"/>
    <n v="16091"/>
    <n v="16091"/>
    <n v="41215"/>
    <n v="0.39"/>
    <n v="0.39"/>
    <n v="0.39"/>
    <m/>
    <n v="7.0000000000000007E-2"/>
    <n v="8.5000000000000006E-2"/>
    <n v="0.105"/>
    <n v="0.17299999999999999"/>
    <n v="92827"/>
    <n v="2.12"/>
    <n v="26336"/>
    <n v="12424"/>
    <n v="2.27"/>
    <n v="20773"/>
    <n v="9160"/>
    <n v="1.52"/>
    <n v="13133"/>
    <n v="8649"/>
    <n v="1.74"/>
    <n v="10445"/>
    <n v="6013"/>
    <n v="2.06"/>
    <n v="69282"/>
    <n v="33579"/>
  </r>
  <r>
    <x v="39"/>
    <n v="5"/>
    <n v="40713"/>
    <n v="79250"/>
    <n v="78697"/>
    <n v="78697"/>
    <n v="508908"/>
    <n v="0.155"/>
    <n v="0.155"/>
    <n v="0.156"/>
    <m/>
    <n v="7.0000000000000007E-2"/>
    <n v="8.5000000000000006E-2"/>
    <n v="0.105"/>
    <n v="6.2E-2"/>
    <n v="1275975"/>
    <n v="1.55"/>
    <n v="99178"/>
    <n v="64032"/>
    <n v="1.3"/>
    <n v="98479"/>
    <n v="75636"/>
    <n v="1.94"/>
    <n v="113773"/>
    <n v="58501"/>
    <n v="2.38"/>
    <n v="103910"/>
    <n v="43604"/>
    <n v="1.21"/>
    <n v="864370"/>
    <n v="715803"/>
  </r>
  <r>
    <x v="40"/>
    <n v="5"/>
    <n v="12203"/>
    <n v="29233"/>
    <n v="29233"/>
    <n v="29233"/>
    <n v="152544"/>
    <n v="0.192"/>
    <n v="0.192"/>
    <n v="0.192"/>
    <m/>
    <n v="7.0000000000000007E-2"/>
    <n v="8.5000000000000006E-2"/>
    <n v="0.105"/>
    <n v="0.09"/>
    <n v="326042"/>
    <n v="1.8"/>
    <n v="27670"/>
    <n v="15333"/>
    <n v="1.74"/>
    <n v="25189"/>
    <n v="14496"/>
    <n v="2.2799999999999998"/>
    <n v="30606"/>
    <n v="13452"/>
    <n v="2.1"/>
    <n v="28188"/>
    <n v="13448"/>
    <m/>
    <m/>
    <m/>
  </r>
  <r>
    <x v="41"/>
    <n v="4"/>
    <n v="36625"/>
    <n v="90774"/>
    <n v="83456"/>
    <n v="83456"/>
    <n v="457807"/>
    <n v="0.182"/>
    <n v="0.182"/>
    <n v="0.19800000000000001"/>
    <m/>
    <n v="7.3999999999999996E-2"/>
    <n v="0.09"/>
    <n v="0.112"/>
    <n v="7.3999999999999996E-2"/>
    <n v="1129073"/>
    <n v="1.96"/>
    <n v="141503"/>
    <n v="72350"/>
    <n v="2.0499999999999998"/>
    <n v="135081"/>
    <n v="65821"/>
    <n v="2.79"/>
    <n v="166038"/>
    <n v="59518"/>
    <n v="2.06"/>
    <n v="314401"/>
    <n v="152714"/>
    <n v="1.5"/>
    <n v="792497"/>
    <n v="526712"/>
  </r>
  <r>
    <x v="42"/>
    <n v="4"/>
    <n v="33128"/>
    <n v="124489"/>
    <n v="124489"/>
    <n v="124489"/>
    <n v="414100"/>
    <n v="0.30099999999999999"/>
    <n v="0.30099999999999999"/>
    <n v="0.30099999999999999"/>
    <m/>
    <n v="7.3999999999999996E-2"/>
    <n v="0.09"/>
    <n v="0.112"/>
    <n v="8.5000000000000006E-2"/>
    <n v="1470462"/>
    <n v="3.39"/>
    <n v="589624"/>
    <n v="173754"/>
    <n v="2.17"/>
    <n v="518572"/>
    <n v="239253"/>
    <n v="2.25"/>
    <n v="486091"/>
    <n v="216329"/>
    <n v="1.62"/>
    <n v="476365"/>
    <n v="294209"/>
    <n v="1.59"/>
    <n v="766601"/>
    <n v="482482"/>
  </r>
  <r>
    <x v="43"/>
    <n v="5"/>
    <n v="65005"/>
    <n v="116510"/>
    <n v="116510"/>
    <n v="116510"/>
    <n v="812563"/>
    <n v="0.14299999999999999"/>
    <n v="0.14299999999999999"/>
    <n v="0.14299999999999999"/>
    <m/>
    <n v="7.0000000000000007E-2"/>
    <n v="8.5000000000000006E-2"/>
    <n v="0.105"/>
    <n v="8.6999999999999994E-2"/>
    <n v="1333127"/>
    <n v="1.35"/>
    <n v="243041"/>
    <n v="179823"/>
    <n v="1.65"/>
    <n v="294324"/>
    <n v="178497"/>
    <n v="1.25"/>
    <n v="128999"/>
    <n v="103243"/>
    <n v="1.31"/>
    <n v="127913"/>
    <n v="97495"/>
    <n v="1.3"/>
    <n v="695005"/>
    <n v="533478"/>
  </r>
  <r>
    <x v="44"/>
    <n v="3"/>
    <n v="411621"/>
    <n v="1484680"/>
    <n v="1467612"/>
    <n v="1484680"/>
    <n v="5145264"/>
    <n v="0.28499999999999998"/>
    <n v="0.28899999999999998"/>
    <n v="0.28899999999999998"/>
    <m/>
    <n v="7.8E-2"/>
    <n v="9.6000000000000002E-2"/>
    <n v="0.12"/>
    <n v="6.4000000000000001E-2"/>
    <n v="23330227"/>
    <n v="2.2000000000000002"/>
    <n v="13037134"/>
    <n v="5936258"/>
    <n v="2.17"/>
    <n v="13013645"/>
    <n v="5987872"/>
    <n v="2.09"/>
    <n v="12968815"/>
    <n v="6213194"/>
    <n v="2.06"/>
    <n v="13179717"/>
    <n v="6410787"/>
    <n v="2.63"/>
    <n v="12194944"/>
    <n v="4638518"/>
  </r>
  <r>
    <x v="45"/>
    <n v="4"/>
    <n v="63942"/>
    <n v="177319"/>
    <n v="177319"/>
    <n v="177319"/>
    <n v="799277"/>
    <n v="0.222"/>
    <n v="0.222"/>
    <n v="0.222"/>
    <m/>
    <n v="7.3999999999999996E-2"/>
    <n v="0.09"/>
    <n v="0.112"/>
    <n v="8.1000000000000003E-2"/>
    <n v="2192735"/>
    <n v="2.0099999999999998"/>
    <n v="956327"/>
    <n v="474992"/>
    <n v="1.91"/>
    <n v="866972"/>
    <n v="453214"/>
    <n v="1.78"/>
    <n v="763269"/>
    <n v="429690"/>
    <n v="1.67"/>
    <n v="722968"/>
    <n v="432916"/>
    <n v="1.95"/>
    <n v="1351316"/>
    <n v="691697"/>
  </r>
  <r>
    <x v="46"/>
    <n v="5"/>
    <n v="14438"/>
    <n v="54376"/>
    <n v="54376"/>
    <n v="54376"/>
    <n v="180478"/>
    <n v="0.30099999999999999"/>
    <n v="0.30099999999999999"/>
    <n v="0.30099999999999999"/>
    <m/>
    <n v="7.0000000000000007E-2"/>
    <n v="8.5000000000000006E-2"/>
    <n v="0.105"/>
    <n v="0.11"/>
    <n v="493850"/>
    <n v="1.87"/>
    <n v="109128"/>
    <n v="58366"/>
    <n v="1.58"/>
    <n v="85115"/>
    <n v="53796"/>
    <n v="1.66"/>
    <n v="88296"/>
    <n v="53312"/>
    <n v="1.76"/>
    <n v="101883"/>
    <n v="57953"/>
    <n v="1.92"/>
    <n v="237477"/>
    <n v="123911"/>
  </r>
  <r>
    <x v="47"/>
    <n v="4"/>
    <n v="76756"/>
    <n v="168982"/>
    <n v="118982"/>
    <n v="168982"/>
    <n v="959444"/>
    <n v="0.124"/>
    <n v="0.17599999999999999"/>
    <n v="0.17599999999999999"/>
    <m/>
    <n v="7.3999999999999996E-2"/>
    <n v="0.09"/>
    <n v="0.112"/>
    <n v="3.7999999999999999E-2"/>
    <n v="4428492"/>
    <n v="2.76"/>
    <n v="1202604"/>
    <n v="435148"/>
    <n v="3.04"/>
    <n v="1153757"/>
    <n v="379338"/>
    <n v="2.37"/>
    <n v="929181"/>
    <n v="392012"/>
    <n v="1.9"/>
    <n v="714639"/>
    <n v="377096"/>
    <n v="1.47"/>
    <n v="2784418"/>
    <n v="1889375"/>
  </r>
  <r>
    <x v="48"/>
    <n v="3"/>
    <n v="1101665"/>
    <n v="2609329"/>
    <n v="2575943"/>
    <n v="2575943"/>
    <n v="13770816"/>
    <n v="0.187"/>
    <n v="0.187"/>
    <n v="0.189"/>
    <m/>
    <n v="7.8E-2"/>
    <n v="9.6000000000000002E-2"/>
    <n v="0.12"/>
    <n v="7.6999999999999999E-2"/>
    <n v="33460774"/>
    <n v="1.22"/>
    <n v="4556369"/>
    <n v="3737356"/>
    <n v="1.28"/>
    <n v="5210084"/>
    <n v="4067171"/>
    <n v="1.33"/>
    <n v="5276738"/>
    <n v="3980114"/>
    <n v="1.19"/>
    <n v="5650764"/>
    <n v="4753099"/>
    <n v="1.46"/>
    <n v="25534032"/>
    <n v="17533296"/>
  </r>
  <r>
    <x v="49"/>
    <n v="3"/>
    <n v="1829566"/>
    <n v="4231493"/>
    <n v="4023088"/>
    <n v="4151737"/>
    <n v="22869581"/>
    <n v="0.17599999999999999"/>
    <n v="0.182"/>
    <n v="0.185"/>
    <m/>
    <n v="7.8E-2"/>
    <n v="9.6000000000000002E-2"/>
    <n v="0.12"/>
    <n v="6.9000000000000006E-2"/>
    <n v="59937772"/>
    <n v="1.73"/>
    <n v="9669055"/>
    <n v="5604037"/>
    <n v="1.75"/>
    <n v="9978697"/>
    <n v="5706906"/>
    <n v="2.79"/>
    <n v="10200927"/>
    <n v="3654884"/>
    <n v="2.34"/>
    <n v="10495513"/>
    <n v="4493534"/>
    <n v="1.26"/>
    <n v="36688416"/>
    <n v="29207512"/>
  </r>
  <r>
    <x v="50"/>
    <n v="4"/>
    <n v="22240"/>
    <n v="132937"/>
    <n v="132886"/>
    <n v="132886"/>
    <n v="278003"/>
    <n v="0.47799999999999998"/>
    <n v="0.47799999999999998"/>
    <n v="0.47799999999999998"/>
    <m/>
    <n v="7.3999999999999996E-2"/>
    <n v="0.09"/>
    <n v="0.112"/>
    <n v="0.112"/>
    <n v="1185328"/>
    <n v="2.77"/>
    <n v="464963"/>
    <n v="167578"/>
    <n v="3.06"/>
    <n v="453762"/>
    <n v="148336"/>
    <n v="3.44"/>
    <n v="564316"/>
    <n v="163904"/>
    <n v="2.8"/>
    <n v="489823"/>
    <n v="174934"/>
    <n v="2.17"/>
    <n v="879919"/>
    <n v="406253"/>
  </r>
  <r>
    <x v="51"/>
    <n v="5"/>
    <n v="15087"/>
    <n v="33919"/>
    <n v="33919"/>
    <n v="33919"/>
    <n v="188581"/>
    <n v="0.18"/>
    <n v="0.18"/>
    <n v="0.18"/>
    <m/>
    <n v="7.0000000000000007E-2"/>
    <n v="8.5000000000000006E-2"/>
    <n v="0.105"/>
    <n v="0.04"/>
    <n v="844842"/>
    <n v="1.93"/>
    <n v="152906"/>
    <n v="79149"/>
    <n v="2.0299999999999998"/>
    <n v="156691"/>
    <n v="77274"/>
    <n v="1.94"/>
    <n v="155365"/>
    <n v="80208"/>
    <n v="2.09"/>
    <n v="153336"/>
    <n v="73403"/>
    <n v="2.69"/>
    <n v="510370"/>
    <n v="189859"/>
  </r>
  <r>
    <x v="52"/>
    <n v="3"/>
    <n v="1153501"/>
    <n v="2735594"/>
    <n v="2592854"/>
    <n v="2592854"/>
    <n v="14418758"/>
    <n v="0.18"/>
    <n v="0.18"/>
    <n v="0.19"/>
    <m/>
    <n v="7.8E-2"/>
    <n v="9.6000000000000002E-2"/>
    <n v="0.12"/>
    <n v="6.5000000000000002E-2"/>
    <n v="40102019"/>
    <n v="1.92"/>
    <n v="7865191"/>
    <n v="4103239"/>
    <n v="2.2200000000000002"/>
    <n v="8322836"/>
    <n v="3743484"/>
    <n v="2.2200000000000002"/>
    <n v="8582981"/>
    <n v="3861716"/>
    <n v="1.98"/>
    <n v="8526864"/>
    <n v="4311696"/>
    <n v="1.56"/>
    <n v="32105852"/>
    <n v="20620433"/>
  </r>
  <r>
    <x v="53"/>
    <n v="4"/>
    <n v="57749"/>
    <n v="129056"/>
    <n v="95826"/>
    <n v="95826"/>
    <n v="721858"/>
    <n v="0.13300000000000001"/>
    <n v="0.13300000000000001"/>
    <n v="0.17899999999999999"/>
    <m/>
    <n v="7.3999999999999996E-2"/>
    <n v="0.09"/>
    <n v="0.112"/>
    <n v="5.7000000000000002E-2"/>
    <n v="1680699"/>
    <n v="3.17"/>
    <n v="188647"/>
    <n v="59519"/>
    <n v="3.28"/>
    <n v="191830"/>
    <n v="58448"/>
    <n v="3.17"/>
    <n v="207167"/>
    <n v="65396"/>
    <n v="3.36"/>
    <n v="195865"/>
    <n v="58352"/>
    <n v="1.33"/>
    <n v="1362040"/>
    <n v="1023738"/>
  </r>
  <r>
    <x v="54"/>
    <n v="5"/>
    <n v="15172"/>
    <n v="108461"/>
    <n v="108199"/>
    <n v="108199"/>
    <n v="189644"/>
    <n v="0.57099999999999995"/>
    <n v="0.57099999999999995"/>
    <n v="0.57199999999999995"/>
    <m/>
    <n v="7.0000000000000007E-2"/>
    <n v="8.5000000000000006E-2"/>
    <n v="0.105"/>
    <n v="0.158"/>
    <n v="686819"/>
    <n v="5.88"/>
    <n v="496788"/>
    <n v="84470"/>
    <n v="6.11"/>
    <n v="475436"/>
    <n v="77785"/>
    <n v="6.26"/>
    <n v="443272"/>
    <n v="70862"/>
    <n v="5.31"/>
    <n v="396040"/>
    <n v="74521"/>
    <n v="3.04"/>
    <n v="599974"/>
    <n v="197374"/>
  </r>
  <r>
    <x v="55"/>
    <n v="3"/>
    <n v="438467"/>
    <n v="1173600"/>
    <n v="1173600"/>
    <n v="1173600"/>
    <n v="5480834"/>
    <n v="0.214"/>
    <n v="0.214"/>
    <n v="0.214"/>
    <m/>
    <n v="7.8E-2"/>
    <n v="9.6000000000000002E-2"/>
    <n v="0.12"/>
    <n v="6.8000000000000005E-2"/>
    <n v="17275166"/>
    <n v="1.35"/>
    <n v="8505071"/>
    <n v="6288136"/>
    <n v="1.34"/>
    <n v="8864481"/>
    <n v="6620539"/>
    <n v="1.43"/>
    <n v="8280361"/>
    <n v="5787887"/>
    <n v="1.75"/>
    <n v="5265698"/>
    <n v="3006291"/>
    <n v="1.2"/>
    <n v="7427167"/>
    <n v="6207717"/>
  </r>
  <r>
    <x v="56"/>
    <n v="5"/>
    <n v="31716"/>
    <n v="70926"/>
    <n v="70926"/>
    <n v="70926"/>
    <n v="396449"/>
    <n v="0.17899999999999999"/>
    <n v="0.17899999999999999"/>
    <n v="0.17899999999999999"/>
    <m/>
    <n v="7.0000000000000007E-2"/>
    <n v="8.5000000000000006E-2"/>
    <n v="0.105"/>
    <n v="8.7999999999999995E-2"/>
    <n v="801684"/>
    <s v="3)"/>
    <s v="3)"/>
    <s v="3)"/>
    <s v="3)"/>
    <s v="3)"/>
    <s v="3)"/>
    <s v="3)"/>
    <s v="3)"/>
    <s v="3)"/>
    <s v="3)"/>
    <s v="3)"/>
    <s v="3)"/>
    <s v="3)"/>
    <s v="3)"/>
    <s v="3)"/>
  </r>
  <r>
    <x v="57"/>
    <n v="3"/>
    <n v="796339"/>
    <n v="1855929"/>
    <n v="1524979"/>
    <n v="1524979"/>
    <n v="9954240"/>
    <n v="0.153"/>
    <n v="0.153"/>
    <n v="0.186"/>
    <m/>
    <n v="7.8E-2"/>
    <n v="9.6000000000000002E-2"/>
    <n v="0.12"/>
    <n v="7.0999999999999994E-2"/>
    <n v="21499038"/>
    <n v="2.04"/>
    <n v="2943179"/>
    <n v="1441262"/>
    <n v="1.85"/>
    <n v="2618170"/>
    <n v="1412961"/>
    <n v="1.72"/>
    <n v="2667372"/>
    <n v="1551479"/>
    <n v="1.97"/>
    <n v="2900505"/>
    <n v="1469370"/>
    <n v="1.3"/>
    <n v="10299994"/>
    <n v="7931529"/>
  </r>
  <r>
    <x v="58"/>
    <n v="5"/>
    <n v="3413"/>
    <n v="9146"/>
    <n v="7777"/>
    <n v="7777"/>
    <n v="42669"/>
    <n v="0.182"/>
    <n v="0.182"/>
    <n v="0.214"/>
    <m/>
    <n v="7.0000000000000007E-2"/>
    <n v="8.5000000000000006E-2"/>
    <n v="0.105"/>
    <n v="7.0999999999999994E-2"/>
    <n v="110041"/>
    <n v="2.29"/>
    <n v="18447"/>
    <n v="8059"/>
    <n v="2.38"/>
    <n v="19883"/>
    <n v="8352"/>
    <n v="2.2000000000000002"/>
    <n v="19601"/>
    <n v="8916"/>
    <n v="2.12"/>
    <n v="18900"/>
    <n v="8925"/>
    <n v="1.87"/>
    <n v="102100"/>
    <n v="54599"/>
  </r>
  <r>
    <x v="59"/>
    <n v="5"/>
    <n v="22423"/>
    <n v="51248"/>
    <n v="45748"/>
    <n v="45748"/>
    <n v="280290"/>
    <n v="0.16300000000000001"/>
    <n v="0.16300000000000001"/>
    <n v="0.183"/>
    <m/>
    <n v="7.0000000000000007E-2"/>
    <n v="8.5000000000000006E-2"/>
    <n v="0.105"/>
    <n v="7.0000000000000007E-2"/>
    <n v="650633"/>
    <n v="8.3699999999999992"/>
    <n v="86921"/>
    <n v="10380"/>
    <n v="9.73"/>
    <n v="99596"/>
    <n v="10238"/>
    <n v="12.32"/>
    <n v="106048"/>
    <n v="8610"/>
    <n v="11.22"/>
    <n v="96347"/>
    <n v="8584"/>
    <n v="1.63"/>
    <n v="588352"/>
    <n v="361105"/>
  </r>
  <r>
    <x v="60"/>
    <n v="4"/>
    <n v="69700"/>
    <n v="236473"/>
    <n v="223824"/>
    <n v="236473"/>
    <n v="871252"/>
    <n v="0.25700000000000001"/>
    <n v="0.27100000000000002"/>
    <n v="0.27100000000000002"/>
    <m/>
    <n v="7.3999999999999996E-2"/>
    <n v="0.09"/>
    <n v="0.112"/>
    <n v="6.8000000000000005E-2"/>
    <n v="3480490"/>
    <n v="4.2300000000000004"/>
    <n v="1009432"/>
    <n v="238369"/>
    <n v="3.5"/>
    <n v="999288"/>
    <n v="285700"/>
    <n v="3.61"/>
    <n v="1224681"/>
    <n v="339383"/>
    <n v="3.11"/>
    <n v="1260327"/>
    <n v="405397"/>
    <n v="2.94"/>
    <n v="2573078"/>
    <n v="874686"/>
  </r>
  <r>
    <x v="61"/>
    <n v="4"/>
    <n v="448005"/>
    <n v="1056594"/>
    <n v="906594"/>
    <n v="1056594"/>
    <n v="5600068"/>
    <n v="0.16200000000000001"/>
    <n v="0.189"/>
    <n v="0.189"/>
    <m/>
    <n v="7.3999999999999996E-2"/>
    <n v="0.09"/>
    <n v="0.112"/>
    <n v="0.14399999999999999"/>
    <n v="7325062"/>
    <n v="10.18"/>
    <n v="499580"/>
    <n v="49073"/>
    <n v="9.3000000000000007"/>
    <n v="534786"/>
    <n v="57535"/>
    <n v="4.82"/>
    <n v="487084"/>
    <n v="101146"/>
    <n v="10.3"/>
    <n v="468793"/>
    <n v="45515"/>
    <n v="1.1599999999999999"/>
    <n v="5731175"/>
    <n v="4919781"/>
  </r>
  <r>
    <x v="62"/>
    <n v="5"/>
    <n v="38083"/>
    <n v="85208"/>
    <n v="85208"/>
    <n v="85208"/>
    <n v="476036"/>
    <n v="0.17899999999999999"/>
    <n v="0.17899999999999999"/>
    <n v="0.17899999999999999"/>
    <m/>
    <n v="7.0000000000000007E-2"/>
    <n v="8.5000000000000006E-2"/>
    <n v="0.105"/>
    <n v="0.05"/>
    <n v="1704754"/>
    <n v="4.3600000000000003"/>
    <n v="785128"/>
    <n v="179976"/>
    <n v="5.57"/>
    <n v="763408"/>
    <n v="136953"/>
    <n v="5.23"/>
    <n v="801433"/>
    <n v="153136"/>
    <n v="5.38"/>
    <n v="875967"/>
    <n v="162945"/>
    <n v="2.82"/>
    <n v="1104649"/>
    <n v="392379"/>
  </r>
  <r>
    <x v="63"/>
    <n v="5"/>
    <n v="7455"/>
    <n v="17559"/>
    <n v="17559"/>
    <n v="17559"/>
    <n v="93190"/>
    <n v="0.188"/>
    <n v="0.188"/>
    <n v="0.188"/>
    <m/>
    <n v="7.0000000000000007E-2"/>
    <n v="8.5000000000000006E-2"/>
    <n v="0.105"/>
    <n v="4.1000000000000002E-2"/>
    <n v="423562"/>
    <n v="3.35"/>
    <n v="202118"/>
    <n v="60342"/>
    <n v="3.26"/>
    <n v="167914"/>
    <n v="51452"/>
    <n v="2.5"/>
    <n v="261231"/>
    <n v="104334"/>
    <n v="3.04"/>
    <n v="239846"/>
    <n v="78893"/>
    <n v="3.64"/>
    <n v="199574"/>
    <n v="54888"/>
  </r>
  <r>
    <x v="64"/>
    <n v="4"/>
    <n v="468609"/>
    <n v="1201767"/>
    <n v="1185507"/>
    <n v="1185507"/>
    <n v="5857612"/>
    <n v="0.20200000000000001"/>
    <n v="0.20200000000000001"/>
    <n v="0.20499999999999999"/>
    <m/>
    <n v="7.3999999999999996E-2"/>
    <n v="0.09"/>
    <n v="0.112"/>
    <n v="8.2000000000000003E-2"/>
    <n v="14453180"/>
    <n v="2"/>
    <n v="2927420"/>
    <n v="1466947"/>
    <n v="2.2200000000000002"/>
    <n v="3043620"/>
    <n v="1370642"/>
    <n v="2.35"/>
    <n v="3158034"/>
    <n v="1342009"/>
    <n v="2.15"/>
    <n v="2999861"/>
    <n v="1393107"/>
    <n v="1.34"/>
    <n v="11479088"/>
    <n v="8587855"/>
  </r>
  <r>
    <x v="65"/>
    <n v="4"/>
    <n v="401808"/>
    <n v="1006046"/>
    <n v="1006046"/>
    <n v="1006046"/>
    <n v="5022605"/>
    <n v="0.2"/>
    <n v="0.2"/>
    <n v="0.2"/>
    <m/>
    <n v="7.3999999999999996E-2"/>
    <n v="0.09"/>
    <n v="0.112"/>
    <n v="9.9000000000000005E-2"/>
    <n v="10198087"/>
    <n v="1.87"/>
    <n v="2262540"/>
    <n v="1207337"/>
    <n v="1.78"/>
    <n v="2426899"/>
    <n v="1366316"/>
    <n v="1.77"/>
    <n v="2478659"/>
    <n v="1398357"/>
    <n v="1.71"/>
    <n v="2304877"/>
    <n v="1345385"/>
    <n v="1.73"/>
    <n v="5499878"/>
    <n v="3176629"/>
  </r>
  <r>
    <x v="66"/>
    <n v="4"/>
    <n v="184837"/>
    <n v="427484"/>
    <n v="406280"/>
    <n v="406280"/>
    <n v="2310466"/>
    <n v="0.17599999999999999"/>
    <n v="0.17599999999999999"/>
    <n v="0.185"/>
    <m/>
    <n v="7.3999999999999996E-2"/>
    <n v="0.09"/>
    <n v="0.112"/>
    <n v="6.7000000000000004E-2"/>
    <n v="6068320"/>
    <n v="2.83"/>
    <n v="483360"/>
    <n v="170650"/>
    <n v="2.75"/>
    <n v="599335"/>
    <n v="217593"/>
    <n v="2.46"/>
    <n v="607174"/>
    <n v="246693"/>
    <n v="2.61"/>
    <n v="659504"/>
    <n v="252774"/>
    <n v="1.2"/>
    <n v="4891431"/>
    <n v="4075820"/>
  </r>
  <r>
    <x v="67"/>
    <n v="5"/>
    <n v="36901"/>
    <n v="120626"/>
    <n v="120626"/>
    <n v="120626"/>
    <n v="461267"/>
    <n v="0.26200000000000001"/>
    <n v="0.26200000000000001"/>
    <n v="0.26200000000000001"/>
    <m/>
    <n v="7.0000000000000007E-2"/>
    <n v="8.5000000000000006E-2"/>
    <n v="0.105"/>
    <n v="0.16900000000000001"/>
    <n v="714987"/>
    <n v="2.23"/>
    <n v="45120"/>
    <n v="20214"/>
    <n v="1.94"/>
    <n v="62688"/>
    <n v="32320"/>
    <n v="2.21"/>
    <n v="107961"/>
    <n v="48954"/>
    <n v="2.62"/>
    <n v="102725"/>
    <n v="39228"/>
    <n v="1.21"/>
    <n v="281221"/>
    <n v="232342"/>
  </r>
  <r>
    <x v="68"/>
    <n v="5"/>
    <n v="7469"/>
    <n v="22839"/>
    <n v="16439"/>
    <n v="16439"/>
    <n v="93368"/>
    <n v="0.17599999999999999"/>
    <n v="0.17599999999999999"/>
    <n v="0.245"/>
    <m/>
    <n v="7.0000000000000007E-2"/>
    <n v="8.5000000000000006E-2"/>
    <n v="0.105"/>
    <n v="0.56100000000000005"/>
    <n v="29301"/>
    <s v="n/a"/>
    <s v="n/a"/>
    <s v="n/a"/>
    <s v="n/a"/>
    <s v="n/a"/>
    <s v="n/a"/>
    <s v="n/a"/>
    <s v="n/a"/>
    <s v="n/a"/>
    <s v="n/a"/>
    <s v="n/a"/>
    <s v="n/a"/>
    <n v="1.68"/>
    <n v="24646"/>
    <n v="14698"/>
  </r>
  <r>
    <x v="69"/>
    <n v="5"/>
    <n v="7641"/>
    <n v="32228"/>
    <n v="32228"/>
    <n v="32228"/>
    <n v="95514"/>
    <n v="0.33700000000000002"/>
    <n v="0.33700000000000002"/>
    <n v="0.33700000000000002"/>
    <m/>
    <n v="7.0000000000000007E-2"/>
    <n v="8.5000000000000006E-2"/>
    <n v="0.105"/>
    <n v="0.66700000000000004"/>
    <n v="48297"/>
    <s v="3)"/>
    <s v="3)"/>
    <s v="3)"/>
    <s v="3)"/>
    <s v="3)"/>
    <s v="3)"/>
    <s v="3)"/>
    <s v="3)"/>
    <s v="3)"/>
    <s v="3)"/>
    <s v="3)"/>
    <s v="3)"/>
    <s v="3)"/>
    <s v="3)"/>
    <s v="3)"/>
  </r>
  <r>
    <x v="70"/>
    <n v="5"/>
    <n v="1181"/>
    <n v="6930"/>
    <n v="6930"/>
    <n v="6930"/>
    <n v="14764"/>
    <n v="0.46899999999999997"/>
    <n v="0.46899999999999997"/>
    <n v="0.46899999999999997"/>
    <m/>
    <n v="7.0000000000000007E-2"/>
    <n v="8.5000000000000006E-2"/>
    <n v="0.105"/>
    <n v="0.38800000000000001"/>
    <n v="17861"/>
    <s v="n/a"/>
    <s v="n/a"/>
    <s v="n/a"/>
    <s v="n/a"/>
    <s v="n/a"/>
    <s v="n/a"/>
    <s v="n/a"/>
    <s v="n/a"/>
    <s v="n/a"/>
    <s v="n/a"/>
    <s v="n/a"/>
    <s v="n/a"/>
    <n v="3.23"/>
    <n v="10904"/>
    <n v="3377"/>
  </r>
  <r>
    <x v="71"/>
    <n v="4"/>
    <n v="256255"/>
    <n v="636121"/>
    <n v="583819"/>
    <n v="583819"/>
    <n v="3203191"/>
    <n v="0.182"/>
    <n v="0.182"/>
    <n v="0.19900000000000001"/>
    <m/>
    <n v="7.3999999999999996E-2"/>
    <n v="0.09"/>
    <n v="0.112"/>
    <n v="5.7000000000000002E-2"/>
    <n v="10226539"/>
    <n v="1.3"/>
    <n v="1180952"/>
    <n v="911161"/>
    <n v="1.32"/>
    <n v="1222461"/>
    <n v="923987"/>
    <n v="1.39"/>
    <n v="1274453"/>
    <n v="913605"/>
    <n v="1.59"/>
    <n v="1451451"/>
    <n v="910339"/>
    <n v="1.07"/>
    <n v="3954249"/>
    <n v="3709718"/>
  </r>
  <r>
    <x v="72"/>
    <n v="4"/>
    <n v="167133"/>
    <n v="558470"/>
    <n v="558470"/>
    <n v="558470"/>
    <n v="2089165"/>
    <n v="0.26700000000000002"/>
    <n v="0.26700000000000002"/>
    <n v="0.26700000000000002"/>
    <m/>
    <n v="7.3999999999999996E-2"/>
    <n v="0.09"/>
    <n v="0.112"/>
    <n v="0.19600000000000001"/>
    <n v="2844793"/>
    <n v="4.92"/>
    <n v="864348"/>
    <n v="175536"/>
    <n v="5.0599999999999996"/>
    <n v="933803"/>
    <n v="184725"/>
    <n v="5.21"/>
    <n v="968340"/>
    <n v="185699"/>
    <n v="4.25"/>
    <n v="825796"/>
    <n v="194217"/>
    <n v="1.43"/>
    <n v="1876343"/>
    <n v="1310925"/>
  </r>
  <r>
    <x v="73"/>
    <n v="5"/>
    <n v="15156"/>
    <n v="49493"/>
    <n v="49493"/>
    <n v="49493"/>
    <n v="189455"/>
    <n v="0.26100000000000001"/>
    <n v="0.26100000000000001"/>
    <n v="0.26100000000000001"/>
    <m/>
    <n v="7.0000000000000007E-2"/>
    <n v="8.5000000000000006E-2"/>
    <n v="0.105"/>
    <n v="0.247"/>
    <n v="200765"/>
    <n v="10.99"/>
    <n v="52181"/>
    <n v="4747"/>
    <n v="11.11"/>
    <n v="57487"/>
    <n v="5172"/>
    <n v="11.46"/>
    <n v="60270"/>
    <n v="5259"/>
    <n v="10.9"/>
    <n v="61342"/>
    <n v="5627"/>
    <n v="6.98"/>
    <n v="158500"/>
    <n v="22711"/>
  </r>
  <r>
    <x v="74"/>
    <n v="5"/>
    <n v="23112"/>
    <n v="185166"/>
    <n v="185166"/>
    <n v="185166"/>
    <n v="288894"/>
    <n v="0.64100000000000001"/>
    <n v="0.64100000000000001"/>
    <n v="0.64100000000000001"/>
    <m/>
    <n v="7.0000000000000007E-2"/>
    <n v="8.5000000000000006E-2"/>
    <n v="0.105"/>
    <n v="0.19"/>
    <n v="975922"/>
    <n v="2.5099999999999998"/>
    <n v="463826"/>
    <n v="184552"/>
    <n v="2.6"/>
    <n v="533427"/>
    <n v="204995"/>
    <n v="2.42"/>
    <n v="461312"/>
    <n v="190579"/>
    <n v="2.13"/>
    <n v="414319"/>
    <n v="194314"/>
    <n v="2.34"/>
    <n v="693897"/>
    <n v="295915"/>
  </r>
  <r>
    <x v="75"/>
    <n v="3"/>
    <n v="438897"/>
    <n v="1259997"/>
    <n v="1238302"/>
    <n v="1240471"/>
    <n v="5486208"/>
    <n v="0.22600000000000001"/>
    <n v="0.23"/>
    <n v="0.23"/>
    <m/>
    <n v="7.8E-2"/>
    <n v="9.6000000000000002E-2"/>
    <n v="0.12"/>
    <n v="0.06"/>
    <n v="20683860"/>
    <n v="1.48"/>
    <n v="9150674"/>
    <n v="6180125"/>
    <n v="1.42"/>
    <n v="9522613"/>
    <n v="6701776"/>
    <n v="1.44"/>
    <n v="9768496"/>
    <n v="6799325"/>
    <n v="1.48"/>
    <n v="9283304"/>
    <n v="6288772"/>
    <n v="1.89"/>
    <n v="11057602"/>
    <n v="5861021"/>
  </r>
  <r>
    <x v="76"/>
    <n v="3"/>
    <n v="468922"/>
    <n v="1212943"/>
    <n v="1141248"/>
    <n v="1193418"/>
    <n v="5861530"/>
    <n v="0.19470138342719392"/>
    <n v="0.20360178997633724"/>
    <n v="0.20693283153033423"/>
    <m/>
    <n v="7.8E-2"/>
    <n v="9.6000000000000002E-2"/>
    <n v="0.12"/>
    <n v="5.8000000000000003E-2"/>
    <n v="20600856"/>
    <n v="1.49"/>
    <n v="9150675"/>
    <n v="6156050"/>
    <n v="1.43"/>
    <n v="9522615"/>
    <n v="6657512"/>
    <n v="1.44"/>
    <n v="9768496"/>
    <n v="6791372"/>
    <n v="1.48"/>
    <n v="9283305"/>
    <n v="6279000"/>
    <n v="1.91"/>
    <n v="11040563"/>
    <n v="5786231"/>
  </r>
  <r>
    <x v="77"/>
    <n v="3"/>
    <n v="573804"/>
    <n v="1275306"/>
    <n v="979946"/>
    <n v="1275306"/>
    <n v="7172549"/>
    <n v="0.13700000000000001"/>
    <n v="0.17799999999999999"/>
    <n v="0.17799999999999999"/>
    <m/>
    <n v="7.8E-2"/>
    <n v="9.6000000000000002E-2"/>
    <n v="0.12"/>
    <n v="4.2999999999999997E-2"/>
    <n v="29557535"/>
    <n v="1.61"/>
    <n v="6608694"/>
    <n v="4099563"/>
    <n v="1.74"/>
    <n v="6573708"/>
    <n v="3783195"/>
    <n v="1.72"/>
    <n v="7954106"/>
    <n v="4627461"/>
    <n v="1.58"/>
    <n v="7595059"/>
    <n v="4805867"/>
    <n v="1.42"/>
    <n v="15871764"/>
    <n v="11175658"/>
  </r>
  <r>
    <x v="78"/>
    <n v="3"/>
    <n v="799300"/>
    <n v="1878200"/>
    <n v="1477300"/>
    <n v="1681000"/>
    <n v="9990800"/>
    <n v="0.14799999999999999"/>
    <n v="0.16800000000000001"/>
    <n v="0.188"/>
    <m/>
    <n v="7.8E-2"/>
    <n v="9.6000000000000002E-2"/>
    <n v="0.12"/>
    <n v="3.7999999999999999E-2"/>
    <n v="43787000"/>
    <n v="1.88"/>
    <n v="12515953"/>
    <n v="6655241"/>
    <n v="2.02"/>
    <n v="13100769"/>
    <n v="6475560"/>
    <n v="2.0299999999999998"/>
    <n v="14372348"/>
    <n v="7096101"/>
    <n v="1.93"/>
    <n v="14622011"/>
    <n v="7570306"/>
    <n v="1.56"/>
    <n v="24109275"/>
    <n v="15415764"/>
  </r>
  <r>
    <x v="79"/>
    <n v="3"/>
    <n v="793500"/>
    <n v="2171200"/>
    <n v="1615200"/>
    <n v="1990700"/>
    <n v="9918400"/>
    <n v="0.16300000000000001"/>
    <n v="0.20100000000000001"/>
    <n v="0.219"/>
    <m/>
    <n v="7.8E-2"/>
    <n v="9.6000000000000002E-2"/>
    <n v="0.12"/>
    <n v="4.5999999999999999E-2"/>
    <n v="43400800"/>
    <n v="1.86"/>
    <n v="12252272"/>
    <n v="6584871"/>
    <n v="1.99"/>
    <n v="12834540"/>
    <n v="6450300"/>
    <n v="2"/>
    <n v="14104510"/>
    <n v="7041228"/>
    <n v="1.91"/>
    <n v="14336065"/>
    <n v="7514288"/>
    <n v="1.56"/>
    <n v="23466978"/>
    <n v="15000928"/>
  </r>
  <r>
    <x v="80"/>
    <n v="5"/>
    <n v="42203"/>
    <n v="242637"/>
    <n v="205593"/>
    <n v="205593"/>
    <n v="527538"/>
    <n v="0.39"/>
    <n v="0.39"/>
    <n v="0.46"/>
    <m/>
    <n v="7.0000000000000007E-2"/>
    <n v="8.5000000000000006E-2"/>
    <n v="0.105"/>
    <n v="6.6000000000000003E-2"/>
    <n v="3116257"/>
    <n v="1.04"/>
    <n v="14221932"/>
    <n v="13613186"/>
    <n v="1.05"/>
    <n v="14763015"/>
    <n v="14075645"/>
    <n v="1.04"/>
    <n v="15342518"/>
    <n v="14713761"/>
    <n v="1.04"/>
    <n v="15134950"/>
    <n v="14535460"/>
    <n v="3.86"/>
    <n v="662095"/>
    <n v="171402"/>
  </r>
  <r>
    <x v="81"/>
    <n v="5"/>
    <n v="16062"/>
    <n v="29487"/>
    <n v="28313"/>
    <n v="28313"/>
    <n v="200779"/>
    <n v="0.14099999999999999"/>
    <n v="0.14099999999999999"/>
    <n v="0.14699999999999999"/>
    <m/>
    <n v="7.0000000000000007E-2"/>
    <n v="8.5000000000000006E-2"/>
    <n v="0.105"/>
    <n v="7.1999999999999995E-2"/>
    <n v="395091"/>
    <n v="2.13"/>
    <n v="28221"/>
    <n v="13265"/>
    <n v="2.09"/>
    <n v="31044"/>
    <n v="14833"/>
    <n v="2.44"/>
    <n v="31359"/>
    <n v="12872"/>
    <n v="2.0099999999999998"/>
    <n v="29806"/>
    <n v="14817"/>
    <n v="1.1200000000000001"/>
    <n v="303619"/>
    <n v="270020"/>
  </r>
  <r>
    <x v="82"/>
    <n v="5"/>
    <n v="8301"/>
    <n v="25137"/>
    <n v="25137"/>
    <n v="25137"/>
    <n v="103768"/>
    <n v="0.24199999999999999"/>
    <n v="0.24199999999999999"/>
    <n v="0.24199999999999999"/>
    <m/>
    <n v="7.0000000000000007E-2"/>
    <n v="8.5000000000000006E-2"/>
    <n v="0.105"/>
    <n v="3.6999999999999998E-2"/>
    <n v="679823"/>
    <n v="1.33"/>
    <n v="51857"/>
    <n v="38854"/>
    <n v="1.21"/>
    <n v="51088"/>
    <n v="42054"/>
    <n v="1.31"/>
    <n v="52597"/>
    <n v="40082"/>
    <n v="1.48"/>
    <n v="63825"/>
    <n v="43114"/>
    <n v="3.29"/>
    <n v="321627"/>
    <n v="97689"/>
  </r>
  <r>
    <x v="83"/>
    <n v="5"/>
    <n v="52779"/>
    <n v="98719"/>
    <n v="98719"/>
    <n v="98719"/>
    <n v="659738"/>
    <n v="0.15"/>
    <n v="0.15"/>
    <n v="0.15"/>
    <m/>
    <n v="7.0000000000000007E-2"/>
    <n v="8.5000000000000006E-2"/>
    <n v="0.105"/>
    <n v="7.9000000000000001E-2"/>
    <n v="1245591"/>
    <n v="2.0499999999999998"/>
    <n v="155986"/>
    <n v="76048"/>
    <n v="1.95"/>
    <n v="144511"/>
    <n v="74192"/>
    <n v="1.45"/>
    <n v="137206"/>
    <n v="94365"/>
    <n v="1.88"/>
    <n v="175841"/>
    <n v="93468"/>
    <n v="1.49"/>
    <n v="677753"/>
    <n v="454093"/>
  </r>
  <r>
    <x v="84"/>
    <n v="5"/>
    <n v="645"/>
    <n v="1801"/>
    <n v="1801"/>
    <n v="1801"/>
    <n v="8061"/>
    <n v="0.223"/>
    <n v="0.223"/>
    <n v="0.223"/>
    <m/>
    <n v="7.0000000000000007E-2"/>
    <n v="8.5000000000000006E-2"/>
    <n v="0.105"/>
    <n v="0.13100000000000001"/>
    <n v="13786"/>
    <n v="6.25"/>
    <n v="10840"/>
    <n v="1734"/>
    <n v="23.93"/>
    <n v="6307"/>
    <n v="264"/>
    <n v="24.41"/>
    <n v="6628"/>
    <n v="272"/>
    <n v="25.13"/>
    <n v="8253"/>
    <n v="328"/>
    <n v="1.99"/>
    <n v="12188"/>
    <n v="6112"/>
  </r>
  <r>
    <x v="85"/>
    <n v="4"/>
    <n v="78838"/>
    <n v="233061"/>
    <n v="233061"/>
    <n v="233061"/>
    <n v="985476"/>
    <n v="0.23599999999999999"/>
    <n v="0.23599999999999999"/>
    <n v="0.23599999999999999"/>
    <m/>
    <n v="7.3999999999999996E-2"/>
    <n v="0.09"/>
    <n v="0.112"/>
    <n v="0.10299999999999999"/>
    <n v="2271503"/>
    <n v="2.1800000000000002"/>
    <n v="956327"/>
    <n v="438856"/>
    <n v="2.1"/>
    <n v="866972"/>
    <n v="412100"/>
    <n v="2"/>
    <n v="763269"/>
    <n v="380738"/>
    <n v="1.87"/>
    <n v="722968"/>
    <n v="385667"/>
    <n v="1.89"/>
    <n v="1393700"/>
    <n v="738444"/>
  </r>
  <r>
    <x v="86"/>
    <n v="5"/>
    <n v="10000"/>
    <n v="14564"/>
    <n v="14564"/>
    <n v="14564"/>
    <n v="89306"/>
    <n v="0.16300000000000001"/>
    <n v="0.16300000000000001"/>
    <n v="0.16300000000000001"/>
    <m/>
    <n v="7.0000000000000007E-2"/>
    <n v="8.5000000000000006E-2"/>
    <n v="0.105"/>
    <n v="0.11600000000000001"/>
    <n v="125684"/>
    <s v="n/a"/>
    <s v="n/a"/>
    <s v="n/a"/>
    <s v="n/a"/>
    <s v="n/a"/>
    <s v="n/a"/>
    <s v="n/a"/>
    <s v="n/a"/>
    <s v="n/a"/>
    <s v="n/a"/>
    <s v="n/a"/>
    <s v="n/a"/>
    <n v="1.61"/>
    <n v="71645"/>
    <n v="44421"/>
  </r>
  <r>
    <x v="87"/>
    <n v="4"/>
    <n v="42999"/>
    <n v="126969"/>
    <n v="126969"/>
    <n v="126969"/>
    <n v="537485"/>
    <n v="0.23599999999999999"/>
    <n v="0.23599999999999999"/>
    <n v="0.23599999999999999"/>
    <m/>
    <n v="7.3999999999999996E-2"/>
    <n v="0.09"/>
    <n v="0.112"/>
    <n v="0.109"/>
    <n v="1160924"/>
    <n v="1.34"/>
    <n v="428548"/>
    <n v="319958"/>
    <n v="1.25"/>
    <n v="418287"/>
    <n v="334599"/>
    <n v="1.4"/>
    <n v="417777"/>
    <n v="298003"/>
    <n v="1.4"/>
    <n v="409476"/>
    <n v="292676"/>
    <n v="1.1599999999999999"/>
    <n v="593867"/>
    <n v="510488"/>
  </r>
  <r>
    <x v="88"/>
    <n v="5"/>
    <n v="15036"/>
    <n v="24578"/>
    <n v="21599"/>
    <n v="22349"/>
    <n v="187954"/>
    <n v="0.115"/>
    <n v="0.11899999999999999"/>
    <n v="0.13100000000000001"/>
    <m/>
    <n v="7.0000000000000007E-2"/>
    <n v="8.5000000000000006E-2"/>
    <n v="0.105"/>
    <n v="0.06"/>
    <n v="373800"/>
    <n v="2.39"/>
    <n v="54548"/>
    <n v="22797"/>
    <n v="2.76"/>
    <n v="60348"/>
    <n v="21899"/>
    <n v="2.68"/>
    <n v="61933"/>
    <n v="23109"/>
    <n v="2.5099999999999998"/>
    <n v="62431"/>
    <n v="24870"/>
    <n v="1.48"/>
    <n v="335573"/>
    <n v="226698"/>
  </r>
  <r>
    <x v="89"/>
    <n v="5"/>
    <n v="105828"/>
    <n v="214067"/>
    <n v="214067"/>
    <n v="214067"/>
    <n v="1322855"/>
    <n v="0.16200000000000001"/>
    <n v="0.16200000000000001"/>
    <n v="0.16200000000000001"/>
    <m/>
    <n v="7.0000000000000007E-2"/>
    <n v="8.5000000000000006E-2"/>
    <n v="0.105"/>
    <n v="0.115"/>
    <n v="1866711"/>
    <n v="1.68"/>
    <n v="632575"/>
    <n v="377292"/>
    <n v="1.52"/>
    <n v="549250"/>
    <n v="360810"/>
    <n v="1.72"/>
    <n v="653217"/>
    <n v="379331"/>
    <n v="2.04"/>
    <n v="502551"/>
    <n v="246316"/>
    <n v="1.32"/>
    <n v="1109338"/>
    <n v="843256"/>
  </r>
  <r>
    <x v="90"/>
    <n v="4"/>
    <n v="255020"/>
    <n v="646015"/>
    <n v="390152"/>
    <n v="490152"/>
    <n v="3187754"/>
    <n v="0.122"/>
    <n v="0.154"/>
    <n v="0.20300000000000001"/>
    <m/>
    <n v="7.3999999999999996E-2"/>
    <n v="0.09"/>
    <n v="0.112"/>
    <n v="6.2E-2"/>
    <n v="7882180"/>
    <n v="2.48"/>
    <n v="1320668"/>
    <n v="532349"/>
    <n v="2.35"/>
    <n v="1365842"/>
    <n v="581818"/>
    <n v="2.27"/>
    <n v="1398295"/>
    <n v="615105"/>
    <n v="2.23"/>
    <n v="1463150"/>
    <n v="654785"/>
    <n v="1.43"/>
    <n v="5580679"/>
    <n v="3893738"/>
  </r>
  <r>
    <x v="91"/>
    <n v="5"/>
    <n v="10409"/>
    <n v="34274"/>
    <n v="27145"/>
    <n v="34145"/>
    <n v="130106"/>
    <n v="0.20899999999999999"/>
    <n v="0.26200000000000001"/>
    <n v="0.26300000000000001"/>
    <m/>
    <n v="7.0000000000000007E-2"/>
    <n v="8.5000000000000006E-2"/>
    <n v="0.105"/>
    <n v="3.7999999999999999E-2"/>
    <n v="892824"/>
    <n v="2.77"/>
    <n v="531778"/>
    <n v="191736"/>
    <n v="2.91"/>
    <n v="574331"/>
    <n v="197121"/>
    <n v="2.96"/>
    <n v="601308"/>
    <n v="203378"/>
    <n v="2.87"/>
    <n v="653641"/>
    <n v="227714"/>
    <n v="6.56"/>
    <n v="555768"/>
    <n v="84695"/>
  </r>
  <r>
    <x v="92"/>
    <n v="5"/>
    <n v="12444"/>
    <n v="45243"/>
    <n v="41243"/>
    <n v="45243"/>
    <n v="155546"/>
    <n v="0.26500000000000001"/>
    <n v="0.29099999999999998"/>
    <n v="0.29099999999999998"/>
    <m/>
    <n v="7.0000000000000007E-2"/>
    <n v="8.5000000000000006E-2"/>
    <n v="0.105"/>
    <n v="4.9000000000000002E-2"/>
    <n v="929898"/>
    <n v="6.41"/>
    <n v="531976"/>
    <n v="82944"/>
    <n v="5.76"/>
    <n v="574483"/>
    <n v="99791"/>
    <n v="5.74"/>
    <n v="601533"/>
    <n v="104851"/>
    <n v="5.71"/>
    <n v="652461"/>
    <n v="114217"/>
    <n v="7.05"/>
    <n v="665894"/>
    <n v="94506"/>
  </r>
  <r>
    <x v="93"/>
    <n v="3"/>
    <n v="1041508"/>
    <n v="2640857"/>
    <n v="2640857"/>
    <n v="2640857"/>
    <n v="13018849"/>
    <n v="0.20300000000000001"/>
    <n v="0.20300000000000001"/>
    <n v="0.20300000000000001"/>
    <m/>
    <n v="7.8E-2"/>
    <n v="9.6000000000000002E-2"/>
    <n v="0.12"/>
    <n v="7.9000000000000001E-2"/>
    <n v="33498181"/>
    <n v="2.57"/>
    <n v="8133417"/>
    <n v="3165650"/>
    <n v="2.25"/>
    <n v="8056203"/>
    <n v="3585801"/>
    <n v="1.96"/>
    <n v="9076412"/>
    <n v="4619875"/>
    <n v="2.0299999999999998"/>
    <n v="8587715"/>
    <n v="4225394"/>
    <n v="1.4"/>
    <n v="22514792"/>
    <n v="16064407"/>
  </r>
  <r>
    <x v="94"/>
    <n v="5"/>
    <n v="24324"/>
    <n v="61193"/>
    <n v="61193"/>
    <n v="61193"/>
    <n v="304047"/>
    <n v="0.20100000000000001"/>
    <n v="0.20100000000000001"/>
    <n v="0.20100000000000001"/>
    <m/>
    <n v="7.0000000000000007E-2"/>
    <n v="8.5000000000000006E-2"/>
    <n v="0.105"/>
    <n v="8.2000000000000003E-2"/>
    <n v="747567"/>
    <n v="2.2400000000000002"/>
    <n v="78232"/>
    <n v="34906"/>
    <n v="2.44"/>
    <n v="82167"/>
    <n v="33726"/>
    <n v="2.69"/>
    <n v="91854"/>
    <n v="34189"/>
    <n v="2.65"/>
    <n v="93097"/>
    <n v="35165"/>
    <n v="1.43"/>
    <n v="668938"/>
    <n v="468469"/>
  </r>
  <r>
    <x v="95"/>
    <n v="4"/>
    <n v="77326"/>
    <n v="205904"/>
    <n v="205904"/>
    <n v="205904"/>
    <n v="966579"/>
    <n v="0.21299999999999999"/>
    <n v="0.21299999999999999"/>
    <n v="0.21299999999999999"/>
    <m/>
    <n v="7.3999999999999996E-2"/>
    <n v="0.09"/>
    <n v="0.112"/>
    <n v="4.3999999999999997E-2"/>
    <n v="4632791"/>
    <n v="2.04"/>
    <n v="2978114"/>
    <n v="1459516"/>
    <n v="2.0499999999999998"/>
    <n v="3778508"/>
    <n v="1845248"/>
    <n v="1.94"/>
    <n v="2963802"/>
    <n v="1529386"/>
    <n v="2"/>
    <n v="2997968"/>
    <n v="1502545"/>
    <n v="2.95"/>
    <n v="2620857"/>
    <n v="887919"/>
  </r>
  <r>
    <x v="96"/>
    <n v="3"/>
    <n v="939993"/>
    <n v="2672062"/>
    <n v="2642062"/>
    <n v="2672062"/>
    <n v="11749919"/>
    <n v="0.22500000000000001"/>
    <n v="0.22700000000000001"/>
    <n v="0.22700000000000001"/>
    <m/>
    <n v="7.8E-2"/>
    <n v="9.6000000000000002E-2"/>
    <n v="0.12"/>
    <n v="0.05"/>
    <n v="53317291"/>
    <n v="1.69"/>
    <n v="26715253"/>
    <n v="15822125"/>
    <n v="1.76"/>
    <n v="27096494"/>
    <n v="15437917"/>
    <n v="1.66"/>
    <n v="27623526"/>
    <n v="16593365"/>
    <n v="1.63"/>
    <n v="28056961"/>
    <n v="17168061"/>
    <n v="2"/>
    <n v="23906553"/>
    <n v="11974808"/>
  </r>
  <r>
    <x v="97"/>
    <n v="4"/>
    <n v="571312"/>
    <n v="1224070"/>
    <n v="1152483"/>
    <n v="1152483"/>
    <n v="7141401"/>
    <n v="0.161"/>
    <n v="0.161"/>
    <n v="0.17100000000000001"/>
    <m/>
    <n v="7.3999999999999996E-2"/>
    <n v="0.09"/>
    <n v="0.112"/>
    <n v="8.2000000000000003E-2"/>
    <n v="14085253"/>
    <n v="1.35"/>
    <n v="3289727"/>
    <n v="2433156"/>
    <n v="1.39"/>
    <n v="3659404"/>
    <n v="2640586"/>
    <n v="1.52"/>
    <n v="4093748"/>
    <n v="2693563"/>
    <n v="1.62"/>
    <n v="4041100"/>
    <n v="2491011"/>
    <n v="1.76"/>
    <n v="8485972"/>
    <n v="4808107"/>
  </r>
  <r>
    <x v="98"/>
    <n v="5"/>
    <n v="15543"/>
    <n v="47095"/>
    <n v="47095"/>
    <n v="47095"/>
    <n v="194293"/>
    <n v="0.24199999999999999"/>
    <n v="0.24199999999999999"/>
    <n v="0.24199999999999999"/>
    <m/>
    <n v="7.0000000000000007E-2"/>
    <n v="8.5000000000000006E-2"/>
    <n v="0.105"/>
    <n v="6.0999999999999999E-2"/>
    <n v="777105"/>
    <n v="3.86"/>
    <n v="69502"/>
    <n v="18015"/>
    <n v="8.89"/>
    <n v="153679"/>
    <n v="17286"/>
    <n v="4.8099999999999996"/>
    <n v="106514"/>
    <n v="22162"/>
    <n v="5.14"/>
    <n v="116567"/>
    <n v="22658"/>
    <n v="2.0299999999999998"/>
    <n v="358727"/>
    <n v="176299"/>
  </r>
  <r>
    <x v="99"/>
    <n v="5"/>
    <n v="12662"/>
    <n v="53407"/>
    <n v="29907"/>
    <n v="53407"/>
    <n v="158274"/>
    <n v="0.189"/>
    <n v="0.33700000000000002"/>
    <n v="0.33700000000000002"/>
    <m/>
    <n v="7.0000000000000007E-2"/>
    <n v="8.5000000000000006E-2"/>
    <n v="0.105"/>
    <n v="0.152"/>
    <n v="352239"/>
    <n v="3.07"/>
    <n v="41911"/>
    <n v="13656"/>
    <n v="2.91"/>
    <n v="42961"/>
    <n v="14754"/>
    <n v="3.06"/>
    <n v="38692"/>
    <n v="12653"/>
    <n v="2.33"/>
    <n v="31350"/>
    <n v="13445"/>
    <n v="1.37"/>
    <n v="190541"/>
    <n v="139052"/>
  </r>
  <r>
    <x v="100"/>
    <n v="3"/>
    <n v="377859"/>
    <n v="1433128"/>
    <n v="1204784"/>
    <n v="1204784"/>
    <n v="4723235"/>
    <n v="0.255"/>
    <n v="0.255"/>
    <n v="0.30299999999999999"/>
    <m/>
    <n v="7.8E-2"/>
    <n v="9.6000000000000002E-2"/>
    <n v="0.12"/>
    <n v="6.8000000000000005E-2"/>
    <n v="17624100"/>
    <n v="2.1"/>
    <n v="7432662"/>
    <n v="3540030"/>
    <n v="1.83"/>
    <n v="8082666"/>
    <n v="4417582"/>
    <n v="2.09"/>
    <n v="8133462"/>
    <n v="3884963"/>
    <n v="1.98"/>
    <n v="7433310"/>
    <n v="3755120"/>
    <n v="1.74"/>
    <n v="9410040"/>
    <n v="5394429"/>
  </r>
  <r>
    <x v="101"/>
    <n v="4"/>
    <n v="17294"/>
    <n v="60586"/>
    <n v="60586"/>
    <n v="60586"/>
    <n v="216172"/>
    <n v="0.28000000000000003"/>
    <n v="0.28000000000000003"/>
    <n v="0.28000000000000003"/>
    <m/>
    <n v="7.3999999999999996E-2"/>
    <n v="0.09"/>
    <n v="0.112"/>
    <n v="3.9E-2"/>
    <n v="1560979"/>
    <n v="3.19"/>
    <n v="587194"/>
    <n v="184004"/>
    <n v="3.25"/>
    <n v="679651"/>
    <n v="209112"/>
    <n v="3.25"/>
    <n v="720525"/>
    <n v="221696"/>
    <n v="3"/>
    <n v="708108"/>
    <n v="236127"/>
    <n v="2.57"/>
    <n v="1014466"/>
    <n v="395271"/>
  </r>
  <r>
    <x v="102"/>
    <n v="4"/>
    <n v="224242"/>
    <n v="536427"/>
    <n v="500791"/>
    <n v="500791"/>
    <n v="2803027"/>
    <n v="0.17899999999999999"/>
    <n v="0.17899999999999999"/>
    <n v="0.191"/>
    <m/>
    <n v="7.3999999999999996E-2"/>
    <n v="0.09"/>
    <n v="0.112"/>
    <n v="7.5999999999999998E-2"/>
    <n v="6607421"/>
    <n v="1.92"/>
    <n v="1331219"/>
    <n v="694957"/>
    <n v="1.99"/>
    <n v="1471998"/>
    <n v="741290"/>
    <n v="2.14"/>
    <n v="1561431"/>
    <n v="730298"/>
    <n v="1.86"/>
    <n v="1545872"/>
    <n v="830564"/>
    <n v="1.5"/>
    <n v="5242411"/>
    <n v="3486891"/>
  </r>
  <r>
    <x v="103"/>
    <n v="5"/>
    <n v="6543"/>
    <n v="23171"/>
    <n v="23171"/>
    <n v="23171"/>
    <n v="81786"/>
    <n v="0.28299999999999997"/>
    <n v="0.28299999999999997"/>
    <n v="0.28299999999999997"/>
    <m/>
    <n v="7.0000000000000007E-2"/>
    <n v="8.5000000000000006E-2"/>
    <n v="0.105"/>
    <n v="6.4000000000000001E-2"/>
    <n v="359879"/>
    <n v="1.0900000000000001"/>
    <n v="203373"/>
    <n v="186691"/>
    <n v="1.1200000000000001"/>
    <n v="247663"/>
    <n v="221550"/>
    <n v="1.17"/>
    <n v="220568"/>
    <n v="188878"/>
    <n v="1.29"/>
    <n v="251159"/>
    <n v="194220"/>
    <n v="2.64"/>
    <n v="68531"/>
    <n v="25932"/>
  </r>
  <r>
    <x v="104"/>
    <n v="5"/>
    <n v="13613"/>
    <n v="120105"/>
    <n v="120105"/>
    <n v="120105"/>
    <n v="170159"/>
    <n v="0.70599999999999996"/>
    <n v="0.70599999999999996"/>
    <n v="0.70599999999999996"/>
    <m/>
    <n v="7.0000000000000007E-2"/>
    <n v="8.5000000000000006E-2"/>
    <n v="0.105"/>
    <n v="0.13400000000000001"/>
    <n v="897176"/>
    <n v="2.21"/>
    <n v="170313"/>
    <n v="76957"/>
    <n v="2.13"/>
    <n v="163810"/>
    <n v="76799"/>
    <n v="1.72"/>
    <n v="141820"/>
    <n v="82522"/>
    <n v="1.82"/>
    <n v="156987"/>
    <n v="86321"/>
    <n v="2.79"/>
    <n v="572565"/>
    <n v="205140"/>
  </r>
  <r>
    <x v="105"/>
    <n v="5"/>
    <n v="3150"/>
    <n v="8151"/>
    <n v="3161"/>
    <n v="8151"/>
    <n v="39377"/>
    <n v="0.08"/>
    <n v="0.20699999999999999"/>
    <n v="0.20699999999999999"/>
    <m/>
    <n v="7.0000000000000007E-2"/>
    <n v="8.5000000000000006E-2"/>
    <n v="0.105"/>
    <n v="4.8000000000000001E-2"/>
    <n v="171005"/>
    <n v="1.23"/>
    <n v="66659"/>
    <n v="54101"/>
    <n v="1.1200000000000001"/>
    <n v="68513"/>
    <n v="61346"/>
    <n v="1.19"/>
    <n v="83380"/>
    <n v="70338"/>
    <n v="1.1299999999999999"/>
    <n v="129620"/>
    <n v="114915"/>
    <n v="1.75"/>
    <n v="19574"/>
    <n v="11183"/>
  </r>
  <r>
    <x v="106"/>
    <n v="5"/>
    <n v="3265"/>
    <n v="6452"/>
    <n v="6452"/>
    <n v="6452"/>
    <n v="40807"/>
    <n v="0.158"/>
    <n v="0.158"/>
    <n v="0.158"/>
    <m/>
    <n v="7.0000000000000007E-2"/>
    <n v="8.5000000000000006E-2"/>
    <n v="0.105"/>
    <n v="3.7999999999999999E-2"/>
    <n v="168248"/>
    <s v="3)"/>
    <s v="3)"/>
    <s v="3)"/>
    <s v="3)"/>
    <s v="3)"/>
    <s v="3)"/>
    <s v="3)"/>
    <s v="3)"/>
    <s v="3)"/>
    <s v="3)"/>
    <s v="3)"/>
    <s v="3)"/>
    <s v="3)"/>
    <s v="3)"/>
    <s v="3)"/>
  </r>
  <r>
    <x v="107"/>
    <n v="3"/>
    <n v="1180113"/>
    <n v="5814809"/>
    <n v="5707838"/>
    <n v="5707838"/>
    <n v="14751415"/>
    <n v="0.38700000000000001"/>
    <n v="0.38700000000000001"/>
    <n v="0.39400000000000002"/>
    <m/>
    <n v="7.8E-2"/>
    <n v="9.6000000000000002E-2"/>
    <n v="0.12"/>
    <n v="0.121"/>
    <n v="47238247"/>
    <n v="1.2"/>
    <n v="12128782"/>
    <n v="10091261"/>
    <n v="1.22"/>
    <n v="13109358"/>
    <n v="10736014"/>
    <n v="1.26"/>
    <n v="13512701"/>
    <n v="10758459"/>
    <n v="1.3"/>
    <n v="13653015"/>
    <n v="10520922"/>
    <n v="1.35"/>
    <n v="26275009"/>
    <n v="19418222"/>
  </r>
  <r>
    <x v="108"/>
    <n v="4"/>
    <n v="379027"/>
    <n v="1037987"/>
    <n v="1037987"/>
    <n v="1037987"/>
    <n v="4737837"/>
    <n v="0.219"/>
    <n v="0.219"/>
    <n v="0.219"/>
    <m/>
    <n v="7.3999999999999996E-2"/>
    <n v="0.09"/>
    <n v="0.112"/>
    <n v="8.6999999999999994E-2"/>
    <n v="11981553"/>
    <n v="2.25"/>
    <n v="1535098"/>
    <n v="681084"/>
    <n v="2.69"/>
    <n v="1596609"/>
    <n v="594564"/>
    <n v="2.62"/>
    <n v="1606206"/>
    <n v="613473"/>
    <n v="2.5"/>
    <n v="1519669"/>
    <n v="607416"/>
    <n v="1.36"/>
    <n v="5669020"/>
    <n v="4161892"/>
  </r>
  <r>
    <x v="109"/>
    <n v="3"/>
    <n v="1621934"/>
    <n v="4859188"/>
    <n v="3315703"/>
    <n v="4747740"/>
    <n v="20274181"/>
    <n v="0.16400000000000001"/>
    <n v="0.23400000000000001"/>
    <n v="0.24"/>
    <m/>
    <n v="7.8E-2"/>
    <n v="9.6000000000000002E-2"/>
    <n v="0.12"/>
    <n v="0.04"/>
    <n v="118273934"/>
    <n v="1.62"/>
    <n v="22352484"/>
    <n v="13822341"/>
    <n v="1.89"/>
    <n v="23536644"/>
    <n v="12459740"/>
    <n v="1.77"/>
    <n v="23939819"/>
    <n v="13557482"/>
    <n v="1.85"/>
    <n v="25597847"/>
    <n v="13842908"/>
    <n v="1.34"/>
    <n v="70377081"/>
    <n v="52482549"/>
  </r>
  <r>
    <x v="110"/>
    <n v="5"/>
    <n v="6126"/>
    <n v="16171"/>
    <n v="16171"/>
    <n v="16171"/>
    <n v="76571"/>
    <n v="0.21099999999999999"/>
    <n v="0.21099999999999999"/>
    <n v="0.21099999999999999"/>
    <m/>
    <n v="7.0000000000000007E-2"/>
    <n v="8.5000000000000006E-2"/>
    <n v="0.105"/>
    <n v="0.106"/>
    <n v="152781"/>
    <n v="2.06"/>
    <n v="90845"/>
    <n v="44089"/>
    <n v="2.15"/>
    <n v="79372"/>
    <n v="36891"/>
    <n v="1.92"/>
    <n v="63948"/>
    <n v="33228"/>
    <n v="1.81"/>
    <n v="59506"/>
    <n v="32805"/>
    <n v="1.64"/>
    <n v="101881"/>
    <n v="61987"/>
  </r>
  <r>
    <x v="111"/>
    <n v="4"/>
    <n v="266787"/>
    <n v="652389"/>
    <n v="652389"/>
    <n v="652389"/>
    <n v="3334842"/>
    <n v="0.19600000000000001"/>
    <n v="0.19600000000000001"/>
    <n v="0.19600000000000001"/>
    <m/>
    <n v="7.3999999999999996E-2"/>
    <n v="0.09"/>
    <n v="0.112"/>
    <n v="5.2999999999999999E-2"/>
    <n v="12395468"/>
    <n v="2.13"/>
    <n v="1240302"/>
    <n v="582016"/>
    <n v="2.23"/>
    <n v="1331766"/>
    <n v="596161"/>
    <n v="1.99"/>
    <n v="1343754"/>
    <n v="673618"/>
    <n v="1.96"/>
    <n v="1327625"/>
    <n v="677552"/>
    <n v="3.12"/>
    <n v="7819801"/>
    <n v="2509849"/>
  </r>
  <r>
    <x v="112"/>
    <n v="4"/>
    <n v="48682"/>
    <n v="140708"/>
    <n v="135748"/>
    <n v="135748"/>
    <n v="608519"/>
    <n v="0.223"/>
    <n v="0.223"/>
    <n v="0.23100000000000001"/>
    <m/>
    <n v="7.3999999999999996E-2"/>
    <n v="0.09"/>
    <n v="0.112"/>
    <n v="0.109"/>
    <n v="1249225"/>
    <n v="1.75"/>
    <n v="173195"/>
    <n v="98848"/>
    <n v="1.9"/>
    <n v="168883"/>
    <n v="88939"/>
    <n v="2.02"/>
    <n v="209782"/>
    <n v="103986"/>
    <n v="1.84"/>
    <n v="232592"/>
    <n v="126537"/>
    <n v="1.39"/>
    <n v="1010119"/>
    <n v="724469"/>
  </r>
  <r>
    <x v="113"/>
    <n v="3"/>
    <n v="1915760"/>
    <n v="4212797"/>
    <n v="2941140"/>
    <n v="3751140"/>
    <n v="23947001"/>
    <n v="0.123"/>
    <n v="0.157"/>
    <n v="0.17599999999999999"/>
    <m/>
    <n v="7.8E-2"/>
    <n v="9.6000000000000002E-2"/>
    <n v="0.12"/>
    <n v="6.8000000000000005E-2"/>
    <n v="54770749"/>
    <n v="1.66"/>
    <n v="8395642"/>
    <n v="5060811"/>
    <n v="1.93"/>
    <n v="9114570"/>
    <n v="4726281"/>
    <n v="2.06"/>
    <n v="9877817"/>
    <n v="4787837"/>
    <n v="1.98"/>
    <n v="10437600"/>
    <n v="5260176"/>
    <n v="1.33"/>
    <n v="36709131"/>
    <n v="27619241"/>
  </r>
  <r>
    <x v="114"/>
    <n v="5"/>
    <n v="7158"/>
    <n v="33182"/>
    <n v="33182"/>
    <n v="33182"/>
    <n v="89475"/>
    <n v="0.371"/>
    <n v="0.371"/>
    <n v="0.371"/>
    <m/>
    <n v="7.0000000000000007E-2"/>
    <n v="8.5000000000000006E-2"/>
    <n v="0.105"/>
    <n v="0.17899999999999999"/>
    <n v="185339"/>
    <n v="1.08"/>
    <n v="21469"/>
    <n v="19917"/>
    <n v="1.0900000000000001"/>
    <n v="20310"/>
    <n v="18584"/>
    <n v="1.05"/>
    <n v="16427"/>
    <n v="15626"/>
    <n v="1.42"/>
    <n v="19880"/>
    <n v="13996"/>
    <n v="1.47"/>
    <n v="146612"/>
    <n v="99566"/>
  </r>
  <r>
    <x v="115"/>
    <n v="3"/>
    <n v="1658522"/>
    <n v="4258826"/>
    <n v="2981127"/>
    <n v="2981127"/>
    <n v="20731524"/>
    <n v="0.14399999999999999"/>
    <n v="0.14399999999999999"/>
    <n v="0.20499999999999999"/>
    <m/>
    <n v="7.8E-2"/>
    <n v="9.6000000000000002E-2"/>
    <n v="0.12"/>
    <n v="5.2999999999999999E-2"/>
    <n v="55779724"/>
    <n v="1.45"/>
    <n v="7209632"/>
    <n v="4958930"/>
    <n v="1.45"/>
    <n v="7195211"/>
    <n v="4973954"/>
    <n v="1.77"/>
    <n v="7524873"/>
    <n v="4249164"/>
    <n v="1.66"/>
    <n v="7846403"/>
    <n v="4733017"/>
    <n v="1.39"/>
    <n v="40584539"/>
    <n v="29280579"/>
  </r>
  <r>
    <x v="116"/>
    <n v="5"/>
    <n v="23467"/>
    <n v="130214"/>
    <n v="85214"/>
    <n v="130214"/>
    <n v="293340"/>
    <n v="0.28999999999999998"/>
    <n v="0.44400000000000001"/>
    <n v="0.44400000000000001"/>
    <m/>
    <n v="7.0000000000000007E-2"/>
    <n v="8.5000000000000006E-2"/>
    <n v="0.105"/>
    <n v="0.108"/>
    <n v="1207889"/>
    <n v="3.9"/>
    <n v="183209"/>
    <n v="46983"/>
    <n v="3.93"/>
    <n v="189300"/>
    <n v="48226"/>
    <n v="4.07"/>
    <n v="198043"/>
    <n v="48658"/>
    <n v="4.38"/>
    <n v="227650"/>
    <n v="51931"/>
    <n v="2.12"/>
    <n v="682834"/>
    <n v="322817"/>
  </r>
  <r>
    <x v="117"/>
    <n v="5"/>
    <n v="24135"/>
    <n v="71973"/>
    <n v="71973"/>
    <n v="71973"/>
    <n v="301682"/>
    <n v="0.23899999999999999"/>
    <n v="0.23899999999999999"/>
    <n v="0.23899999999999999"/>
    <m/>
    <n v="7.0000000000000007E-2"/>
    <n v="8.5000000000000006E-2"/>
    <n v="0.105"/>
    <n v="0.12"/>
    <n v="600756"/>
    <n v="1.5"/>
    <n v="68046"/>
    <n v="45467"/>
    <n v="1.41"/>
    <n v="67889"/>
    <n v="48222"/>
    <n v="1.46"/>
    <n v="74530"/>
    <n v="51133"/>
    <n v="1.4"/>
    <n v="69299"/>
    <n v="49425"/>
    <n v="1.9"/>
    <n v="373903"/>
    <n v="197023"/>
  </r>
  <r>
    <x v="118"/>
    <n v="5"/>
    <n v="6198"/>
    <n v="27418"/>
    <n v="27418"/>
    <n v="27418"/>
    <n v="77476"/>
    <n v="0.35399999999999998"/>
    <n v="0.35399999999999998"/>
    <n v="0.35399999999999998"/>
    <m/>
    <n v="7.0000000000000007E-2"/>
    <n v="8.5000000000000006E-2"/>
    <n v="0.105"/>
    <n v="0.127"/>
    <n v="215530"/>
    <n v="3.89"/>
    <n v="75066"/>
    <n v="19278"/>
    <n v="2.89"/>
    <n v="53688"/>
    <n v="18566"/>
    <n v="2.97"/>
    <n v="72380"/>
    <n v="24378"/>
    <n v="3.44"/>
    <n v="81813"/>
    <n v="23787"/>
    <n v="3"/>
    <n v="152749"/>
    <n v="50862"/>
  </r>
  <r>
    <x v="119"/>
    <n v="4"/>
    <n v="209690"/>
    <n v="513067"/>
    <n v="504008"/>
    <n v="504008"/>
    <n v="2621124"/>
    <n v="0.192"/>
    <n v="0.192"/>
    <n v="0.19600000000000001"/>
    <m/>
    <n v="7.3999999999999996E-2"/>
    <n v="0.09"/>
    <n v="0.112"/>
    <n v="8.2000000000000003E-2"/>
    <n v="6134652"/>
    <n v="2.38"/>
    <n v="1261665"/>
    <n v="530479"/>
    <n v="2.2000000000000002"/>
    <n v="1294143"/>
    <n v="588132"/>
    <n v="2.2599999999999998"/>
    <n v="1303660"/>
    <n v="576002"/>
    <n v="2.06"/>
    <n v="1325974"/>
    <n v="642675"/>
    <n v="1.37"/>
    <n v="4598712"/>
    <n v="3347683"/>
  </r>
  <r>
    <x v="120"/>
    <n v="5"/>
    <n v="23542"/>
    <n v="61258"/>
    <n v="61258"/>
    <n v="61258"/>
    <n v="294271"/>
    <n v="0.20799999999999999"/>
    <n v="0.20799999999999999"/>
    <n v="0.20799999999999999"/>
    <m/>
    <n v="7.0000000000000007E-2"/>
    <n v="8.5000000000000006E-2"/>
    <n v="0.105"/>
    <n v="6.5000000000000002E-2"/>
    <n v="943682"/>
    <n v="1.42"/>
    <n v="46131"/>
    <n v="32501"/>
    <n v="1.67"/>
    <n v="79021"/>
    <n v="47276"/>
    <n v="1.83"/>
    <n v="144577"/>
    <n v="79170"/>
    <n v="1.93"/>
    <n v="146487"/>
    <n v="75989"/>
    <n v="3.29"/>
    <n v="588354"/>
    <n v="179015"/>
  </r>
  <r>
    <x v="121"/>
    <n v="5"/>
    <n v="14700"/>
    <n v="31151"/>
    <n v="29595"/>
    <n v="29595"/>
    <n v="183747"/>
    <n v="0.161"/>
    <n v="0.161"/>
    <n v="0.17"/>
    <m/>
    <n v="7.0000000000000007E-2"/>
    <n v="8.5000000000000006E-2"/>
    <n v="0.105"/>
    <n v="3.4000000000000002E-2"/>
    <n v="871783"/>
    <n v="1.34"/>
    <n v="55202"/>
    <n v="41231"/>
    <n v="2.39"/>
    <n v="152589"/>
    <n v="63967"/>
    <n v="5.48"/>
    <n v="367184"/>
    <n v="66963"/>
    <n v="5.22"/>
    <n v="338079"/>
    <n v="64759"/>
    <n v="2.81"/>
    <n v="601581"/>
    <n v="213889"/>
  </r>
  <r>
    <x v="122"/>
    <n v="5"/>
    <n v="2309"/>
    <n v="17824"/>
    <n v="17824"/>
    <n v="17824"/>
    <n v="28861"/>
    <n v="0.61799999999999999"/>
    <n v="0.61799999999999999"/>
    <n v="0.61799999999999999"/>
    <m/>
    <n v="7.0000000000000007E-2"/>
    <n v="8.5000000000000006E-2"/>
    <n v="0.105"/>
    <n v="0.93799999999999994"/>
    <n v="18999"/>
    <s v="3)"/>
    <s v="3)"/>
    <s v="3)"/>
    <s v="3)"/>
    <s v="3)"/>
    <s v="3)"/>
    <s v="3)"/>
    <s v="3)"/>
    <s v="3)"/>
    <s v="3)"/>
    <s v="3)"/>
    <s v="3)"/>
    <s v="3)"/>
    <s v="3)"/>
    <s v="3)"/>
  </r>
  <r>
    <x v="123"/>
    <n v="4"/>
    <n v="33778"/>
    <n v="67856"/>
    <n v="67856"/>
    <n v="67856"/>
    <n v="422223"/>
    <n v="0.161"/>
    <n v="0.161"/>
    <n v="0.161"/>
    <m/>
    <n v="7.3999999999999996E-2"/>
    <n v="0.09"/>
    <n v="0.112"/>
    <n v="5.0999999999999997E-2"/>
    <n v="1326946"/>
    <n v="1.87"/>
    <n v="312538"/>
    <n v="167098"/>
    <n v="1.68"/>
    <n v="318809"/>
    <n v="189942"/>
    <n v="2.0499999999999998"/>
    <n v="318027"/>
    <n v="155233"/>
    <n v="1.6"/>
    <n v="333188"/>
    <n v="207732"/>
    <n v="1.8"/>
    <n v="940465"/>
    <n v="522674"/>
  </r>
  <r>
    <x v="124"/>
    <n v="4"/>
    <n v="116927"/>
    <n v="393581"/>
    <n v="393581"/>
    <n v="393581"/>
    <n v="1461586"/>
    <n v="0.26900000000000002"/>
    <n v="0.26900000000000002"/>
    <n v="0.26900000000000002"/>
    <m/>
    <n v="7.3999999999999996E-2"/>
    <n v="0.09"/>
    <n v="0.112"/>
    <n v="0.112"/>
    <n v="3524123"/>
    <n v="1.76"/>
    <n v="794624"/>
    <n v="450451"/>
    <n v="1.76"/>
    <n v="838177"/>
    <n v="475360"/>
    <n v="1.81"/>
    <n v="869825"/>
    <n v="479838"/>
    <n v="1.79"/>
    <n v="855563"/>
    <n v="477961"/>
    <n v="1.68"/>
    <n v="2556128"/>
    <n v="1517723"/>
  </r>
  <r>
    <x v="125"/>
    <n v="5"/>
    <n v="10063"/>
    <n v="51480"/>
    <n v="51480"/>
    <n v="51480"/>
    <n v="125784"/>
    <n v="0.40899999999999997"/>
    <n v="0.40899999999999997"/>
    <n v="0.40899999999999997"/>
    <m/>
    <n v="7.0000000000000007E-2"/>
    <n v="8.5000000000000006E-2"/>
    <n v="0.105"/>
    <n v="0.11"/>
    <n v="469041"/>
    <n v="7.52"/>
    <n v="188163"/>
    <n v="25006"/>
    <n v="7.85"/>
    <n v="183496"/>
    <n v="23374"/>
    <n v="7.33"/>
    <n v="188218"/>
    <n v="25688"/>
    <n v="5.75"/>
    <n v="184159"/>
    <n v="32050"/>
    <n v="4.8"/>
    <n v="338023"/>
    <n v="70380"/>
  </r>
  <r>
    <x v="126"/>
    <n v="5"/>
    <n v="43057"/>
    <n v="132471"/>
    <n v="131538"/>
    <n v="131538"/>
    <n v="538217"/>
    <n v="0.24399999999999999"/>
    <n v="0.24399999999999999"/>
    <n v="0.246"/>
    <m/>
    <n v="7.0000000000000007E-2"/>
    <n v="8.5000000000000006E-2"/>
    <n v="0.105"/>
    <n v="8.2000000000000003E-2"/>
    <n v="1612426"/>
    <n v="1.48"/>
    <n v="481972"/>
    <n v="326453"/>
    <n v="1.65"/>
    <n v="526755"/>
    <n v="318412"/>
    <n v="1.46"/>
    <n v="506978"/>
    <n v="347905"/>
    <n v="1.56"/>
    <n v="590827"/>
    <n v="379532"/>
    <n v="1.67"/>
    <n v="975035"/>
    <n v="583532"/>
  </r>
  <r>
    <x v="127"/>
    <n v="5"/>
    <n v="39780"/>
    <n v="172199"/>
    <n v="147199"/>
    <n v="147199"/>
    <n v="497253"/>
    <n v="0.29599999999999999"/>
    <n v="0.29599999999999999"/>
    <n v="0.34599999999999997"/>
    <m/>
    <n v="7.0000000000000007E-2"/>
    <n v="8.5000000000000006E-2"/>
    <n v="0.105"/>
    <n v="0.13300000000000001"/>
    <n v="1109823"/>
    <n v="4.26"/>
    <n v="56225"/>
    <n v="13200"/>
    <n v="4.41"/>
    <n v="54489"/>
    <n v="12344"/>
    <n v="4.24"/>
    <n v="56653"/>
    <n v="13373"/>
    <n v="4.74"/>
    <n v="62502"/>
    <n v="13182"/>
    <n v="1.23"/>
    <n v="716346"/>
    <n v="581336"/>
  </r>
  <r>
    <x v="128"/>
    <n v="5"/>
    <n v="1461"/>
    <n v="3250"/>
    <n v="3250"/>
    <n v="3250"/>
    <n v="18260"/>
    <n v="0.17799999999999999"/>
    <n v="0.17799999999999999"/>
    <n v="0.17799999999999999"/>
    <m/>
    <n v="7.0000000000000007E-2"/>
    <n v="8.5000000000000006E-2"/>
    <n v="0.105"/>
    <n v="0.44600000000000001"/>
    <n v="7287"/>
    <n v="39.35"/>
    <n v="4431"/>
    <n v="113"/>
    <n v="7.53"/>
    <n v="402"/>
    <n v="53"/>
    <n v="12.72"/>
    <n v="602"/>
    <n v="47"/>
    <n v="12.48"/>
    <n v="603"/>
    <n v="48"/>
    <n v="1.68"/>
    <n v="5003"/>
    <n v="2980"/>
  </r>
  <r>
    <x v="129"/>
    <n v="5"/>
    <n v="8820"/>
    <n v="55733"/>
    <n v="55733"/>
    <n v="55733"/>
    <n v="110252"/>
    <n v="0.50600000000000001"/>
    <n v="0.50600000000000001"/>
    <n v="0.50600000000000001"/>
    <m/>
    <n v="7.0000000000000007E-2"/>
    <n v="8.5000000000000006E-2"/>
    <n v="0.105"/>
    <n v="0.157"/>
    <n v="354652"/>
    <n v="4.24"/>
    <n v="104160"/>
    <n v="24571"/>
    <n v="4.25"/>
    <n v="106755"/>
    <n v="25100"/>
    <n v="2.4"/>
    <n v="57240"/>
    <n v="23843"/>
    <n v="1.92"/>
    <n v="79143"/>
    <n v="41269"/>
    <n v="1.34"/>
    <n v="191660"/>
    <n v="143192"/>
  </r>
  <r>
    <x v="130"/>
    <n v="5"/>
    <n v="10000"/>
    <n v="15786"/>
    <n v="15786"/>
    <n v="15786"/>
    <n v="42147"/>
    <n v="0.375"/>
    <n v="0.375"/>
    <n v="0.375"/>
    <m/>
    <n v="7.0000000000000007E-2"/>
    <n v="8.5000000000000006E-2"/>
    <n v="0.105"/>
    <n v="5.0999999999999997E-2"/>
    <n v="311725"/>
    <n v="3.22"/>
    <n v="82419"/>
    <n v="25560"/>
    <n v="3.24"/>
    <n v="207541"/>
    <n v="64041"/>
    <n v="3.15"/>
    <n v="249898"/>
    <n v="79409"/>
    <n v="6.83"/>
    <n v="129577"/>
    <n v="18969"/>
    <n v="1.51"/>
    <n v="183479"/>
    <n v="121526"/>
  </r>
  <r>
    <x v="131"/>
    <n v="4"/>
    <n v="127827"/>
    <n v="265479"/>
    <n v="252861"/>
    <n v="252861"/>
    <n v="1597842"/>
    <n v="0.158"/>
    <n v="0.158"/>
    <n v="0.16600000000000001"/>
    <m/>
    <n v="7.3999999999999996E-2"/>
    <n v="0.09"/>
    <n v="0.112"/>
    <n v="7.5999999999999998E-2"/>
    <n v="3327527"/>
    <n v="1.56"/>
    <n v="441588"/>
    <n v="282480"/>
    <n v="1.7"/>
    <n v="489079"/>
    <n v="288333"/>
    <n v="1.69"/>
    <n v="530969"/>
    <n v="314995"/>
    <n v="1.56"/>
    <n v="500023"/>
    <n v="320830"/>
    <n v="1.25"/>
    <n v="2590314"/>
    <n v="2066167"/>
  </r>
  <r>
    <x v="132"/>
    <n v="5"/>
    <n v="948"/>
    <n v="2978"/>
    <n v="2978"/>
    <n v="2978"/>
    <n v="11853"/>
    <n v="0.251"/>
    <n v="0.251"/>
    <n v="0.251"/>
    <m/>
    <n v="7.0000000000000007E-2"/>
    <n v="8.5000000000000006E-2"/>
    <n v="0.105"/>
    <n v="0.109"/>
    <n v="27203"/>
    <n v="2.08"/>
    <n v="14105"/>
    <n v="6781"/>
    <n v="1.68"/>
    <n v="15059"/>
    <n v="8989"/>
    <n v="2.08"/>
    <n v="15131"/>
    <n v="7280"/>
    <n v="2.0299999999999998"/>
    <n v="16914"/>
    <n v="8346"/>
    <n v="2.36"/>
    <n v="14693"/>
    <n v="6235"/>
  </r>
  <r>
    <x v="133"/>
    <n v="4"/>
    <n v="77359"/>
    <n v="121968"/>
    <n v="96858"/>
    <n v="121968"/>
    <n v="966983"/>
    <n v="0.1"/>
    <n v="0.126"/>
    <n v="0.126"/>
    <m/>
    <n v="7.3999999999999996E-2"/>
    <n v="0.09"/>
    <n v="0.112"/>
    <n v="3.9E-2"/>
    <n v="3132303"/>
    <n v="2.1"/>
    <n v="438551"/>
    <n v="208925"/>
    <n v="2.19"/>
    <n v="456125"/>
    <n v="207933"/>
    <n v="2.65"/>
    <n v="489339"/>
    <n v="184862"/>
    <n v="2.79"/>
    <n v="543753"/>
    <n v="194858"/>
    <n v="1.59"/>
    <n v="1830173"/>
    <n v="1153518"/>
  </r>
  <r>
    <x v="134"/>
    <n v="4"/>
    <n v="103840"/>
    <n v="247255"/>
    <n v="247255"/>
    <n v="247255"/>
    <n v="1298006"/>
    <n v="0.19"/>
    <n v="0.19"/>
    <n v="0.19"/>
    <m/>
    <n v="7.3999999999999996E-2"/>
    <n v="0.09"/>
    <n v="0.112"/>
    <n v="4.2999999999999997E-2"/>
    <n v="5730398"/>
    <n v="1.35"/>
    <n v="2980061"/>
    <n v="2212730"/>
    <n v="1.27"/>
    <n v="2502808"/>
    <n v="1965189"/>
    <n v="1.24"/>
    <n v="2656431"/>
    <n v="2144009"/>
    <n v="1.26"/>
    <n v="2899732"/>
    <n v="2305999"/>
    <n v="2.21"/>
    <n v="2806533"/>
    <n v="1271088"/>
  </r>
  <r>
    <x v="135"/>
    <n v="5"/>
    <n v="17274"/>
    <n v="81079"/>
    <n v="81079"/>
    <n v="81079"/>
    <n v="215920"/>
    <n v="0.376"/>
    <n v="0.376"/>
    <n v="0.376"/>
    <m/>
    <n v="7.0000000000000007E-2"/>
    <n v="8.5000000000000006E-2"/>
    <n v="0.105"/>
    <n v="0.23100000000000001"/>
    <n v="350329"/>
    <s v="3)"/>
    <s v="3)"/>
    <s v="3)"/>
    <s v="3)"/>
    <s v="3)"/>
    <s v="3)"/>
    <s v="3)"/>
    <s v="3)"/>
    <s v="3)"/>
    <s v="3)"/>
    <s v="3)"/>
    <s v="3)"/>
    <s v="3)"/>
    <s v="3)"/>
    <s v="3)"/>
  </r>
  <r>
    <x v="136"/>
    <n v="5"/>
    <n v="13223"/>
    <n v="59272"/>
    <n v="59272"/>
    <n v="59272"/>
    <n v="165285"/>
    <n v="0.35899999999999999"/>
    <n v="0.35899999999999999"/>
    <n v="0.35899999999999999"/>
    <m/>
    <n v="7.0000000000000007E-2"/>
    <n v="8.5000000000000006E-2"/>
    <n v="0.105"/>
    <n v="5.7000000000000002E-2"/>
    <n v="1038467"/>
    <n v="1.85"/>
    <n v="516696"/>
    <n v="279040"/>
    <n v="1.68"/>
    <n v="544958"/>
    <n v="324452"/>
    <n v="1.59"/>
    <n v="600068"/>
    <n v="377491"/>
    <n v="1.46"/>
    <n v="670192"/>
    <n v="460544"/>
    <n v="2.65"/>
    <n v="282988"/>
    <n v="106734"/>
  </r>
  <r>
    <x v="137"/>
    <n v="5"/>
    <n v="51696"/>
    <n v="128751"/>
    <n v="128751"/>
    <n v="128751"/>
    <n v="646203"/>
    <n v="0.19900000000000001"/>
    <n v="0.19900000000000001"/>
    <n v="0.19900000000000001"/>
    <m/>
    <n v="7.0000000000000007E-2"/>
    <n v="8.5000000000000006E-2"/>
    <n v="0.105"/>
    <n v="7.1999999999999995E-2"/>
    <n v="1782061"/>
    <n v="1.59"/>
    <n v="286467"/>
    <n v="179632"/>
    <n v="1.6"/>
    <n v="297079"/>
    <n v="185765"/>
    <n v="1.68"/>
    <n v="343594"/>
    <n v="204094"/>
    <n v="1.55"/>
    <n v="349583"/>
    <n v="226085"/>
    <n v="1.51"/>
    <n v="1480659"/>
    <n v="982160"/>
  </r>
  <r>
    <x v="138"/>
    <n v="5"/>
    <n v="203802"/>
    <n v="573612"/>
    <n v="573513"/>
    <n v="573513"/>
    <n v="2547530"/>
    <n v="0.22500000000000001"/>
    <n v="0.22500000000000001"/>
    <n v="0.22500000000000001"/>
    <m/>
    <n v="7.0000000000000007E-2"/>
    <n v="8.5000000000000006E-2"/>
    <n v="0.105"/>
    <n v="0.183"/>
    <n v="3140123"/>
    <n v="1.39"/>
    <n v="820016"/>
    <n v="589630"/>
    <n v="1.76"/>
    <n v="677299"/>
    <n v="384098"/>
    <n v="1.63"/>
    <n v="596440"/>
    <n v="365502"/>
    <n v="1.43"/>
    <n v="666243"/>
    <n v="465657"/>
    <n v="1.28"/>
    <n v="1431847"/>
    <n v="1121304"/>
  </r>
  <r>
    <x v="139"/>
    <n v="4"/>
    <n v="312200"/>
    <n v="1087700"/>
    <n v="1072029"/>
    <n v="1072029"/>
    <n v="3902500"/>
    <n v="0.27500000000000002"/>
    <n v="0.27500000000000002"/>
    <n v="0.27900000000000003"/>
    <m/>
    <n v="7.3999999999999996E-2"/>
    <n v="0.09"/>
    <n v="0.112"/>
    <n v="0.114"/>
    <n v="9426486"/>
    <n v="1.51"/>
    <n v="1663133"/>
    <n v="1099778"/>
    <n v="1.55"/>
    <n v="1637345"/>
    <n v="1056968"/>
    <n v="1.61"/>
    <n v="1651990"/>
    <n v="1023944"/>
    <n v="1.36"/>
    <n v="1683202"/>
    <n v="1239078"/>
    <n v="1.3"/>
    <n v="6911572"/>
    <n v="5310717"/>
  </r>
  <r>
    <x v="140"/>
    <n v="4"/>
    <n v="43479"/>
    <n v="151486"/>
    <n v="151486"/>
    <n v="151486"/>
    <n v="543484"/>
    <n v="0.27900000000000003"/>
    <n v="0.27900000000000003"/>
    <n v="0.27900000000000003"/>
    <m/>
    <n v="7.3999999999999996E-2"/>
    <n v="0.09"/>
    <n v="0.112"/>
    <n v="0.13600000000000001"/>
    <n v="1115044"/>
    <n v="3.75"/>
    <n v="480822"/>
    <n v="128217"/>
    <n v="4.55"/>
    <n v="446569"/>
    <n v="98253"/>
    <n v="4.9800000000000004"/>
    <n v="389572"/>
    <n v="78156"/>
    <n v="5.0599999999999996"/>
    <n v="427531"/>
    <n v="84503"/>
    <n v="2.4500000000000002"/>
    <n v="835547"/>
    <n v="341344"/>
  </r>
  <r>
    <x v="141"/>
    <n v="3"/>
    <n v="727422"/>
    <n v="2087329"/>
    <n v="1981433"/>
    <n v="1981433"/>
    <n v="9092771"/>
    <n v="0.218"/>
    <n v="0.218"/>
    <n v="0.23"/>
    <m/>
    <n v="7.8E-2"/>
    <n v="9.6000000000000002E-2"/>
    <n v="0.12"/>
    <n v="8.5999999999999993E-2"/>
    <n v="23003319"/>
    <n v="1.64"/>
    <n v="3642558"/>
    <n v="2220957"/>
    <n v="1.59"/>
    <n v="3733278"/>
    <n v="2349733"/>
    <n v="1.37"/>
    <n v="3804390"/>
    <n v="2778448"/>
    <n v="1.47"/>
    <n v="4160373"/>
    <n v="2820967"/>
    <n v="1.52"/>
    <n v="16864977"/>
    <n v="11075246"/>
  </r>
  <r>
    <x v="142"/>
    <n v="5"/>
    <n v="10534"/>
    <n v="98388"/>
    <n v="90038"/>
    <n v="90038"/>
    <n v="131676"/>
    <n v="0.68400000000000005"/>
    <n v="0.68400000000000005"/>
    <n v="0.747"/>
    <m/>
    <n v="7.0000000000000007E-2"/>
    <n v="8.5000000000000006E-2"/>
    <n v="0.105"/>
    <n v="0.1"/>
    <n v="901931"/>
    <n v="9.84"/>
    <n v="673035"/>
    <n v="68372"/>
    <n v="10.199999999999999"/>
    <n v="860471"/>
    <n v="84361"/>
    <n v="12.65"/>
    <n v="756478"/>
    <n v="59780"/>
    <n v="15.51"/>
    <n v="705853"/>
    <n v="45520"/>
    <n v="7.09"/>
    <n v="728753"/>
    <n v="102833"/>
  </r>
  <r>
    <x v="143"/>
    <n v="5"/>
    <n v="15131"/>
    <n v="33544"/>
    <n v="33544"/>
    <n v="33544"/>
    <n v="189143"/>
    <n v="0.17699999999999999"/>
    <n v="0.17699999999999999"/>
    <n v="0.17699999999999999"/>
    <m/>
    <n v="7.0000000000000007E-2"/>
    <n v="8.5000000000000006E-2"/>
    <n v="0.105"/>
    <n v="8.6999999999999994E-2"/>
    <n v="385751"/>
    <n v="1.41"/>
    <n v="39042"/>
    <n v="27615"/>
    <n v="1.35"/>
    <n v="53702"/>
    <n v="39813"/>
    <n v="1.56"/>
    <n v="57323"/>
    <n v="36729"/>
    <n v="1.77"/>
    <n v="153225"/>
    <n v="86754"/>
    <n v="2.0099999999999998"/>
    <n v="231365"/>
    <n v="114946"/>
  </r>
  <r>
    <x v="144"/>
    <n v="5"/>
    <n v="43569"/>
    <n v="97414"/>
    <n v="96255"/>
    <n v="96255"/>
    <n v="544616"/>
    <n v="0.17699999999999999"/>
    <n v="0.17699999999999999"/>
    <n v="0.17899999999999999"/>
    <m/>
    <n v="7.0000000000000007E-2"/>
    <n v="8.5000000000000006E-2"/>
    <n v="0.105"/>
    <n v="6.5000000000000002E-2"/>
    <n v="1485632"/>
    <s v="3)"/>
    <s v="3)"/>
    <s v="3)"/>
    <s v="3)"/>
    <s v="3)"/>
    <s v="3)"/>
    <s v="3)"/>
    <s v="3)"/>
    <s v="3)"/>
    <s v="3)"/>
    <s v="3)"/>
    <s v="3)"/>
    <s v="3)"/>
    <s v="3)"/>
    <s v="3)"/>
  </r>
  <r>
    <x v="145"/>
    <n v="5"/>
    <n v="778"/>
    <n v="2670"/>
    <n v="2640"/>
    <n v="2640"/>
    <n v="9727"/>
    <n v="0.27100000000000002"/>
    <n v="0.27100000000000002"/>
    <n v="0.27400000000000002"/>
    <m/>
    <n v="7.0000000000000007E-2"/>
    <n v="8.5000000000000006E-2"/>
    <n v="0.105"/>
    <n v="4.2000000000000003E-2"/>
    <n v="62309"/>
    <n v="3.55"/>
    <n v="10947"/>
    <n v="3083"/>
    <n v="3.37"/>
    <n v="8216"/>
    <n v="2438"/>
    <n v="2.99"/>
    <n v="8253"/>
    <n v="2759"/>
    <n v="2.61"/>
    <n v="21791"/>
    <n v="8347"/>
    <n v="3.05"/>
    <n v="30622"/>
    <n v="10025"/>
  </r>
  <r>
    <x v="146"/>
    <n v="5"/>
    <n v="7547"/>
    <n v="16743"/>
    <n v="16743"/>
    <n v="16743"/>
    <n v="94339"/>
    <n v="0.17699999999999999"/>
    <n v="0.17699999999999999"/>
    <n v="0.17699999999999999"/>
    <m/>
    <n v="7.0000000000000007E-2"/>
    <n v="8.5000000000000006E-2"/>
    <n v="0.105"/>
    <n v="4.5999999999999999E-2"/>
    <n v="363105"/>
    <s v="3)"/>
    <s v="3)"/>
    <s v="3)"/>
    <s v="3)"/>
    <s v="3)"/>
    <s v="3)"/>
    <s v="3)"/>
    <s v="3)"/>
    <s v="3)"/>
    <s v="3)"/>
    <s v="3)"/>
    <s v="3)"/>
    <s v="3)"/>
    <s v="3)"/>
    <s v="3)"/>
  </r>
  <r>
    <x v="147"/>
    <n v="4"/>
    <n v="163726"/>
    <n v="446413"/>
    <n v="446413"/>
    <n v="446413"/>
    <n v="2046569"/>
    <n v="0.218"/>
    <n v="0.218"/>
    <n v="0.218"/>
    <m/>
    <n v="7.3999999999999996E-2"/>
    <n v="0.09"/>
    <n v="0.112"/>
    <n v="5.8999999999999997E-2"/>
    <n v="7612451"/>
    <n v="1.59"/>
    <n v="886828"/>
    <n v="556679"/>
    <n v="1.6"/>
    <n v="945510"/>
    <n v="590667"/>
    <n v="1.64"/>
    <n v="978794"/>
    <n v="596982"/>
    <n v="1.55"/>
    <n v="976325"/>
    <n v="628578"/>
    <n v="1.44"/>
    <n v="3563105"/>
    <n v="2470593"/>
  </r>
  <r>
    <x v="148"/>
    <n v="5"/>
    <n v="23134"/>
    <n v="68015"/>
    <n v="68015"/>
    <n v="68015"/>
    <n v="289176"/>
    <n v="0.23499999999999999"/>
    <n v="0.23499999999999999"/>
    <n v="0.23499999999999999"/>
    <m/>
    <n v="7.0000000000000007E-2"/>
    <n v="8.5000000000000006E-2"/>
    <n v="0.105"/>
    <n v="0.109"/>
    <n v="626540"/>
    <n v="2.2400000000000002"/>
    <n v="73173"/>
    <n v="32598"/>
    <n v="2.2599999999999998"/>
    <n v="78879"/>
    <n v="34946"/>
    <n v="2.2599999999999998"/>
    <n v="80717"/>
    <n v="35707"/>
    <n v="2.19"/>
    <n v="84355"/>
    <n v="38517"/>
    <n v="1.35"/>
    <n v="538278"/>
    <n v="398341"/>
  </r>
  <r>
    <x v="149"/>
    <n v="3"/>
    <n v="1291440"/>
    <n v="2817454"/>
    <n v="2580645"/>
    <n v="2680645"/>
    <n v="16142996"/>
    <n v="0.16"/>
    <n v="0.16600000000000001"/>
    <n v="0.17499999999999999"/>
    <m/>
    <n v="7.8E-2"/>
    <n v="9.6000000000000002E-2"/>
    <n v="0.12"/>
    <n v="6.6000000000000003E-2"/>
    <n v="40561826"/>
    <n v="1.42"/>
    <n v="7584238"/>
    <n v="5349587"/>
    <n v="1.54"/>
    <n v="7787318"/>
    <n v="5058695"/>
    <n v="1.59"/>
    <n v="8550522"/>
    <n v="5367964"/>
    <n v="1.37"/>
    <n v="8123282"/>
    <n v="5937036"/>
    <n v="1.34"/>
    <n v="29399094"/>
    <n v="21858669"/>
  </r>
  <r>
    <x v="150"/>
    <n v="5"/>
    <n v="17618"/>
    <n v="49935"/>
    <n v="49935"/>
    <n v="49935"/>
    <n v="220228"/>
    <n v="0.22700000000000001"/>
    <n v="0.22700000000000001"/>
    <n v="0.22700000000000001"/>
    <m/>
    <n v="7.0000000000000007E-2"/>
    <n v="8.5000000000000006E-2"/>
    <n v="0.105"/>
    <n v="0.124"/>
    <n v="403560"/>
    <n v="3.01"/>
    <n v="134279"/>
    <n v="44537"/>
    <n v="3.05"/>
    <n v="127519"/>
    <n v="41855"/>
    <n v="2.91"/>
    <n v="121819"/>
    <n v="41924"/>
    <n v="2.16"/>
    <n v="108224"/>
    <n v="50110"/>
    <n v="1.53"/>
    <n v="358793"/>
    <n v="235224"/>
  </r>
  <r>
    <x v="151"/>
    <n v="4"/>
    <n v="141726"/>
    <n v="445073"/>
    <n v="443764"/>
    <n v="443764"/>
    <n v="1771575"/>
    <n v="0.25"/>
    <n v="0.25"/>
    <n v="0.251"/>
    <m/>
    <n v="7.3999999999999996E-2"/>
    <n v="0.09"/>
    <n v="0.112"/>
    <n v="5.0999999999999997E-2"/>
    <n v="8740371"/>
    <n v="3.63"/>
    <n v="4244330"/>
    <n v="1168146"/>
    <n v="3.42"/>
    <n v="4455601"/>
    <n v="1303290"/>
    <n v="3.42"/>
    <n v="4775565"/>
    <n v="1397300"/>
    <n v="2.93"/>
    <n v="5205264"/>
    <n v="1778104"/>
    <n v="3.3"/>
    <n v="6162667"/>
    <n v="1869198"/>
  </r>
  <r>
    <x v="152"/>
    <n v="4"/>
    <n v="162091"/>
    <n v="531794"/>
    <n v="530486"/>
    <n v="530486"/>
    <n v="2026141"/>
    <n v="0.26200000000000001"/>
    <n v="0.26200000000000001"/>
    <n v="0.26200000000000001"/>
    <m/>
    <n v="7.3999999999999996E-2"/>
    <n v="0.09"/>
    <n v="0.112"/>
    <n v="5.8000000000000003E-2"/>
    <n v="9211292"/>
    <n v="3.89"/>
    <n v="4286802"/>
    <n v="1101438"/>
    <n v="3.68"/>
    <n v="4510353"/>
    <n v="1226546"/>
    <n v="3.88"/>
    <n v="4826203"/>
    <n v="1243001"/>
    <n v="3.28"/>
    <n v="5248305"/>
    <n v="1600084"/>
    <m/>
    <m/>
    <m/>
  </r>
  <r>
    <x v="153"/>
    <n v="5"/>
    <n v="14757"/>
    <n v="114379"/>
    <n v="114379"/>
    <n v="114379"/>
    <n v="184459"/>
    <n v="0.62"/>
    <n v="0.62"/>
    <n v="0.62"/>
    <m/>
    <n v="7.0000000000000007E-2"/>
    <n v="8.5000000000000006E-2"/>
    <n v="0.105"/>
    <n v="0.20899999999999999"/>
    <n v="547025"/>
    <n v="3.94"/>
    <n v="25415"/>
    <n v="6450"/>
    <n v="2.92"/>
    <n v="100805"/>
    <n v="34519"/>
    <n v="2.73"/>
    <n v="112027"/>
    <n v="41059"/>
    <n v="2.83"/>
    <n v="224251"/>
    <n v="79193"/>
    <n v="2.66"/>
    <n v="347593"/>
    <n v="130580"/>
  </r>
  <r>
    <x v="154"/>
    <n v="5"/>
    <n v="1876"/>
    <n v="13675"/>
    <n v="13675"/>
    <n v="13675"/>
    <n v="23452"/>
    <n v="0.58299999999999996"/>
    <n v="0.58299999999999996"/>
    <n v="0.58299999999999996"/>
    <m/>
    <n v="7.0000000000000007E-2"/>
    <n v="8.5000000000000006E-2"/>
    <n v="0.105"/>
    <n v="0.85199999999999998"/>
    <n v="16053"/>
    <s v="n/a"/>
    <s v="n/a"/>
    <s v="n/a"/>
    <s v="n/a"/>
    <s v="n/a"/>
    <s v="n/a"/>
    <s v="n/a"/>
    <s v="n/a"/>
    <s v="n/a"/>
    <s v="n/a"/>
    <s v="n/a"/>
    <s v="n/a"/>
    <n v="3.47"/>
    <n v="14216"/>
    <n v="4098"/>
  </r>
  <r>
    <x v="155"/>
    <n v="5"/>
    <n v="14894"/>
    <n v="30005"/>
    <n v="30005"/>
    <n v="30005"/>
    <n v="186180"/>
    <n v="0.161"/>
    <n v="0.161"/>
    <n v="0.161"/>
    <m/>
    <n v="7.0000000000000007E-2"/>
    <n v="8.5000000000000006E-2"/>
    <n v="0.105"/>
    <n v="0.13600000000000001"/>
    <n v="219904"/>
    <n v="2.2799999999999998"/>
    <n v="25472"/>
    <n v="11161"/>
    <n v="2.92"/>
    <n v="33303"/>
    <n v="11416"/>
    <n v="3.22"/>
    <n v="37617"/>
    <n v="11691"/>
    <n v="3.04"/>
    <n v="36329"/>
    <n v="11937"/>
    <n v="1.49"/>
    <n v="124853"/>
    <n v="83953"/>
  </r>
  <r>
    <x v="156"/>
    <n v="3"/>
    <n v="1058112"/>
    <n v="2438604"/>
    <n v="2384753"/>
    <n v="2384753"/>
    <n v="13226405"/>
    <n v="0.18"/>
    <n v="0.18"/>
    <n v="0.184"/>
    <m/>
    <n v="7.8E-2"/>
    <n v="9.6000000000000002E-2"/>
    <n v="0.12"/>
    <n v="7.6999999999999999E-2"/>
    <n v="31079119"/>
    <n v="1.7"/>
    <n v="5823240"/>
    <n v="3417141"/>
    <n v="1.84"/>
    <n v="6327666"/>
    <n v="3436409"/>
    <n v="1.86"/>
    <n v="6577627"/>
    <n v="3536529"/>
    <n v="1.57"/>
    <n v="6561232"/>
    <n v="4175639"/>
    <n v="1.37"/>
    <n v="23692057"/>
    <n v="17298512"/>
  </r>
  <r>
    <x v="157"/>
    <n v="3"/>
    <n v="674487"/>
    <n v="2127990"/>
    <n v="2123990"/>
    <n v="2123990"/>
    <n v="8431085"/>
    <n v="0.252"/>
    <n v="0.252"/>
    <n v="0.252"/>
    <m/>
    <n v="7.8E-2"/>
    <n v="9.6000000000000002E-2"/>
    <n v="0.12"/>
    <n v="5.3999999999999999E-2"/>
    <n v="39281926"/>
    <n v="2.4"/>
    <n v="10903515"/>
    <n v="4536618"/>
    <n v="2.29"/>
    <n v="10269216"/>
    <n v="4474673"/>
    <n v="2.3199999999999998"/>
    <n v="10823333"/>
    <n v="4662219"/>
    <n v="2.1800000000000002"/>
    <n v="10274605"/>
    <n v="4710136"/>
    <n v="1.63"/>
    <n v="23026858"/>
    <n v="14160512"/>
  </r>
  <r>
    <x v="158"/>
    <n v="4"/>
    <n v="131783"/>
    <n v="327274"/>
    <n v="318269"/>
    <n v="318269"/>
    <n v="1647290"/>
    <n v="0.193"/>
    <n v="0.193"/>
    <n v="0.19900000000000001"/>
    <m/>
    <n v="7.3999999999999996E-2"/>
    <n v="0.09"/>
    <n v="0.112"/>
    <n v="8.6999999999999994E-2"/>
    <n v="3647777"/>
    <n v="1.9"/>
    <n v="547734"/>
    <n v="288766"/>
    <n v="1.71"/>
    <n v="580400"/>
    <n v="340347"/>
    <n v="1.82"/>
    <n v="546124"/>
    <n v="299286"/>
    <n v="1.7"/>
    <n v="519293"/>
    <n v="306220"/>
    <n v="1.26"/>
    <n v="2995187"/>
    <n v="2376346"/>
  </r>
  <r>
    <x v="159"/>
    <n v="3"/>
    <n v="1142193"/>
    <n v="2359886"/>
    <n v="2355294"/>
    <n v="2355294"/>
    <n v="14277415"/>
    <n v="0.16500000000000001"/>
    <n v="0.16500000000000001"/>
    <n v="0.16500000000000001"/>
    <m/>
    <n v="7.8E-2"/>
    <n v="9.6000000000000002E-2"/>
    <n v="0.12"/>
    <n v="6.5000000000000002E-2"/>
    <n v="36170880"/>
    <n v="1.66"/>
    <n v="7267961"/>
    <n v="4373581"/>
    <n v="1.56"/>
    <n v="7415341"/>
    <n v="4746799"/>
    <n v="1.61"/>
    <n v="7945253"/>
    <n v="4929390"/>
    <n v="1.52"/>
    <n v="7722898"/>
    <n v="5093739"/>
    <n v="1.19"/>
    <n v="27575196"/>
    <n v="23091259"/>
  </r>
  <r>
    <x v="160"/>
    <n v="3"/>
    <n v="1152665"/>
    <n v="2307811"/>
    <n v="2303219"/>
    <n v="2303219"/>
    <n v="14408311"/>
    <n v="0.16"/>
    <n v="0.16"/>
    <n v="0.16"/>
    <m/>
    <n v="7.8E-2"/>
    <n v="9.6000000000000002E-2"/>
    <n v="0.12"/>
    <n v="6.0999999999999999E-2"/>
    <n v="37861935"/>
    <s v="3)"/>
    <s v="3)"/>
    <s v="3)"/>
    <s v="3)"/>
    <s v="3)"/>
    <s v="3)"/>
    <s v="3)"/>
    <s v="3)"/>
    <s v="3)"/>
    <s v="3)"/>
    <s v="3)"/>
    <s v="3)"/>
    <s v="3)"/>
    <s v="3)"/>
    <s v="3)"/>
  </r>
  <r>
    <x v="161"/>
    <n v="3"/>
    <n v="529384"/>
    <n v="1549823"/>
    <n v="1100730"/>
    <n v="1549823"/>
    <n v="6617303"/>
    <n v="0.16600000000000001"/>
    <n v="0.23400000000000001"/>
    <n v="0.23400000000000001"/>
    <m/>
    <n v="7.8E-2"/>
    <n v="9.6000000000000002E-2"/>
    <n v="0.12"/>
    <n v="4.9000000000000002E-2"/>
    <n v="31935628"/>
    <n v="1.41"/>
    <n v="8378541"/>
    <n v="5932110"/>
    <n v="1.35"/>
    <n v="8749075"/>
    <n v="6459337"/>
    <n v="1.42"/>
    <n v="8985612"/>
    <n v="6338578"/>
    <n v="1.4"/>
    <n v="9562662"/>
    <n v="6834563"/>
    <n v="1.1399999999999999"/>
    <n v="14003917"/>
    <n v="12276790"/>
  </r>
  <r>
    <x v="162"/>
    <n v="4"/>
    <n v="49518"/>
    <n v="110707"/>
    <n v="102907"/>
    <n v="102907"/>
    <n v="618980"/>
    <n v="0.16600000000000001"/>
    <n v="0.16600000000000001"/>
    <n v="0.17899999999999999"/>
    <m/>
    <n v="7.3999999999999996E-2"/>
    <n v="0.09"/>
    <n v="0.112"/>
    <n v="4.3999999999999997E-2"/>
    <n v="2326133"/>
    <n v="1.52"/>
    <n v="315874"/>
    <n v="207861"/>
    <n v="1.39"/>
    <n v="312549"/>
    <n v="224858"/>
    <n v="1.5"/>
    <n v="319894"/>
    <n v="212566"/>
    <n v="1.48"/>
    <n v="321777"/>
    <n v="216747"/>
    <n v="2.56"/>
    <n v="1593955"/>
    <n v="623798"/>
  </r>
  <r>
    <x v="163"/>
    <n v="4"/>
    <n v="146993"/>
    <n v="461982"/>
    <n v="461982"/>
    <n v="461982"/>
    <n v="1837408"/>
    <n v="0.251"/>
    <n v="0.251"/>
    <n v="0.251"/>
    <m/>
    <n v="7.3999999999999996E-2"/>
    <n v="0.09"/>
    <n v="0.112"/>
    <n v="8.4000000000000005E-2"/>
    <n v="5526197"/>
    <n v="2.14"/>
    <n v="1511303"/>
    <n v="706821"/>
    <n v="2.0499999999999998"/>
    <n v="1574594"/>
    <n v="767164"/>
    <n v="2.12"/>
    <n v="1613678"/>
    <n v="760232"/>
    <n v="1.87"/>
    <n v="1605575"/>
    <n v="857934"/>
    <n v="1.66"/>
    <n v="4046974"/>
    <n v="2434837"/>
  </r>
  <r>
    <x v="164"/>
    <n v="4"/>
    <n v="188094"/>
    <n v="520544"/>
    <n v="520544"/>
    <n v="520544"/>
    <n v="2351180"/>
    <n v="0.221"/>
    <n v="0.221"/>
    <n v="0.221"/>
    <m/>
    <n v="7.3999999999999996E-2"/>
    <n v="0.09"/>
    <n v="0.112"/>
    <n v="0.09"/>
    <n v="5773916"/>
    <s v="3)"/>
    <s v="3)"/>
    <s v="3)"/>
    <s v="3)"/>
    <s v="3)"/>
    <s v="3)"/>
    <s v="3)"/>
    <s v="3)"/>
    <s v="3)"/>
    <s v="3)"/>
    <s v="3)"/>
    <s v="3)"/>
    <s v="3)"/>
    <s v="3)"/>
    <s v="3)"/>
  </r>
  <r>
    <x v="165"/>
    <n v="4"/>
    <n v="271559"/>
    <n v="569331"/>
    <n v="480136"/>
    <n v="480136"/>
    <n v="3394487"/>
    <n v="0.14099999999999999"/>
    <n v="0.14099999999999999"/>
    <n v="0.16800000000000001"/>
    <m/>
    <n v="7.3999999999999996E-2"/>
    <n v="0.09"/>
    <n v="0.112"/>
    <n v="0.08"/>
    <n v="6008979"/>
    <n v="1.8"/>
    <n v="498197"/>
    <n v="276322"/>
    <n v="2.0099999999999998"/>
    <n v="481429"/>
    <n v="239810"/>
    <n v="1.87"/>
    <n v="564362"/>
    <n v="301728"/>
    <n v="1.91"/>
    <n v="555298"/>
    <n v="290763"/>
    <n v="1.24"/>
    <n v="4441276"/>
    <n v="3584920"/>
  </r>
  <r>
    <x v="166"/>
    <n v="3"/>
    <n v="594742"/>
    <n v="1333460"/>
    <n v="1333460"/>
    <n v="1333460"/>
    <n v="7434275"/>
    <n v="0.17899999999999999"/>
    <n v="0.17899999999999999"/>
    <n v="0.17899999999999999"/>
    <m/>
    <n v="7.8E-2"/>
    <n v="9.6000000000000002E-2"/>
    <n v="0.12"/>
    <n v="7.1999999999999995E-2"/>
    <n v="18463017"/>
    <n v="1.59"/>
    <n v="2999711"/>
    <n v="1886727"/>
    <n v="1.53"/>
    <n v="3204404"/>
    <n v="2099535"/>
    <n v="1.55"/>
    <n v="3440803"/>
    <n v="2216705"/>
    <n v="1.4"/>
    <n v="3523806"/>
    <n v="2515950"/>
    <n v="1.37"/>
    <n v="13782636"/>
    <n v="10050963"/>
  </r>
  <r>
    <x v="167"/>
    <n v="5"/>
    <n v="32611"/>
    <n v="72488"/>
    <n v="53255"/>
    <n v="53255"/>
    <n v="407642"/>
    <n v="0.13100000000000001"/>
    <n v="0.13100000000000001"/>
    <n v="0.17799999999999999"/>
    <m/>
    <n v="7.0000000000000007E-2"/>
    <n v="8.5000000000000006E-2"/>
    <n v="0.105"/>
    <n v="5.3999999999999999E-2"/>
    <n v="979336"/>
    <n v="1.81"/>
    <n v="101851"/>
    <n v="56413"/>
    <n v="2.17"/>
    <n v="112533"/>
    <n v="51890"/>
    <n v="2.1"/>
    <n v="117922"/>
    <n v="56186"/>
    <n v="2.11"/>
    <n v="122477"/>
    <n v="58152"/>
    <n v="1.39"/>
    <n v="888548"/>
    <n v="6396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60D165-BA9E-EB4B-A11B-8D293A7B49AA}" name="PivotTable5" cacheId="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C28" firstHeaderRow="0" firstDataRow="1" firstDataCol="1"/>
  <pivotFields count="31">
    <pivotField axis="axisRow" showAll="0">
      <items count="169">
        <item x="2"/>
        <item h="1" x="3"/>
        <item h="1" x="4"/>
        <item h="1" x="5"/>
        <item h="1" x="6"/>
        <item h="1" x="7"/>
        <item h="1" x="8"/>
        <item h="1" x="9"/>
        <item x="10"/>
        <item h="1" x="11"/>
        <item h="1" x="12"/>
        <item h="1" x="13"/>
        <item h="1" x="14"/>
        <item h="1" x="15"/>
        <item h="1" x="16"/>
        <item h="1" x="17"/>
        <item x="18"/>
        <item h="1" x="19"/>
        <item h="1" x="20"/>
        <item h="1" x="21"/>
        <item x="22"/>
        <item h="1" x="23"/>
        <item h="1" x="24"/>
        <item h="1" x="25"/>
        <item h="1" x="26"/>
        <item h="1" x="27"/>
        <item h="1" x="28"/>
        <item h="1" x="29"/>
        <item x="30"/>
        <item x="31"/>
        <item h="1" x="32"/>
        <item x="33"/>
        <item x="34"/>
        <item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x="48"/>
        <item x="49"/>
        <item h="1" x="50"/>
        <item h="1" x="51"/>
        <item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x="64"/>
        <item h="1" x="65"/>
        <item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x="90"/>
        <item h="1" x="91"/>
        <item h="1" x="92"/>
        <item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x="113"/>
        <item h="1" x="114"/>
        <item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x="139"/>
        <item h="1" x="140"/>
        <item x="141"/>
        <item h="1" x="142"/>
        <item h="1" x="143"/>
        <item h="1" x="144"/>
        <item h="1" x="145"/>
        <item h="1" x="146"/>
        <item h="1" x="147"/>
        <item h="1" x="1"/>
        <item h="1" x="148"/>
        <item x="149"/>
        <item h="1" x="150"/>
        <item h="1" x="151"/>
        <item h="1" x="152"/>
        <item h="1" x="153"/>
        <item h="1" x="154"/>
        <item h="1" x="155"/>
        <item x="156"/>
        <item h="1" x="157"/>
        <item h="1" x="158"/>
        <item x="159"/>
        <item h="1" x="160"/>
        <item h="1" x="161"/>
        <item h="1" x="162"/>
        <item h="1" x="163"/>
        <item h="1" x="164"/>
        <item h="1" x="165"/>
        <item x="166"/>
        <item h="1" x="167"/>
        <item h="1"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5">
    <i>
      <x/>
    </i>
    <i>
      <x v="8"/>
    </i>
    <i>
      <x v="16"/>
    </i>
    <i>
      <x v="20"/>
    </i>
    <i>
      <x v="28"/>
    </i>
    <i>
      <x v="29"/>
    </i>
    <i>
      <x v="31"/>
    </i>
    <i>
      <x v="32"/>
    </i>
    <i>
      <x v="33"/>
    </i>
    <i>
      <x v="46"/>
    </i>
    <i>
      <x v="47"/>
    </i>
    <i>
      <x v="50"/>
    </i>
    <i>
      <x v="62"/>
    </i>
    <i>
      <x v="64"/>
    </i>
    <i>
      <x v="88"/>
    </i>
    <i>
      <x v="91"/>
    </i>
    <i>
      <x v="111"/>
    </i>
    <i>
      <x v="113"/>
    </i>
    <i>
      <x v="137"/>
    </i>
    <i>
      <x v="139"/>
    </i>
    <i>
      <x v="148"/>
    </i>
    <i>
      <x v="155"/>
    </i>
    <i>
      <x v="158"/>
    </i>
    <i>
      <x v="165"/>
    </i>
    <i t="grand">
      <x/>
    </i>
  </rowItems>
  <colFields count="1">
    <field x="-2"/>
  </colFields>
  <colItems count="2">
    <i>
      <x/>
    </i>
    <i i="1">
      <x v="1"/>
    </i>
  </colItems>
  <dataFields count="2">
    <dataField name="Summe von Risiko-gewichtete Positionen (RWA)" fld="6" baseField="0" baseItem="0"/>
    <dataField name="Summe von CET1-Quote (CET1 in % der RWA)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8:AE174" totalsRowShown="0" headerRowDxfId="32" dataDxfId="31">
  <autoFilter ref="A8:AE174" xr:uid="{00000000-0009-0000-0100-000001000000}"/>
  <sortState xmlns:xlrd2="http://schemas.microsoft.com/office/spreadsheetml/2017/richdata2" ref="A9:AE174">
    <sortCondition ref="A8:A174"/>
  </sortState>
  <tableColumns count="31">
    <tableColumn id="1" xr3:uid="{00000000-0010-0000-0000-000001000000}" name="Spalte1" dataDxfId="30"/>
    <tableColumn id="2" xr3:uid="{00000000-0010-0000-0000-000002000000}" name="Spalte2" dataDxfId="29"/>
    <tableColumn id="3" xr3:uid="{00000000-0010-0000-0000-000003000000}" name="Spalte3" dataDxfId="28"/>
    <tableColumn id="4" xr3:uid="{00000000-0010-0000-0000-000004000000}" name="Spalte4" dataDxfId="27"/>
    <tableColumn id="5" xr3:uid="{00000000-0010-0000-0000-000005000000}" name="Spalte5" dataDxfId="26"/>
    <tableColumn id="6" xr3:uid="{00000000-0010-0000-0000-000006000000}" name="Spalte6" dataDxfId="25"/>
    <tableColumn id="7" xr3:uid="{00000000-0010-0000-0000-000007000000}" name="Spalte7" dataDxfId="24"/>
    <tableColumn id="8" xr3:uid="{00000000-0010-0000-0000-000008000000}" name="Spalte8" dataDxfId="23"/>
    <tableColumn id="9" xr3:uid="{00000000-0010-0000-0000-000009000000}" name="Spalte9" dataDxfId="22"/>
    <tableColumn id="10" xr3:uid="{00000000-0010-0000-0000-00000A000000}" name="Spalte10" dataDxfId="21"/>
    <tableColumn id="11" xr3:uid="{00000000-0010-0000-0000-00000B000000}" name="Spalte11" dataDxfId="20"/>
    <tableColumn id="12" xr3:uid="{00000000-0010-0000-0000-00000C000000}" name="Spalte12" dataDxfId="19"/>
    <tableColumn id="13" xr3:uid="{00000000-0010-0000-0000-00000D000000}" name="Spalte13" dataDxfId="18"/>
    <tableColumn id="14" xr3:uid="{00000000-0010-0000-0000-00000E000000}" name="Spalte14" dataDxfId="17"/>
    <tableColumn id="15" xr3:uid="{00000000-0010-0000-0000-00000F000000}" name="Spalte15" dataDxfId="16"/>
    <tableColumn id="16" xr3:uid="{00000000-0010-0000-0000-000010000000}" name="Spalte16" dataDxfId="15"/>
    <tableColumn id="17" xr3:uid="{00000000-0010-0000-0000-000011000000}" name="Spalte17" dataDxfId="14"/>
    <tableColumn id="18" xr3:uid="{00000000-0010-0000-0000-000012000000}" name="Spalte18" dataDxfId="13"/>
    <tableColumn id="19" xr3:uid="{00000000-0010-0000-0000-000013000000}" name="Spalte19" dataDxfId="12"/>
    <tableColumn id="20" xr3:uid="{00000000-0010-0000-0000-000014000000}" name="Spalte20" dataDxfId="11"/>
    <tableColumn id="21" xr3:uid="{00000000-0010-0000-0000-000015000000}" name="Spalte21" dataDxfId="10"/>
    <tableColumn id="22" xr3:uid="{00000000-0010-0000-0000-000016000000}" name="Spalte22" dataDxfId="9"/>
    <tableColumn id="23" xr3:uid="{00000000-0010-0000-0000-000017000000}" name="Spalte23" dataDxfId="8"/>
    <tableColumn id="24" xr3:uid="{00000000-0010-0000-0000-000018000000}" name="Spalte24" dataDxfId="7"/>
    <tableColumn id="25" xr3:uid="{00000000-0010-0000-0000-000019000000}" name="Spalte25" dataDxfId="6"/>
    <tableColumn id="26" xr3:uid="{00000000-0010-0000-0000-00001A000000}" name="Spalte26" dataDxfId="5"/>
    <tableColumn id="27" xr3:uid="{00000000-0010-0000-0000-00001B000000}" name="Spalte27" dataDxfId="4"/>
    <tableColumn id="28" xr3:uid="{00000000-0010-0000-0000-00001C000000}" name="Spalte28" dataDxfId="3"/>
    <tableColumn id="29" xr3:uid="{034A065B-CA5E-4FA1-A649-FE181B088268}" name="Spalte29" dataDxfId="2" dataCellStyle="Prozent"/>
    <tableColumn id="30" xr3:uid="{6EB77C7C-94B5-4645-A0AD-195BFD75D7CB}" name="Spalte30" dataDxfId="1"/>
    <tableColumn id="31" xr3:uid="{6483CC71-38B6-4EC3-9212-EF537F34B4AE}" name="Spalte31" dataDxfId="0" dataCellStyle="Prozent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9DDC-2548-4449-8400-A66B97BF0242}">
  <dimension ref="A3:C30"/>
  <sheetViews>
    <sheetView tabSelected="1" workbookViewId="0">
      <selection activeCell="A10" sqref="A10:XFD10"/>
    </sheetView>
  </sheetViews>
  <sheetFormatPr baseColWidth="10" defaultRowHeight="13" x14ac:dyDescent="0.15"/>
  <cols>
    <col min="1" max="1" width="30.5" bestFit="1" customWidth="1"/>
    <col min="2" max="2" width="41.1640625" bestFit="1" customWidth="1"/>
    <col min="3" max="3" width="39.1640625" bestFit="1" customWidth="1"/>
  </cols>
  <sheetData>
    <row r="3" spans="1:3" x14ac:dyDescent="0.15">
      <c r="A3" s="57" t="s">
        <v>232</v>
      </c>
      <c r="B3" t="s">
        <v>234</v>
      </c>
      <c r="C3" t="s">
        <v>235</v>
      </c>
    </row>
    <row r="4" spans="1:3" x14ac:dyDescent="0.15">
      <c r="A4" s="58" t="s">
        <v>85</v>
      </c>
      <c r="B4" s="62">
        <v>13955422</v>
      </c>
      <c r="C4" s="62">
        <v>0.184</v>
      </c>
    </row>
    <row r="5" spans="1:3" x14ac:dyDescent="0.15">
      <c r="A5" s="58" t="s">
        <v>23</v>
      </c>
      <c r="B5" s="62">
        <v>8431589</v>
      </c>
      <c r="C5" s="62">
        <v>0.152</v>
      </c>
    </row>
    <row r="6" spans="1:3" x14ac:dyDescent="0.15">
      <c r="A6" s="58" t="s">
        <v>56</v>
      </c>
      <c r="B6" s="62">
        <v>7503822</v>
      </c>
      <c r="C6" s="62">
        <v>0.16800000000000001</v>
      </c>
    </row>
    <row r="7" spans="1:3" x14ac:dyDescent="0.15">
      <c r="A7" s="58" t="s">
        <v>66</v>
      </c>
      <c r="B7" s="62">
        <v>3606019</v>
      </c>
      <c r="C7" s="62">
        <v>0.155</v>
      </c>
    </row>
    <row r="8" spans="1:3" x14ac:dyDescent="0.15">
      <c r="A8" s="58" t="s">
        <v>10</v>
      </c>
      <c r="B8" s="62">
        <v>12225400</v>
      </c>
      <c r="C8" s="62">
        <v>0.184</v>
      </c>
    </row>
    <row r="9" spans="1:3" x14ac:dyDescent="0.15">
      <c r="A9" s="58" t="s">
        <v>11</v>
      </c>
      <c r="B9" s="62">
        <v>13311471</v>
      </c>
      <c r="C9" s="62">
        <v>0.13400000000000001</v>
      </c>
    </row>
    <row r="10" spans="1:3" x14ac:dyDescent="0.15">
      <c r="A10" s="58" t="s">
        <v>17</v>
      </c>
      <c r="B10" s="62">
        <v>8110061</v>
      </c>
      <c r="C10" s="62">
        <v>0.17</v>
      </c>
    </row>
    <row r="11" spans="1:3" x14ac:dyDescent="0.15">
      <c r="A11" s="58" t="s">
        <v>15</v>
      </c>
      <c r="B11" s="62">
        <v>4744398</v>
      </c>
      <c r="C11" s="62">
        <v>0.19600000000000001</v>
      </c>
    </row>
    <row r="12" spans="1:3" x14ac:dyDescent="0.15">
      <c r="A12" s="58" t="s">
        <v>26</v>
      </c>
      <c r="B12" s="62">
        <v>19265053</v>
      </c>
      <c r="C12" s="62">
        <v>0.17199999999999999</v>
      </c>
    </row>
    <row r="13" spans="1:3" x14ac:dyDescent="0.15">
      <c r="A13" s="58" t="s">
        <v>13</v>
      </c>
      <c r="B13" s="62">
        <v>13770816</v>
      </c>
      <c r="C13" s="62">
        <v>0.187</v>
      </c>
    </row>
    <row r="14" spans="1:3" x14ac:dyDescent="0.15">
      <c r="A14" s="58" t="s">
        <v>9</v>
      </c>
      <c r="B14" s="62">
        <v>22869581</v>
      </c>
      <c r="C14" s="62">
        <v>0.17599999999999999</v>
      </c>
    </row>
    <row r="15" spans="1:3" x14ac:dyDescent="0.15">
      <c r="A15" s="58" t="s">
        <v>24</v>
      </c>
      <c r="B15" s="62">
        <v>14418758</v>
      </c>
      <c r="C15" s="62">
        <v>0.18</v>
      </c>
    </row>
    <row r="16" spans="1:3" x14ac:dyDescent="0.15">
      <c r="A16" s="58" t="s">
        <v>118</v>
      </c>
      <c r="B16" s="62">
        <v>5857612</v>
      </c>
      <c r="C16" s="62">
        <v>0.20200000000000001</v>
      </c>
    </row>
    <row r="17" spans="1:3" x14ac:dyDescent="0.15">
      <c r="A17" s="58" t="s">
        <v>107</v>
      </c>
      <c r="B17" s="62">
        <v>2310466</v>
      </c>
      <c r="C17" s="62">
        <v>0.17599999999999999</v>
      </c>
    </row>
    <row r="18" spans="1:3" x14ac:dyDescent="0.15">
      <c r="A18" s="58" t="s">
        <v>12</v>
      </c>
      <c r="B18" s="62">
        <v>3187754</v>
      </c>
      <c r="C18" s="62">
        <v>0.122</v>
      </c>
    </row>
    <row r="19" spans="1:3" x14ac:dyDescent="0.15">
      <c r="A19" s="58" t="s">
        <v>25</v>
      </c>
      <c r="B19" s="62">
        <v>13018849</v>
      </c>
      <c r="C19" s="62">
        <v>0.20300000000000001</v>
      </c>
    </row>
    <row r="20" spans="1:3" x14ac:dyDescent="0.15">
      <c r="A20" s="58" t="s">
        <v>14</v>
      </c>
      <c r="B20" s="62">
        <v>23947001</v>
      </c>
      <c r="C20" s="62">
        <v>0.123</v>
      </c>
    </row>
    <row r="21" spans="1:3" x14ac:dyDescent="0.15">
      <c r="A21" s="58" t="s">
        <v>67</v>
      </c>
      <c r="B21" s="62">
        <v>20731524</v>
      </c>
      <c r="C21" s="62">
        <v>0.14399999999999999</v>
      </c>
    </row>
    <row r="22" spans="1:3" x14ac:dyDescent="0.15">
      <c r="A22" s="58" t="s">
        <v>28</v>
      </c>
      <c r="B22" s="62">
        <v>3902500</v>
      </c>
      <c r="C22" s="62">
        <v>0.27500000000000002</v>
      </c>
    </row>
    <row r="23" spans="1:3" x14ac:dyDescent="0.15">
      <c r="A23" s="58" t="s">
        <v>29</v>
      </c>
      <c r="B23" s="62">
        <v>9092771</v>
      </c>
      <c r="C23" s="62">
        <v>0.218</v>
      </c>
    </row>
    <row r="24" spans="1:3" x14ac:dyDescent="0.15">
      <c r="A24" s="58" t="s">
        <v>27</v>
      </c>
      <c r="B24" s="62">
        <v>16142996</v>
      </c>
      <c r="C24" s="62">
        <v>0.16</v>
      </c>
    </row>
    <row r="25" spans="1:3" x14ac:dyDescent="0.15">
      <c r="A25" s="58" t="s">
        <v>18</v>
      </c>
      <c r="B25" s="62">
        <v>13226405</v>
      </c>
      <c r="C25" s="62">
        <v>0.18</v>
      </c>
    </row>
    <row r="26" spans="1:3" x14ac:dyDescent="0.15">
      <c r="A26" s="58" t="s">
        <v>2</v>
      </c>
      <c r="B26" s="62">
        <v>14277415</v>
      </c>
      <c r="C26" s="62">
        <v>0.16500000000000001</v>
      </c>
    </row>
    <row r="27" spans="1:3" x14ac:dyDescent="0.15">
      <c r="A27" s="58" t="s">
        <v>30</v>
      </c>
      <c r="B27" s="62">
        <v>7434275</v>
      </c>
      <c r="C27" s="62">
        <v>0.17899999999999999</v>
      </c>
    </row>
    <row r="28" spans="1:3" x14ac:dyDescent="0.15">
      <c r="A28" s="58" t="s">
        <v>233</v>
      </c>
      <c r="B28" s="62">
        <v>275341958</v>
      </c>
      <c r="C28" s="62">
        <v>4.2050000000000001</v>
      </c>
    </row>
    <row r="30" spans="1:3" x14ac:dyDescent="0.15">
      <c r="B30" t="s">
        <v>231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78"/>
  <sheetViews>
    <sheetView zoomScaleNormal="100" workbookViewId="0">
      <pane ySplit="8" topLeftCell="A9" activePane="bottomLeft" state="frozen"/>
      <selection pane="bottomLeft" activeCell="A6" sqref="A6:AE174"/>
    </sheetView>
  </sheetViews>
  <sheetFormatPr baseColWidth="10" defaultColWidth="11.5" defaultRowHeight="11" x14ac:dyDescent="0.15"/>
  <cols>
    <col min="1" max="1" width="52.83203125" style="2" customWidth="1"/>
    <col min="2" max="2" width="10.33203125" style="2" customWidth="1"/>
    <col min="3" max="3" width="11.1640625" style="3" customWidth="1"/>
    <col min="4" max="4" width="12.33203125" style="3" bestFit="1" customWidth="1"/>
    <col min="5" max="5" width="15.33203125" style="3" bestFit="1" customWidth="1"/>
    <col min="6" max="6" width="9.83203125" style="3" bestFit="1" customWidth="1"/>
    <col min="7" max="7" width="10.6640625" style="3" customWidth="1"/>
    <col min="8" max="8" width="10.1640625" style="4" bestFit="1" customWidth="1"/>
    <col min="9" max="9" width="10.5" style="4" bestFit="1" customWidth="1"/>
    <col min="10" max="10" width="12.83203125" style="4" bestFit="1" customWidth="1"/>
    <col min="11" max="11" width="12.33203125" style="4" bestFit="1" customWidth="1"/>
    <col min="12" max="12" width="9.83203125" style="4" bestFit="1" customWidth="1"/>
    <col min="13" max="13" width="8.6640625" style="4" customWidth="1"/>
    <col min="14" max="14" width="12.83203125" style="4" bestFit="1" customWidth="1"/>
    <col min="15" max="15" width="9.83203125" style="4" bestFit="1" customWidth="1"/>
    <col min="16" max="16" width="11" style="3" bestFit="1" customWidth="1"/>
    <col min="17" max="17" width="9.83203125" style="5" bestFit="1" customWidth="1"/>
    <col min="18" max="18" width="10" style="3" bestFit="1" customWidth="1"/>
    <col min="19" max="19" width="13.5" style="3" bestFit="1" customWidth="1"/>
    <col min="20" max="20" width="9.83203125" style="5" bestFit="1" customWidth="1"/>
    <col min="21" max="21" width="10" style="3" bestFit="1" customWidth="1"/>
    <col min="22" max="22" width="13.5" style="3" bestFit="1" customWidth="1"/>
    <col min="23" max="23" width="9.83203125" style="5" bestFit="1" customWidth="1"/>
    <col min="24" max="24" width="10" style="3" bestFit="1" customWidth="1"/>
    <col min="25" max="25" width="13.5" style="3" bestFit="1" customWidth="1"/>
    <col min="26" max="26" width="9.83203125" style="5" bestFit="1" customWidth="1"/>
    <col min="27" max="27" width="10" style="3" bestFit="1" customWidth="1"/>
    <col min="28" max="28" width="13.5" style="3" bestFit="1" customWidth="1"/>
    <col min="29" max="31" width="13.5" style="3" customWidth="1"/>
    <col min="32" max="16384" width="11.5" style="2"/>
  </cols>
  <sheetData>
    <row r="1" spans="1:32" ht="25.5" customHeight="1" x14ac:dyDescent="0.15">
      <c r="A1" s="1" t="s">
        <v>199</v>
      </c>
    </row>
    <row r="2" spans="1:32" ht="19.5" customHeight="1" x14ac:dyDescent="0.15">
      <c r="A2" s="6" t="s">
        <v>200</v>
      </c>
      <c r="P2" s="3" t="s">
        <v>231</v>
      </c>
      <c r="Q2" s="27"/>
    </row>
    <row r="3" spans="1:32" ht="19.5" customHeight="1" x14ac:dyDescent="0.15"/>
    <row r="4" spans="1:32" ht="30" customHeight="1" x14ac:dyDescent="0.15"/>
    <row r="5" spans="1:32" ht="13" x14ac:dyDescent="0.15">
      <c r="C5" s="7"/>
      <c r="D5" s="7"/>
      <c r="E5" s="7"/>
      <c r="F5" s="7"/>
      <c r="G5" s="7"/>
      <c r="H5" s="8"/>
      <c r="I5" s="8"/>
      <c r="J5" s="8"/>
      <c r="K5" s="8"/>
      <c r="L5" s="8"/>
      <c r="M5" s="9"/>
      <c r="N5" s="9"/>
      <c r="O5" s="9"/>
      <c r="P5" s="7"/>
      <c r="Q5" s="59" t="s">
        <v>148</v>
      </c>
      <c r="R5" s="60"/>
      <c r="S5" s="61"/>
      <c r="T5" s="59" t="s">
        <v>149</v>
      </c>
      <c r="U5" s="60"/>
      <c r="V5" s="61"/>
      <c r="W5" s="59" t="s">
        <v>150</v>
      </c>
      <c r="X5" s="60"/>
      <c r="Y5" s="61"/>
      <c r="Z5" s="59" t="s">
        <v>151</v>
      </c>
      <c r="AA5" s="60"/>
      <c r="AB5" s="61"/>
      <c r="AC5" s="59"/>
      <c r="AD5" s="60"/>
      <c r="AE5" s="61"/>
    </row>
    <row r="6" spans="1:32" ht="46.5" customHeight="1" x14ac:dyDescent="0.15">
      <c r="A6" s="10" t="s">
        <v>0</v>
      </c>
      <c r="B6" s="11" t="s">
        <v>152</v>
      </c>
      <c r="C6" s="12" t="s">
        <v>198</v>
      </c>
      <c r="D6" s="13" t="s">
        <v>153</v>
      </c>
      <c r="E6" s="14" t="s">
        <v>154</v>
      </c>
      <c r="F6" s="14" t="s">
        <v>155</v>
      </c>
      <c r="G6" s="14" t="s">
        <v>156</v>
      </c>
      <c r="H6" s="14" t="s">
        <v>157</v>
      </c>
      <c r="I6" s="14" t="s">
        <v>158</v>
      </c>
      <c r="J6" s="14" t="s">
        <v>159</v>
      </c>
      <c r="K6" s="14" t="s">
        <v>225</v>
      </c>
      <c r="L6" s="14" t="s">
        <v>228</v>
      </c>
      <c r="M6" s="14" t="s">
        <v>226</v>
      </c>
      <c r="N6" s="14" t="s">
        <v>227</v>
      </c>
      <c r="O6" s="14" t="s">
        <v>202</v>
      </c>
      <c r="P6" s="15" t="s">
        <v>203</v>
      </c>
      <c r="Q6" s="16" t="s">
        <v>160</v>
      </c>
      <c r="R6" s="15" t="s">
        <v>161</v>
      </c>
      <c r="S6" s="17" t="s">
        <v>162</v>
      </c>
      <c r="T6" s="16" t="s">
        <v>160</v>
      </c>
      <c r="U6" s="15" t="s">
        <v>161</v>
      </c>
      <c r="V6" s="17" t="s">
        <v>162</v>
      </c>
      <c r="W6" s="15" t="s">
        <v>160</v>
      </c>
      <c r="X6" s="15" t="s">
        <v>161</v>
      </c>
      <c r="Y6" s="15" t="s">
        <v>162</v>
      </c>
      <c r="Z6" s="16" t="s">
        <v>160</v>
      </c>
      <c r="AA6" s="15" t="s">
        <v>161</v>
      </c>
      <c r="AB6" s="17" t="s">
        <v>162</v>
      </c>
      <c r="AC6" s="16" t="s">
        <v>222</v>
      </c>
      <c r="AD6" s="15" t="s">
        <v>223</v>
      </c>
      <c r="AE6" s="17" t="s">
        <v>224</v>
      </c>
    </row>
    <row r="7" spans="1:32" ht="10.5" customHeight="1" x14ac:dyDescent="0.15">
      <c r="C7" s="7" t="s">
        <v>163</v>
      </c>
      <c r="D7" s="7" t="s">
        <v>163</v>
      </c>
      <c r="E7" s="7" t="s">
        <v>163</v>
      </c>
      <c r="F7" s="7" t="s">
        <v>163</v>
      </c>
      <c r="G7" s="7" t="s">
        <v>163</v>
      </c>
      <c r="H7" s="18"/>
      <c r="I7" s="18"/>
      <c r="J7" s="18"/>
      <c r="K7" s="18"/>
      <c r="L7" s="18"/>
      <c r="M7" s="19"/>
      <c r="N7" s="19"/>
      <c r="O7" s="19"/>
      <c r="P7" s="7" t="s">
        <v>163</v>
      </c>
      <c r="Q7" s="20"/>
      <c r="R7" s="7" t="s">
        <v>163</v>
      </c>
      <c r="S7" s="21" t="s">
        <v>163</v>
      </c>
      <c r="T7" s="20"/>
      <c r="U7" s="7" t="s">
        <v>163</v>
      </c>
      <c r="V7" s="21" t="s">
        <v>163</v>
      </c>
      <c r="X7" s="7" t="s">
        <v>163</v>
      </c>
      <c r="Y7" s="7" t="s">
        <v>163</v>
      </c>
      <c r="Z7" s="20"/>
      <c r="AA7" s="7" t="s">
        <v>163</v>
      </c>
      <c r="AB7" s="21" t="s">
        <v>163</v>
      </c>
      <c r="AC7" s="20"/>
      <c r="AD7" s="7" t="s">
        <v>163</v>
      </c>
      <c r="AE7" s="21" t="s">
        <v>163</v>
      </c>
    </row>
    <row r="8" spans="1:32" ht="15.75" hidden="1" customHeight="1" x14ac:dyDescent="0.15">
      <c r="A8" s="2" t="s">
        <v>164</v>
      </c>
      <c r="B8" s="2" t="s">
        <v>165</v>
      </c>
      <c r="C8" s="3" t="s">
        <v>166</v>
      </c>
      <c r="D8" s="3" t="s">
        <v>167</v>
      </c>
      <c r="E8" s="3" t="s">
        <v>168</v>
      </c>
      <c r="F8" s="3" t="s">
        <v>169</v>
      </c>
      <c r="G8" s="3" t="s">
        <v>170</v>
      </c>
      <c r="H8" s="4" t="s">
        <v>171</v>
      </c>
      <c r="I8" s="4" t="s">
        <v>172</v>
      </c>
      <c r="J8" s="4" t="s">
        <v>173</v>
      </c>
      <c r="K8" s="4" t="s">
        <v>174</v>
      </c>
      <c r="L8" s="4" t="s">
        <v>175</v>
      </c>
      <c r="M8" s="4" t="s">
        <v>176</v>
      </c>
      <c r="N8" s="4" t="s">
        <v>177</v>
      </c>
      <c r="O8" s="4" t="s">
        <v>178</v>
      </c>
      <c r="P8" s="3" t="s">
        <v>179</v>
      </c>
      <c r="Q8" s="5" t="s">
        <v>180</v>
      </c>
      <c r="R8" s="3" t="s">
        <v>181</v>
      </c>
      <c r="S8" s="3" t="s">
        <v>182</v>
      </c>
      <c r="T8" s="5" t="s">
        <v>183</v>
      </c>
      <c r="U8" s="3" t="s">
        <v>184</v>
      </c>
      <c r="V8" s="3" t="s">
        <v>185</v>
      </c>
      <c r="W8" s="5" t="s">
        <v>186</v>
      </c>
      <c r="X8" s="3" t="s">
        <v>187</v>
      </c>
      <c r="Y8" s="3" t="s">
        <v>188</v>
      </c>
      <c r="Z8" s="5" t="s">
        <v>189</v>
      </c>
      <c r="AA8" s="3" t="s">
        <v>190</v>
      </c>
      <c r="AB8" s="3" t="s">
        <v>191</v>
      </c>
      <c r="AC8" s="39" t="s">
        <v>219</v>
      </c>
      <c r="AD8" s="39" t="s">
        <v>220</v>
      </c>
      <c r="AE8" s="39" t="s">
        <v>221</v>
      </c>
    </row>
    <row r="9" spans="1:32" ht="10.5" customHeight="1" x14ac:dyDescent="0.15">
      <c r="A9" s="22" t="s">
        <v>85</v>
      </c>
      <c r="B9" s="50">
        <v>3</v>
      </c>
      <c r="C9" s="51">
        <v>1116434</v>
      </c>
      <c r="D9" s="51">
        <v>2625679</v>
      </c>
      <c r="E9" s="51">
        <v>2563776</v>
      </c>
      <c r="F9" s="51">
        <v>2563776</v>
      </c>
      <c r="G9" s="51">
        <v>13955422</v>
      </c>
      <c r="H9" s="52">
        <v>0.184</v>
      </c>
      <c r="I9" s="52">
        <v>0.184</v>
      </c>
      <c r="J9" s="52">
        <v>0.188</v>
      </c>
      <c r="K9" s="52"/>
      <c r="L9" s="52">
        <v>7.8E-2</v>
      </c>
      <c r="M9" s="52">
        <v>9.6000000000000002E-2</v>
      </c>
      <c r="N9" s="52">
        <v>0.12</v>
      </c>
      <c r="O9" s="52">
        <v>7.1999999999999995E-2</v>
      </c>
      <c r="P9" s="51">
        <v>35427066</v>
      </c>
      <c r="Q9" s="44">
        <v>1.81</v>
      </c>
      <c r="R9" s="51">
        <v>8666654</v>
      </c>
      <c r="S9" s="51">
        <v>4798321</v>
      </c>
      <c r="T9" s="44">
        <v>1.89</v>
      </c>
      <c r="U9" s="51">
        <v>8670835</v>
      </c>
      <c r="V9" s="51">
        <v>4596994</v>
      </c>
      <c r="W9" s="44">
        <v>2.0499999999999998</v>
      </c>
      <c r="X9" s="51">
        <v>9439469</v>
      </c>
      <c r="Y9" s="51">
        <v>4604632</v>
      </c>
      <c r="Z9" s="44">
        <v>1.92</v>
      </c>
      <c r="AA9" s="51">
        <v>9216022</v>
      </c>
      <c r="AB9" s="51">
        <v>4804797</v>
      </c>
      <c r="AC9" s="43">
        <v>1.49</v>
      </c>
      <c r="AD9" s="53">
        <v>26001616</v>
      </c>
      <c r="AE9" s="53">
        <v>17394501</v>
      </c>
      <c r="AF9" s="27"/>
    </row>
    <row r="10" spans="1:32" ht="10.5" customHeight="1" x14ac:dyDescent="0.15">
      <c r="A10" s="23" t="s">
        <v>3</v>
      </c>
      <c r="B10" s="54">
        <v>4</v>
      </c>
      <c r="C10" s="25">
        <v>123273</v>
      </c>
      <c r="D10" s="25">
        <v>231314</v>
      </c>
      <c r="E10" s="25">
        <v>231314</v>
      </c>
      <c r="F10" s="25">
        <v>231314</v>
      </c>
      <c r="G10" s="25">
        <v>1540908</v>
      </c>
      <c r="H10" s="26">
        <v>0.15</v>
      </c>
      <c r="I10" s="26">
        <v>0.15</v>
      </c>
      <c r="J10" s="26">
        <v>0.15</v>
      </c>
      <c r="K10" s="26"/>
      <c r="L10" s="26">
        <v>7.3999999999999996E-2</v>
      </c>
      <c r="M10" s="26">
        <v>0.09</v>
      </c>
      <c r="N10" s="26">
        <v>0.112</v>
      </c>
      <c r="O10" s="26">
        <v>7.5999999999999998E-2</v>
      </c>
      <c r="P10" s="25">
        <v>3058985</v>
      </c>
      <c r="Q10" s="24">
        <v>1.42</v>
      </c>
      <c r="R10" s="25">
        <v>290102</v>
      </c>
      <c r="S10" s="25">
        <v>204661</v>
      </c>
      <c r="T10" s="24">
        <v>1.37</v>
      </c>
      <c r="U10" s="25">
        <v>298016</v>
      </c>
      <c r="V10" s="25">
        <v>216813</v>
      </c>
      <c r="W10" s="24">
        <v>1.4</v>
      </c>
      <c r="X10" s="25">
        <v>337476</v>
      </c>
      <c r="Y10" s="25">
        <v>240464</v>
      </c>
      <c r="Z10" s="24">
        <v>1.35</v>
      </c>
      <c r="AA10" s="25">
        <v>349386</v>
      </c>
      <c r="AB10" s="25">
        <v>259542</v>
      </c>
      <c r="AC10" s="43">
        <v>1.1399999999999999</v>
      </c>
      <c r="AD10" s="41">
        <v>2287551</v>
      </c>
      <c r="AE10" s="41">
        <v>2005375</v>
      </c>
      <c r="AF10" s="27"/>
    </row>
    <row r="11" spans="1:32" ht="10.5" customHeight="1" x14ac:dyDescent="0.15">
      <c r="A11" s="22" t="s">
        <v>8</v>
      </c>
      <c r="B11" s="50">
        <v>4</v>
      </c>
      <c r="C11" s="51">
        <v>134549</v>
      </c>
      <c r="D11" s="51">
        <v>338310</v>
      </c>
      <c r="E11" s="51">
        <v>338310</v>
      </c>
      <c r="F11" s="51">
        <v>338310</v>
      </c>
      <c r="G11" s="51">
        <v>1681859</v>
      </c>
      <c r="H11" s="52">
        <v>0.20100000000000001</v>
      </c>
      <c r="I11" s="52">
        <v>0.20100000000000001</v>
      </c>
      <c r="J11" s="52">
        <v>0.20100000000000001</v>
      </c>
      <c r="K11" s="52"/>
      <c r="L11" s="52">
        <v>7.3999999999999996E-2</v>
      </c>
      <c r="M11" s="52">
        <v>0.09</v>
      </c>
      <c r="N11" s="52">
        <v>0.112</v>
      </c>
      <c r="O11" s="52">
        <v>8.2000000000000003E-2</v>
      </c>
      <c r="P11" s="51">
        <v>4102558</v>
      </c>
      <c r="Q11" s="44">
        <v>1.69</v>
      </c>
      <c r="R11" s="51">
        <v>589143</v>
      </c>
      <c r="S11" s="51">
        <v>349238</v>
      </c>
      <c r="T11" s="44">
        <v>1.77</v>
      </c>
      <c r="U11" s="51">
        <v>637729</v>
      </c>
      <c r="V11" s="51">
        <v>360084</v>
      </c>
      <c r="W11" s="44">
        <v>1.78</v>
      </c>
      <c r="X11" s="51">
        <v>679286</v>
      </c>
      <c r="Y11" s="51">
        <v>381652</v>
      </c>
      <c r="Z11" s="44">
        <v>1.66</v>
      </c>
      <c r="AA11" s="51">
        <v>641055</v>
      </c>
      <c r="AB11" s="51">
        <v>385987</v>
      </c>
      <c r="AC11" s="43">
        <v>1.41</v>
      </c>
      <c r="AD11" s="53">
        <v>3400807</v>
      </c>
      <c r="AE11" s="53">
        <v>2406249</v>
      </c>
      <c r="AF11" s="27"/>
    </row>
    <row r="12" spans="1:32" ht="10.5" customHeight="1" x14ac:dyDescent="0.15">
      <c r="A12" s="23" t="s">
        <v>95</v>
      </c>
      <c r="B12" s="54">
        <v>4</v>
      </c>
      <c r="C12" s="25">
        <v>20628</v>
      </c>
      <c r="D12" s="25">
        <v>74043</v>
      </c>
      <c r="E12" s="25">
        <v>54043</v>
      </c>
      <c r="F12" s="25">
        <v>74043</v>
      </c>
      <c r="G12" s="25">
        <v>257854</v>
      </c>
      <c r="H12" s="26">
        <v>0.21</v>
      </c>
      <c r="I12" s="26">
        <v>0.28699999999999998</v>
      </c>
      <c r="J12" s="26">
        <v>0.28699999999999998</v>
      </c>
      <c r="K12" s="26"/>
      <c r="L12" s="26">
        <v>7.3999999999999996E-2</v>
      </c>
      <c r="M12" s="26">
        <v>0.09</v>
      </c>
      <c r="N12" s="26">
        <v>0.112</v>
      </c>
      <c r="O12" s="26">
        <v>4.7E-2</v>
      </c>
      <c r="P12" s="25">
        <v>1561543</v>
      </c>
      <c r="Q12" s="24">
        <v>3.06</v>
      </c>
      <c r="R12" s="25">
        <v>398046</v>
      </c>
      <c r="S12" s="25">
        <v>130288</v>
      </c>
      <c r="T12" s="24">
        <v>3.16</v>
      </c>
      <c r="U12" s="25">
        <v>435237</v>
      </c>
      <c r="V12" s="25">
        <v>137625</v>
      </c>
      <c r="W12" s="24">
        <v>3.48</v>
      </c>
      <c r="X12" s="25">
        <v>485432</v>
      </c>
      <c r="Y12" s="25">
        <v>139366</v>
      </c>
      <c r="Z12" s="24">
        <v>3.54</v>
      </c>
      <c r="AA12" s="25">
        <v>463423</v>
      </c>
      <c r="AB12" s="25">
        <v>130917</v>
      </c>
      <c r="AC12" s="43">
        <v>3.46</v>
      </c>
      <c r="AD12" s="41">
        <v>989251</v>
      </c>
      <c r="AE12" s="41">
        <v>286059</v>
      </c>
      <c r="AF12" s="27"/>
    </row>
    <row r="13" spans="1:32" ht="10.5" customHeight="1" x14ac:dyDescent="0.15">
      <c r="A13" s="22" t="s">
        <v>39</v>
      </c>
      <c r="B13" s="50">
        <v>4</v>
      </c>
      <c r="C13" s="51">
        <v>261512</v>
      </c>
      <c r="D13" s="51">
        <v>447985</v>
      </c>
      <c r="E13" s="51">
        <v>392678</v>
      </c>
      <c r="F13" s="51">
        <v>432678</v>
      </c>
      <c r="G13" s="51">
        <v>3268896</v>
      </c>
      <c r="H13" s="52">
        <v>0.12</v>
      </c>
      <c r="I13" s="52">
        <v>0.13200000000000001</v>
      </c>
      <c r="J13" s="52">
        <v>0.13700000000000001</v>
      </c>
      <c r="K13" s="52"/>
      <c r="L13" s="52">
        <v>7.3999999999999996E-2</v>
      </c>
      <c r="M13" s="52">
        <v>0.09</v>
      </c>
      <c r="N13" s="52">
        <v>0.112</v>
      </c>
      <c r="O13" s="52">
        <v>4.9000000000000002E-2</v>
      </c>
      <c r="P13" s="51">
        <v>8820688</v>
      </c>
      <c r="Q13" s="44">
        <v>1.9</v>
      </c>
      <c r="R13" s="51">
        <v>1449264</v>
      </c>
      <c r="S13" s="51">
        <v>762103</v>
      </c>
      <c r="T13" s="44">
        <v>1.73</v>
      </c>
      <c r="U13" s="51">
        <v>1440729</v>
      </c>
      <c r="V13" s="51">
        <v>831053</v>
      </c>
      <c r="W13" s="44">
        <v>1.92</v>
      </c>
      <c r="X13" s="51">
        <v>1444841</v>
      </c>
      <c r="Y13" s="51">
        <v>754110</v>
      </c>
      <c r="Z13" s="44">
        <v>1.87</v>
      </c>
      <c r="AA13" s="51">
        <v>1402010</v>
      </c>
      <c r="AB13" s="51">
        <v>751330</v>
      </c>
      <c r="AC13" s="43">
        <v>1.32</v>
      </c>
      <c r="AD13" s="53">
        <v>7309422</v>
      </c>
      <c r="AE13" s="53">
        <v>5530374</v>
      </c>
      <c r="AF13" s="27"/>
    </row>
    <row r="14" spans="1:32" ht="10.5" customHeight="1" x14ac:dyDescent="0.15">
      <c r="A14" s="23" t="s">
        <v>96</v>
      </c>
      <c r="B14" s="54">
        <v>5</v>
      </c>
      <c r="C14" s="25">
        <v>2678</v>
      </c>
      <c r="D14" s="25">
        <v>28537</v>
      </c>
      <c r="E14" s="25">
        <v>28537</v>
      </c>
      <c r="F14" s="25">
        <v>28537</v>
      </c>
      <c r="G14" s="25">
        <v>33473</v>
      </c>
      <c r="H14" s="26">
        <v>0.85299999999999998</v>
      </c>
      <c r="I14" s="26">
        <v>0.85299999999999998</v>
      </c>
      <c r="J14" s="26">
        <v>0.85299999999999998</v>
      </c>
      <c r="K14" s="26"/>
      <c r="L14" s="26">
        <v>7.0000000000000007E-2</v>
      </c>
      <c r="M14" s="26">
        <v>8.5000000000000006E-2</v>
      </c>
      <c r="N14" s="26">
        <v>0.105</v>
      </c>
      <c r="O14" s="26">
        <v>0.217</v>
      </c>
      <c r="P14" s="25">
        <v>131514</v>
      </c>
      <c r="Q14" s="24">
        <v>1.18</v>
      </c>
      <c r="R14" s="25">
        <v>15531</v>
      </c>
      <c r="S14" s="25">
        <v>13112</v>
      </c>
      <c r="T14" s="24">
        <v>1.24</v>
      </c>
      <c r="U14" s="25">
        <v>14607</v>
      </c>
      <c r="V14" s="25">
        <v>11784</v>
      </c>
      <c r="W14" s="24">
        <v>1.63</v>
      </c>
      <c r="X14" s="25">
        <v>21379</v>
      </c>
      <c r="Y14" s="25">
        <v>13132</v>
      </c>
      <c r="Z14" s="24">
        <v>1.87</v>
      </c>
      <c r="AA14" s="25">
        <v>30897</v>
      </c>
      <c r="AB14" s="25">
        <v>16507</v>
      </c>
      <c r="AC14" s="43">
        <v>2.15</v>
      </c>
      <c r="AD14" s="41">
        <v>69139</v>
      </c>
      <c r="AE14" s="41">
        <v>32228</v>
      </c>
      <c r="AF14" s="27"/>
    </row>
    <row r="15" spans="1:32" ht="10.5" customHeight="1" x14ac:dyDescent="0.15">
      <c r="A15" s="22" t="s">
        <v>120</v>
      </c>
      <c r="B15" s="50">
        <v>5</v>
      </c>
      <c r="C15" s="51">
        <v>7381</v>
      </c>
      <c r="D15" s="51">
        <v>31223</v>
      </c>
      <c r="E15" s="51">
        <v>31223</v>
      </c>
      <c r="F15" s="51">
        <v>31223</v>
      </c>
      <c r="G15" s="51">
        <v>92266</v>
      </c>
      <c r="H15" s="52">
        <v>0.33800000000000002</v>
      </c>
      <c r="I15" s="52">
        <v>0.33800000000000002</v>
      </c>
      <c r="J15" s="52">
        <v>0.33800000000000002</v>
      </c>
      <c r="K15" s="52"/>
      <c r="L15" s="52">
        <v>7.0000000000000007E-2</v>
      </c>
      <c r="M15" s="52">
        <v>8.5000000000000006E-2</v>
      </c>
      <c r="N15" s="52">
        <v>0.105</v>
      </c>
      <c r="O15" s="52">
        <v>5.8000000000000003E-2</v>
      </c>
      <c r="P15" s="51">
        <v>537090</v>
      </c>
      <c r="Q15" s="44">
        <v>2.0499999999999998</v>
      </c>
      <c r="R15" s="51">
        <v>68339</v>
      </c>
      <c r="S15" s="51">
        <v>33305</v>
      </c>
      <c r="T15" s="44">
        <v>1.76</v>
      </c>
      <c r="U15" s="51">
        <v>54056</v>
      </c>
      <c r="V15" s="51">
        <v>30744</v>
      </c>
      <c r="W15" s="44">
        <v>1.79</v>
      </c>
      <c r="X15" s="51">
        <v>59642</v>
      </c>
      <c r="Y15" s="51">
        <v>33407</v>
      </c>
      <c r="Z15" s="44">
        <v>2.15</v>
      </c>
      <c r="AA15" s="51">
        <v>81413</v>
      </c>
      <c r="AB15" s="51">
        <v>37849</v>
      </c>
      <c r="AC15" s="43">
        <v>2.23</v>
      </c>
      <c r="AD15" s="53">
        <v>369170</v>
      </c>
      <c r="AE15" s="53">
        <v>165270</v>
      </c>
      <c r="AF15" s="27"/>
    </row>
    <row r="16" spans="1:32" ht="10.5" customHeight="1" x14ac:dyDescent="0.15">
      <c r="A16" s="23" t="s">
        <v>46</v>
      </c>
      <c r="B16" s="54">
        <v>5</v>
      </c>
      <c r="C16" s="25">
        <v>36521</v>
      </c>
      <c r="D16" s="25">
        <v>125845</v>
      </c>
      <c r="E16" s="25">
        <v>125845</v>
      </c>
      <c r="F16" s="25">
        <v>125845</v>
      </c>
      <c r="G16" s="25">
        <v>456516</v>
      </c>
      <c r="H16" s="26">
        <v>0.27600000000000002</v>
      </c>
      <c r="I16" s="26">
        <v>0.27600000000000002</v>
      </c>
      <c r="J16" s="26">
        <v>0.27600000000000002</v>
      </c>
      <c r="K16" s="26"/>
      <c r="L16" s="26">
        <v>7.0000000000000007E-2</v>
      </c>
      <c r="M16" s="26">
        <v>8.5000000000000006E-2</v>
      </c>
      <c r="N16" s="26">
        <v>0.105</v>
      </c>
      <c r="O16" s="26">
        <v>0.14099999999999999</v>
      </c>
      <c r="P16" s="25">
        <v>893465</v>
      </c>
      <c r="Q16" s="24">
        <v>4.93</v>
      </c>
      <c r="R16" s="25">
        <v>175790</v>
      </c>
      <c r="S16" s="25">
        <v>35650</v>
      </c>
      <c r="T16" s="24">
        <v>4.8099999999999996</v>
      </c>
      <c r="U16" s="25">
        <v>178910</v>
      </c>
      <c r="V16" s="25">
        <v>37182</v>
      </c>
      <c r="W16" s="24">
        <v>4.75</v>
      </c>
      <c r="X16" s="25">
        <v>184518</v>
      </c>
      <c r="Y16" s="25">
        <v>38886</v>
      </c>
      <c r="Z16" s="24">
        <v>5.26</v>
      </c>
      <c r="AA16" s="25">
        <v>175626</v>
      </c>
      <c r="AB16" s="25">
        <v>33398</v>
      </c>
      <c r="AC16" s="43">
        <v>2.06</v>
      </c>
      <c r="AD16" s="41">
        <v>730809</v>
      </c>
      <c r="AE16" s="41">
        <v>354066</v>
      </c>
      <c r="AF16" s="27"/>
    </row>
    <row r="17" spans="1:32" ht="10.5" customHeight="1" x14ac:dyDescent="0.15">
      <c r="A17" s="22" t="s">
        <v>23</v>
      </c>
      <c r="B17" s="50">
        <v>3</v>
      </c>
      <c r="C17" s="51">
        <v>674527</v>
      </c>
      <c r="D17" s="51">
        <v>1575893</v>
      </c>
      <c r="E17" s="51">
        <v>1283277</v>
      </c>
      <c r="F17" s="51">
        <v>1333277</v>
      </c>
      <c r="G17" s="51">
        <v>8431589</v>
      </c>
      <c r="H17" s="52">
        <v>0.152</v>
      </c>
      <c r="I17" s="52">
        <v>0.158</v>
      </c>
      <c r="J17" s="52">
        <v>0.187</v>
      </c>
      <c r="K17" s="52"/>
      <c r="L17" s="52">
        <v>7.8E-2</v>
      </c>
      <c r="M17" s="52">
        <v>9.6000000000000002E-2</v>
      </c>
      <c r="N17" s="52">
        <v>0.12</v>
      </c>
      <c r="O17" s="52">
        <v>7.1999999999999995E-2</v>
      </c>
      <c r="P17" s="51">
        <v>18519640</v>
      </c>
      <c r="Q17" s="44">
        <v>1.86</v>
      </c>
      <c r="R17" s="51">
        <v>3010362</v>
      </c>
      <c r="S17" s="51">
        <v>1619240</v>
      </c>
      <c r="T17" s="44">
        <v>1.79</v>
      </c>
      <c r="U17" s="51">
        <v>3072724</v>
      </c>
      <c r="V17" s="51">
        <v>1717974</v>
      </c>
      <c r="W17" s="44">
        <v>1.95</v>
      </c>
      <c r="X17" s="51">
        <v>3175043</v>
      </c>
      <c r="Y17" s="51">
        <v>1629585</v>
      </c>
      <c r="Z17" s="44">
        <v>1.84</v>
      </c>
      <c r="AA17" s="51">
        <v>3200753</v>
      </c>
      <c r="AB17" s="51">
        <v>1741448</v>
      </c>
      <c r="AC17" s="43">
        <v>1.43</v>
      </c>
      <c r="AD17" s="53">
        <v>14593453</v>
      </c>
      <c r="AE17" s="53">
        <v>10226675</v>
      </c>
      <c r="AF17" s="27"/>
    </row>
    <row r="18" spans="1:32" ht="10.5" customHeight="1" x14ac:dyDescent="0.15">
      <c r="A18" s="23" t="s">
        <v>94</v>
      </c>
      <c r="B18" s="54">
        <v>4</v>
      </c>
      <c r="C18" s="25">
        <v>190748</v>
      </c>
      <c r="D18" s="25">
        <v>426034</v>
      </c>
      <c r="E18" s="25">
        <v>426034</v>
      </c>
      <c r="F18" s="25">
        <v>426034</v>
      </c>
      <c r="G18" s="25">
        <v>2384356</v>
      </c>
      <c r="H18" s="26">
        <v>0.17899999999999999</v>
      </c>
      <c r="I18" s="26">
        <v>0.17899999999999999</v>
      </c>
      <c r="J18" s="26">
        <v>0.17899999999999999</v>
      </c>
      <c r="K18" s="26"/>
      <c r="L18" s="26">
        <v>7.3999999999999996E-2</v>
      </c>
      <c r="M18" s="26">
        <v>0.09</v>
      </c>
      <c r="N18" s="26">
        <v>0.112</v>
      </c>
      <c r="O18" s="26">
        <v>6.5000000000000002E-2</v>
      </c>
      <c r="P18" s="25">
        <v>6515047</v>
      </c>
      <c r="Q18" s="24">
        <v>1.69</v>
      </c>
      <c r="R18" s="25">
        <v>879377</v>
      </c>
      <c r="S18" s="25">
        <v>519295</v>
      </c>
      <c r="T18" s="24">
        <v>1.76</v>
      </c>
      <c r="U18" s="25">
        <v>886173</v>
      </c>
      <c r="V18" s="25">
        <v>502323</v>
      </c>
      <c r="W18" s="24">
        <v>1.82</v>
      </c>
      <c r="X18" s="25">
        <v>874197</v>
      </c>
      <c r="Y18" s="25">
        <v>479109</v>
      </c>
      <c r="Z18" s="24">
        <v>1.76</v>
      </c>
      <c r="AA18" s="25">
        <v>873232</v>
      </c>
      <c r="AB18" s="25">
        <v>496909</v>
      </c>
      <c r="AC18" s="43">
        <v>1.22</v>
      </c>
      <c r="AD18" s="41">
        <v>4369072</v>
      </c>
      <c r="AE18" s="41">
        <v>3581055</v>
      </c>
      <c r="AF18" s="27"/>
    </row>
    <row r="19" spans="1:32" ht="10.5" customHeight="1" x14ac:dyDescent="0.15">
      <c r="A19" s="22" t="s">
        <v>109</v>
      </c>
      <c r="B19" s="50">
        <v>5</v>
      </c>
      <c r="C19" s="51">
        <v>23073</v>
      </c>
      <c r="D19" s="51">
        <v>68961</v>
      </c>
      <c r="E19" s="51">
        <v>68961</v>
      </c>
      <c r="F19" s="51">
        <v>68961</v>
      </c>
      <c r="G19" s="51">
        <v>288417</v>
      </c>
      <c r="H19" s="52">
        <v>0.23899999999999999</v>
      </c>
      <c r="I19" s="52">
        <v>0.23899999999999999</v>
      </c>
      <c r="J19" s="52">
        <v>0.23899999999999999</v>
      </c>
      <c r="K19" s="52"/>
      <c r="L19" s="52">
        <v>7.0000000000000007E-2</v>
      </c>
      <c r="M19" s="52">
        <v>8.5000000000000006E-2</v>
      </c>
      <c r="N19" s="52">
        <v>0.105</v>
      </c>
      <c r="O19" s="52">
        <v>0.115</v>
      </c>
      <c r="P19" s="51">
        <v>599914</v>
      </c>
      <c r="Q19" s="44">
        <v>1.48</v>
      </c>
      <c r="R19" s="51">
        <v>68046</v>
      </c>
      <c r="S19" s="51">
        <v>46110</v>
      </c>
      <c r="T19" s="44">
        <v>1.39</v>
      </c>
      <c r="U19" s="51">
        <v>67889</v>
      </c>
      <c r="V19" s="51">
        <v>48876</v>
      </c>
      <c r="W19" s="44">
        <v>1.44</v>
      </c>
      <c r="X19" s="51">
        <v>74530</v>
      </c>
      <c r="Y19" s="51">
        <v>51823</v>
      </c>
      <c r="Z19" s="44">
        <v>1.38</v>
      </c>
      <c r="AA19" s="51">
        <v>69299</v>
      </c>
      <c r="AB19" s="51">
        <v>50106</v>
      </c>
      <c r="AC19" s="43">
        <v>1.9</v>
      </c>
      <c r="AD19" s="53">
        <v>372280</v>
      </c>
      <c r="AE19" s="53">
        <v>195505</v>
      </c>
      <c r="AF19" s="27"/>
    </row>
    <row r="20" spans="1:32" ht="10.5" customHeight="1" x14ac:dyDescent="0.15">
      <c r="A20" s="23" t="s">
        <v>131</v>
      </c>
      <c r="B20" s="54">
        <v>5</v>
      </c>
      <c r="C20" s="25">
        <v>37599</v>
      </c>
      <c r="D20" s="25">
        <v>211478</v>
      </c>
      <c r="E20" s="25">
        <v>211478</v>
      </c>
      <c r="F20" s="25">
        <v>211478</v>
      </c>
      <c r="G20" s="25">
        <v>469993</v>
      </c>
      <c r="H20" s="26">
        <v>0.45</v>
      </c>
      <c r="I20" s="26">
        <v>0.45</v>
      </c>
      <c r="J20" s="26">
        <v>0.45</v>
      </c>
      <c r="K20" s="26"/>
      <c r="L20" s="26">
        <v>7.0000000000000007E-2</v>
      </c>
      <c r="M20" s="26">
        <v>8.5000000000000006E-2</v>
      </c>
      <c r="N20" s="26">
        <v>0.105</v>
      </c>
      <c r="O20" s="26">
        <v>0.17299999999999999</v>
      </c>
      <c r="P20" s="25">
        <v>1223510</v>
      </c>
      <c r="Q20" s="24">
        <v>3.93</v>
      </c>
      <c r="R20" s="25">
        <v>190646</v>
      </c>
      <c r="S20" s="25">
        <v>48476</v>
      </c>
      <c r="T20" s="24">
        <v>3.23</v>
      </c>
      <c r="U20" s="25">
        <v>193157</v>
      </c>
      <c r="V20" s="25">
        <v>59870</v>
      </c>
      <c r="W20" s="24">
        <v>2.78</v>
      </c>
      <c r="X20" s="25">
        <v>284005</v>
      </c>
      <c r="Y20" s="25">
        <v>102191</v>
      </c>
      <c r="Z20" s="24">
        <v>2.2599999999999998</v>
      </c>
      <c r="AA20" s="25">
        <v>309700</v>
      </c>
      <c r="AB20" s="25">
        <v>137167</v>
      </c>
      <c r="AC20" s="43">
        <v>1.88</v>
      </c>
      <c r="AD20" s="41">
        <v>699622</v>
      </c>
      <c r="AE20" s="41">
        <v>372761</v>
      </c>
      <c r="AF20" s="27"/>
    </row>
    <row r="21" spans="1:32" ht="10.5" customHeight="1" x14ac:dyDescent="0.15">
      <c r="A21" s="22" t="s">
        <v>142</v>
      </c>
      <c r="B21" s="50">
        <v>4</v>
      </c>
      <c r="C21" s="51">
        <v>112911</v>
      </c>
      <c r="D21" s="51">
        <v>1126776</v>
      </c>
      <c r="E21" s="51">
        <v>1126006</v>
      </c>
      <c r="F21" s="51">
        <v>1126006</v>
      </c>
      <c r="G21" s="51">
        <v>1411387</v>
      </c>
      <c r="H21" s="52">
        <v>0.79800000000000004</v>
      </c>
      <c r="I21" s="52">
        <v>0.79800000000000004</v>
      </c>
      <c r="J21" s="52">
        <v>0.79800000000000004</v>
      </c>
      <c r="K21" s="52"/>
      <c r="L21" s="52">
        <v>7.3999999999999996E-2</v>
      </c>
      <c r="M21" s="52">
        <v>0.09</v>
      </c>
      <c r="N21" s="52">
        <v>0.112</v>
      </c>
      <c r="O21" s="52">
        <v>0.309</v>
      </c>
      <c r="P21" s="51">
        <v>3646936</v>
      </c>
      <c r="Q21" s="44">
        <v>2.11</v>
      </c>
      <c r="R21" s="51">
        <v>1146095</v>
      </c>
      <c r="S21" s="51">
        <v>542752</v>
      </c>
      <c r="T21" s="44">
        <v>1.41</v>
      </c>
      <c r="U21" s="51">
        <v>1034993</v>
      </c>
      <c r="V21" s="51">
        <v>733803</v>
      </c>
      <c r="W21" s="44">
        <v>1.38</v>
      </c>
      <c r="X21" s="51">
        <v>1017866</v>
      </c>
      <c r="Y21" s="51">
        <v>737149</v>
      </c>
      <c r="Z21" s="44">
        <v>1.63</v>
      </c>
      <c r="AA21" s="51">
        <v>1075089</v>
      </c>
      <c r="AB21" s="51">
        <v>660501</v>
      </c>
      <c r="AC21" s="43">
        <v>1.94</v>
      </c>
      <c r="AD21" s="53">
        <v>2558879</v>
      </c>
      <c r="AE21" s="53">
        <v>1316526</v>
      </c>
      <c r="AF21" s="27"/>
    </row>
    <row r="22" spans="1:32" ht="10.5" customHeight="1" x14ac:dyDescent="0.15">
      <c r="A22" s="23" t="s">
        <v>143</v>
      </c>
      <c r="B22" s="54">
        <v>4</v>
      </c>
      <c r="C22" s="25">
        <v>152000</v>
      </c>
      <c r="D22" s="25">
        <v>318411</v>
      </c>
      <c r="E22" s="25">
        <v>216582</v>
      </c>
      <c r="F22" s="25">
        <v>216582</v>
      </c>
      <c r="G22" s="25">
        <v>1900003</v>
      </c>
      <c r="H22" s="26">
        <v>0.114</v>
      </c>
      <c r="I22" s="26">
        <v>0.114</v>
      </c>
      <c r="J22" s="26">
        <v>0.16800000000000001</v>
      </c>
      <c r="K22" s="26"/>
      <c r="L22" s="26">
        <v>7.3999999999999996E-2</v>
      </c>
      <c r="M22" s="26">
        <v>0.09</v>
      </c>
      <c r="N22" s="26">
        <v>0.112</v>
      </c>
      <c r="O22" s="26">
        <v>4.5999999999999999E-2</v>
      </c>
      <c r="P22" s="25">
        <v>4747003</v>
      </c>
      <c r="Q22" s="24">
        <v>1.67</v>
      </c>
      <c r="R22" s="25">
        <v>477949</v>
      </c>
      <c r="S22" s="25">
        <v>286601</v>
      </c>
      <c r="T22" s="24">
        <v>1.77</v>
      </c>
      <c r="U22" s="25">
        <v>509382</v>
      </c>
      <c r="V22" s="25">
        <v>287181</v>
      </c>
      <c r="W22" s="24">
        <v>1.63</v>
      </c>
      <c r="X22" s="25">
        <v>523579</v>
      </c>
      <c r="Y22" s="25">
        <v>321712</v>
      </c>
      <c r="Z22" s="24">
        <v>1.8</v>
      </c>
      <c r="AA22" s="25">
        <v>557799</v>
      </c>
      <c r="AB22" s="25">
        <v>310231</v>
      </c>
      <c r="AC22" s="43">
        <v>1.25</v>
      </c>
      <c r="AD22" s="41">
        <v>4158952</v>
      </c>
      <c r="AE22" s="41">
        <v>3332156</v>
      </c>
      <c r="AF22" s="27"/>
    </row>
    <row r="23" spans="1:32" ht="10.5" customHeight="1" x14ac:dyDescent="0.15">
      <c r="A23" s="22" t="s">
        <v>65</v>
      </c>
      <c r="B23" s="50">
        <v>5</v>
      </c>
      <c r="C23" s="51">
        <v>39684</v>
      </c>
      <c r="D23" s="51">
        <v>86582</v>
      </c>
      <c r="E23" s="51">
        <v>86575</v>
      </c>
      <c r="F23" s="51">
        <v>86575</v>
      </c>
      <c r="G23" s="51">
        <v>496056</v>
      </c>
      <c r="H23" s="52">
        <v>0.17499999999999999</v>
      </c>
      <c r="I23" s="52">
        <v>0.17499999999999999</v>
      </c>
      <c r="J23" s="52">
        <v>0.17499999999999999</v>
      </c>
      <c r="K23" s="52"/>
      <c r="L23" s="52">
        <v>7.0000000000000007E-2</v>
      </c>
      <c r="M23" s="52">
        <v>8.5000000000000006E-2</v>
      </c>
      <c r="N23" s="52">
        <v>0.105</v>
      </c>
      <c r="O23" s="52">
        <v>7.3999999999999996E-2</v>
      </c>
      <c r="P23" s="51">
        <v>1166039</v>
      </c>
      <c r="Q23" s="44">
        <v>2.3199999999999998</v>
      </c>
      <c r="R23" s="51">
        <v>119309</v>
      </c>
      <c r="S23" s="51">
        <v>51503</v>
      </c>
      <c r="T23" s="44">
        <v>2.63</v>
      </c>
      <c r="U23" s="51">
        <v>129645</v>
      </c>
      <c r="V23" s="51">
        <v>49379</v>
      </c>
      <c r="W23" s="44">
        <v>2.25</v>
      </c>
      <c r="X23" s="51">
        <v>127271</v>
      </c>
      <c r="Y23" s="51">
        <v>56521</v>
      </c>
      <c r="Z23" s="44">
        <v>2.0099999999999998</v>
      </c>
      <c r="AA23" s="51">
        <v>109462</v>
      </c>
      <c r="AB23" s="51">
        <v>54351</v>
      </c>
      <c r="AC23" s="43">
        <v>1.37</v>
      </c>
      <c r="AD23" s="53">
        <v>1060913</v>
      </c>
      <c r="AE23" s="53">
        <v>776859</v>
      </c>
      <c r="AF23" s="27"/>
    </row>
    <row r="24" spans="1:32" ht="10.5" customHeight="1" x14ac:dyDescent="0.15">
      <c r="A24" s="23" t="s">
        <v>73</v>
      </c>
      <c r="B24" s="54">
        <v>4</v>
      </c>
      <c r="C24" s="25">
        <v>436354</v>
      </c>
      <c r="D24" s="25">
        <v>782905</v>
      </c>
      <c r="E24" s="25">
        <v>538238</v>
      </c>
      <c r="F24" s="25">
        <v>628238</v>
      </c>
      <c r="G24" s="25">
        <v>5454421</v>
      </c>
      <c r="H24" s="26">
        <v>9.9000000000000005E-2</v>
      </c>
      <c r="I24" s="26">
        <v>0.115</v>
      </c>
      <c r="J24" s="26">
        <v>0.14399999999999999</v>
      </c>
      <c r="K24" s="26"/>
      <c r="L24" s="26">
        <v>7.3999999999999996E-2</v>
      </c>
      <c r="M24" s="26">
        <v>0.09</v>
      </c>
      <c r="N24" s="26">
        <v>0.112</v>
      </c>
      <c r="O24" s="26">
        <v>4.5999999999999999E-2</v>
      </c>
      <c r="P24" s="25">
        <v>13603695</v>
      </c>
      <c r="Q24" s="24">
        <v>2.16</v>
      </c>
      <c r="R24" s="25">
        <v>2067468</v>
      </c>
      <c r="S24" s="25">
        <v>958649</v>
      </c>
      <c r="T24" s="24">
        <v>2.31</v>
      </c>
      <c r="U24" s="25">
        <v>1889332</v>
      </c>
      <c r="V24" s="25">
        <v>817901</v>
      </c>
      <c r="W24" s="24">
        <v>2.41</v>
      </c>
      <c r="X24" s="25">
        <v>2230664</v>
      </c>
      <c r="Y24" s="25">
        <v>925767</v>
      </c>
      <c r="Z24" s="24">
        <v>2.44</v>
      </c>
      <c r="AA24" s="25">
        <v>2162470</v>
      </c>
      <c r="AB24" s="25">
        <v>886225</v>
      </c>
      <c r="AC24" s="43">
        <v>1.23</v>
      </c>
      <c r="AD24" s="41">
        <v>8051721</v>
      </c>
      <c r="AE24" s="41">
        <v>6525168</v>
      </c>
      <c r="AF24" s="27"/>
    </row>
    <row r="25" spans="1:32" ht="10.5" customHeight="1" x14ac:dyDescent="0.15">
      <c r="A25" s="22" t="s">
        <v>56</v>
      </c>
      <c r="B25" s="50">
        <v>3</v>
      </c>
      <c r="C25" s="51">
        <v>600306</v>
      </c>
      <c r="D25" s="51">
        <v>1370716</v>
      </c>
      <c r="E25" s="51">
        <v>1260882</v>
      </c>
      <c r="F25" s="51">
        <v>1350882</v>
      </c>
      <c r="G25" s="51">
        <v>7503822</v>
      </c>
      <c r="H25" s="52">
        <v>0.16800000000000001</v>
      </c>
      <c r="I25" s="52">
        <v>0.18</v>
      </c>
      <c r="J25" s="52">
        <v>0.183</v>
      </c>
      <c r="K25" s="52"/>
      <c r="L25" s="52">
        <v>7.8E-2</v>
      </c>
      <c r="M25" s="52">
        <v>9.6000000000000002E-2</v>
      </c>
      <c r="N25" s="52">
        <v>0.12</v>
      </c>
      <c r="O25" s="52">
        <v>6.5000000000000002E-2</v>
      </c>
      <c r="P25" s="51">
        <v>20931722</v>
      </c>
      <c r="Q25" s="44">
        <v>2.04</v>
      </c>
      <c r="R25" s="51">
        <v>3301293</v>
      </c>
      <c r="S25" s="51">
        <v>1617394</v>
      </c>
      <c r="T25" s="44">
        <v>1.86</v>
      </c>
      <c r="U25" s="51">
        <v>3481802</v>
      </c>
      <c r="V25" s="51">
        <v>1875399</v>
      </c>
      <c r="W25" s="44">
        <v>1.73</v>
      </c>
      <c r="X25" s="51">
        <v>3641878</v>
      </c>
      <c r="Y25" s="51">
        <v>2105342</v>
      </c>
      <c r="Z25" s="44">
        <v>1.59</v>
      </c>
      <c r="AA25" s="51">
        <v>3878068</v>
      </c>
      <c r="AB25" s="51">
        <v>2440369</v>
      </c>
      <c r="AC25" s="43">
        <v>1.39</v>
      </c>
      <c r="AD25" s="53">
        <v>16714538</v>
      </c>
      <c r="AE25" s="53">
        <v>11982724</v>
      </c>
      <c r="AF25" s="27"/>
    </row>
    <row r="26" spans="1:32" ht="10.5" customHeight="1" x14ac:dyDescent="0.15">
      <c r="A26" s="23" t="s">
        <v>20</v>
      </c>
      <c r="B26" s="54">
        <v>4</v>
      </c>
      <c r="C26" s="25">
        <v>51515</v>
      </c>
      <c r="D26" s="25">
        <v>119222</v>
      </c>
      <c r="E26" s="25">
        <v>110068</v>
      </c>
      <c r="F26" s="25">
        <v>110068</v>
      </c>
      <c r="G26" s="25">
        <v>643943</v>
      </c>
      <c r="H26" s="26">
        <v>0.17100000000000001</v>
      </c>
      <c r="I26" s="26">
        <v>0.17100000000000001</v>
      </c>
      <c r="J26" s="26">
        <v>0.185</v>
      </c>
      <c r="K26" s="26"/>
      <c r="L26" s="26">
        <v>7.3999999999999996E-2</v>
      </c>
      <c r="M26" s="26">
        <v>0.09</v>
      </c>
      <c r="N26" s="26">
        <v>0.112</v>
      </c>
      <c r="O26" s="26">
        <v>7.0000000000000007E-2</v>
      </c>
      <c r="P26" s="25">
        <v>1564980</v>
      </c>
      <c r="Q26" s="24">
        <v>2.56</v>
      </c>
      <c r="R26" s="25">
        <v>270576</v>
      </c>
      <c r="S26" s="25">
        <v>105700</v>
      </c>
      <c r="T26" s="24">
        <v>2.68</v>
      </c>
      <c r="U26" s="25">
        <v>289213</v>
      </c>
      <c r="V26" s="25">
        <v>107864</v>
      </c>
      <c r="W26" s="24">
        <v>2.75</v>
      </c>
      <c r="X26" s="25">
        <v>325723</v>
      </c>
      <c r="Y26" s="25">
        <v>118418</v>
      </c>
      <c r="Z26" s="24">
        <v>2.85</v>
      </c>
      <c r="AA26" s="25">
        <v>327300</v>
      </c>
      <c r="AB26" s="25">
        <v>114690</v>
      </c>
      <c r="AC26" s="43">
        <v>1.36</v>
      </c>
      <c r="AD26" s="41">
        <v>1259446</v>
      </c>
      <c r="AE26" s="41">
        <v>927615</v>
      </c>
      <c r="AF26" s="27"/>
    </row>
    <row r="27" spans="1:32" ht="10.5" customHeight="1" x14ac:dyDescent="0.15">
      <c r="A27" s="22" t="s">
        <v>43</v>
      </c>
      <c r="B27" s="50">
        <v>3</v>
      </c>
      <c r="C27" s="51">
        <v>851436</v>
      </c>
      <c r="D27" s="51">
        <v>3128521</v>
      </c>
      <c r="E27" s="51">
        <v>3052919</v>
      </c>
      <c r="F27" s="51">
        <v>3052919</v>
      </c>
      <c r="G27" s="51">
        <v>10642951</v>
      </c>
      <c r="H27" s="52">
        <v>0.28699999999999998</v>
      </c>
      <c r="I27" s="52">
        <v>0.28699999999999998</v>
      </c>
      <c r="J27" s="52">
        <v>0.29399999999999998</v>
      </c>
      <c r="K27" s="52"/>
      <c r="L27" s="52">
        <v>7.8E-2</v>
      </c>
      <c r="M27" s="52">
        <v>9.6000000000000002E-2</v>
      </c>
      <c r="N27" s="52">
        <v>0.12</v>
      </c>
      <c r="O27" s="52">
        <v>8.5999999999999993E-2</v>
      </c>
      <c r="P27" s="51">
        <v>35589730</v>
      </c>
      <c r="Q27" s="44">
        <v>1.41</v>
      </c>
      <c r="R27" s="51">
        <v>8135956</v>
      </c>
      <c r="S27" s="51">
        <v>5766393</v>
      </c>
      <c r="T27" s="44">
        <v>1.49</v>
      </c>
      <c r="U27" s="51">
        <v>9563906</v>
      </c>
      <c r="V27" s="51">
        <v>6409644</v>
      </c>
      <c r="W27" s="44">
        <v>1.58</v>
      </c>
      <c r="X27" s="51">
        <v>9834439</v>
      </c>
      <c r="Y27" s="51">
        <v>6233266</v>
      </c>
      <c r="Z27" s="44">
        <v>1.54</v>
      </c>
      <c r="AA27" s="51">
        <v>9994665</v>
      </c>
      <c r="AB27" s="51">
        <v>6498074</v>
      </c>
      <c r="AC27" s="43">
        <v>1.22</v>
      </c>
      <c r="AD27" s="53">
        <v>16556434</v>
      </c>
      <c r="AE27" s="53">
        <v>13547409</v>
      </c>
      <c r="AF27" s="27"/>
    </row>
    <row r="28" spans="1:32" ht="10.5" customHeight="1" x14ac:dyDescent="0.15">
      <c r="A28" s="23" t="s">
        <v>35</v>
      </c>
      <c r="B28" s="54">
        <v>3</v>
      </c>
      <c r="C28" s="25">
        <v>1505482</v>
      </c>
      <c r="D28" s="25">
        <v>4278718</v>
      </c>
      <c r="E28" s="25">
        <v>3687168</v>
      </c>
      <c r="F28" s="25">
        <v>4167168</v>
      </c>
      <c r="G28" s="25">
        <v>18818524</v>
      </c>
      <c r="H28" s="26">
        <v>0.19600000000000001</v>
      </c>
      <c r="I28" s="26">
        <v>0.221</v>
      </c>
      <c r="J28" s="26">
        <v>0.22700000000000001</v>
      </c>
      <c r="K28" s="26"/>
      <c r="L28" s="26">
        <v>7.8E-2</v>
      </c>
      <c r="M28" s="26">
        <v>9.6000000000000002E-2</v>
      </c>
      <c r="N28" s="26">
        <v>0.12</v>
      </c>
      <c r="O28" s="26">
        <v>3.6999999999999998E-2</v>
      </c>
      <c r="P28" s="25">
        <v>112133779</v>
      </c>
      <c r="Q28" s="24">
        <v>1.41</v>
      </c>
      <c r="R28" s="25">
        <v>20076958</v>
      </c>
      <c r="S28" s="25">
        <v>14269145</v>
      </c>
      <c r="T28" s="24">
        <v>1.6</v>
      </c>
      <c r="U28" s="25">
        <v>21119595</v>
      </c>
      <c r="V28" s="25">
        <v>13227543</v>
      </c>
      <c r="W28" s="24">
        <v>1.51</v>
      </c>
      <c r="X28" s="25">
        <v>21748593</v>
      </c>
      <c r="Y28" s="25">
        <v>14436091</v>
      </c>
      <c r="Z28" s="24">
        <v>1.58</v>
      </c>
      <c r="AA28" s="25">
        <v>23443993</v>
      </c>
      <c r="AB28" s="25">
        <v>14880475</v>
      </c>
      <c r="AC28" s="43">
        <v>1.3</v>
      </c>
      <c r="AD28" s="41">
        <v>62245817</v>
      </c>
      <c r="AE28" s="41">
        <v>47926753</v>
      </c>
      <c r="AF28" s="27"/>
    </row>
    <row r="29" spans="1:32" ht="10.5" customHeight="1" x14ac:dyDescent="0.15">
      <c r="A29" s="22" t="s">
        <v>66</v>
      </c>
      <c r="B29" s="50">
        <v>4</v>
      </c>
      <c r="C29" s="51">
        <v>288481</v>
      </c>
      <c r="D29" s="51">
        <v>558652</v>
      </c>
      <c r="E29" s="51">
        <v>558652</v>
      </c>
      <c r="F29" s="51">
        <v>558652</v>
      </c>
      <c r="G29" s="51">
        <v>3606019</v>
      </c>
      <c r="H29" s="52">
        <v>0.155</v>
      </c>
      <c r="I29" s="52">
        <v>0.155</v>
      </c>
      <c r="J29" s="52">
        <v>0.155</v>
      </c>
      <c r="K29" s="52"/>
      <c r="L29" s="52">
        <v>7.3999999999999996E-2</v>
      </c>
      <c r="M29" s="52">
        <v>0.09</v>
      </c>
      <c r="N29" s="52">
        <v>0.112</v>
      </c>
      <c r="O29" s="52">
        <v>6.4000000000000001E-2</v>
      </c>
      <c r="P29" s="51">
        <v>8779116</v>
      </c>
      <c r="Q29" s="44">
        <v>1.32</v>
      </c>
      <c r="R29" s="51">
        <v>1612961</v>
      </c>
      <c r="S29" s="51">
        <v>1221070</v>
      </c>
      <c r="T29" s="44">
        <v>1.32</v>
      </c>
      <c r="U29" s="51">
        <v>1620001</v>
      </c>
      <c r="V29" s="51">
        <v>1224790</v>
      </c>
      <c r="W29" s="44">
        <v>1.36</v>
      </c>
      <c r="X29" s="51">
        <v>1631550</v>
      </c>
      <c r="Y29" s="51">
        <v>1201691</v>
      </c>
      <c r="Z29" s="44">
        <v>1.3</v>
      </c>
      <c r="AA29" s="51">
        <v>1662083</v>
      </c>
      <c r="AB29" s="51">
        <v>1280366</v>
      </c>
      <c r="AC29" s="43">
        <v>1.19</v>
      </c>
      <c r="AD29" s="53">
        <v>5846182</v>
      </c>
      <c r="AE29" s="53">
        <v>4930752</v>
      </c>
      <c r="AF29" s="27"/>
    </row>
    <row r="30" spans="1:32" ht="10.5" customHeight="1" x14ac:dyDescent="0.15">
      <c r="A30" s="23" t="s">
        <v>119</v>
      </c>
      <c r="B30" s="54">
        <v>5</v>
      </c>
      <c r="C30" s="25">
        <v>23149</v>
      </c>
      <c r="D30" s="25">
        <v>50889</v>
      </c>
      <c r="E30" s="25">
        <v>45466</v>
      </c>
      <c r="F30" s="25">
        <v>45466</v>
      </c>
      <c r="G30" s="25">
        <v>289365</v>
      </c>
      <c r="H30" s="26">
        <v>0.157</v>
      </c>
      <c r="I30" s="26">
        <v>0.157</v>
      </c>
      <c r="J30" s="26">
        <v>0.17599999999999999</v>
      </c>
      <c r="K30" s="26"/>
      <c r="L30" s="26">
        <v>7.0000000000000007E-2</v>
      </c>
      <c r="M30" s="26">
        <v>8.5000000000000006E-2</v>
      </c>
      <c r="N30" s="26">
        <v>0.105</v>
      </c>
      <c r="O30" s="26">
        <v>6.5000000000000002E-2</v>
      </c>
      <c r="P30" s="25">
        <v>702677</v>
      </c>
      <c r="Q30" s="24">
        <v>1.6</v>
      </c>
      <c r="R30" s="25">
        <v>72183</v>
      </c>
      <c r="S30" s="25">
        <v>45165</v>
      </c>
      <c r="T30" s="24">
        <v>1.41</v>
      </c>
      <c r="U30" s="25">
        <v>69655</v>
      </c>
      <c r="V30" s="25">
        <v>49519</v>
      </c>
      <c r="W30" s="24">
        <v>1.56</v>
      </c>
      <c r="X30" s="25">
        <v>82456</v>
      </c>
      <c r="Y30" s="25">
        <v>52869</v>
      </c>
      <c r="Z30" s="24">
        <v>1.46</v>
      </c>
      <c r="AA30" s="25">
        <v>91890</v>
      </c>
      <c r="AB30" s="25">
        <v>63082</v>
      </c>
      <c r="AC30" s="43">
        <v>1.37</v>
      </c>
      <c r="AD30" s="41">
        <v>598629</v>
      </c>
      <c r="AE30" s="41">
        <v>437736</v>
      </c>
      <c r="AF30" s="27"/>
    </row>
    <row r="31" spans="1:32" ht="10.5" customHeight="1" x14ac:dyDescent="0.15">
      <c r="A31" s="22" t="s">
        <v>130</v>
      </c>
      <c r="B31" s="50">
        <v>5</v>
      </c>
      <c r="C31" s="51">
        <v>5426</v>
      </c>
      <c r="D31" s="51">
        <v>24867</v>
      </c>
      <c r="E31" s="51">
        <v>24867</v>
      </c>
      <c r="F31" s="51">
        <v>24867</v>
      </c>
      <c r="G31" s="51">
        <v>67825</v>
      </c>
      <c r="H31" s="52">
        <v>0.36699999999999999</v>
      </c>
      <c r="I31" s="52">
        <v>0.36699999999999999</v>
      </c>
      <c r="J31" s="52">
        <v>0.36699999999999999</v>
      </c>
      <c r="K31" s="52"/>
      <c r="L31" s="52">
        <v>7.0000000000000007E-2</v>
      </c>
      <c r="M31" s="52">
        <v>8.5000000000000006E-2</v>
      </c>
      <c r="N31" s="52">
        <v>0.105</v>
      </c>
      <c r="O31" s="52">
        <v>7.9000000000000001E-2</v>
      </c>
      <c r="P31" s="51">
        <v>315121</v>
      </c>
      <c r="Q31" s="44">
        <v>2.36</v>
      </c>
      <c r="R31" s="51">
        <v>67289</v>
      </c>
      <c r="S31" s="51">
        <v>28515</v>
      </c>
      <c r="T31" s="44">
        <v>2.39</v>
      </c>
      <c r="U31" s="51">
        <v>68201</v>
      </c>
      <c r="V31" s="51">
        <v>28558</v>
      </c>
      <c r="W31" s="44">
        <v>2.0099999999999998</v>
      </c>
      <c r="X31" s="51">
        <v>65400</v>
      </c>
      <c r="Y31" s="51">
        <v>32503</v>
      </c>
      <c r="Z31" s="44">
        <v>2.83</v>
      </c>
      <c r="AA31" s="51">
        <v>63453</v>
      </c>
      <c r="AB31" s="51">
        <v>22415</v>
      </c>
      <c r="AC31" s="43">
        <v>1.68</v>
      </c>
      <c r="AD31" s="53">
        <v>207981</v>
      </c>
      <c r="AE31" s="53">
        <v>123846</v>
      </c>
      <c r="AF31" s="27"/>
    </row>
    <row r="32" spans="1:32" ht="10.5" customHeight="1" x14ac:dyDescent="0.15">
      <c r="A32" s="23" t="s">
        <v>41</v>
      </c>
      <c r="B32" s="54">
        <v>3</v>
      </c>
      <c r="C32" s="25">
        <v>403600</v>
      </c>
      <c r="D32" s="25">
        <v>1267288</v>
      </c>
      <c r="E32" s="25">
        <v>1165923</v>
      </c>
      <c r="F32" s="25">
        <v>1165923</v>
      </c>
      <c r="G32" s="25">
        <v>5044800</v>
      </c>
      <c r="H32" s="26">
        <v>0.23100000000000001</v>
      </c>
      <c r="I32" s="26">
        <v>0.23100000000000001</v>
      </c>
      <c r="J32" s="26">
        <v>0.251</v>
      </c>
      <c r="K32" s="26"/>
      <c r="L32" s="26">
        <v>7.8E-2</v>
      </c>
      <c r="M32" s="26">
        <v>9.6000000000000002E-2</v>
      </c>
      <c r="N32" s="26">
        <v>0.12</v>
      </c>
      <c r="O32" s="26">
        <v>5.0999999999999997E-2</v>
      </c>
      <c r="P32" s="25">
        <v>22781000</v>
      </c>
      <c r="Q32" s="24">
        <v>1.18</v>
      </c>
      <c r="R32" s="25">
        <v>5130767</v>
      </c>
      <c r="S32" s="25">
        <v>4362357</v>
      </c>
      <c r="T32" s="24">
        <v>1.1200000000000001</v>
      </c>
      <c r="U32" s="25">
        <v>5405476</v>
      </c>
      <c r="V32" s="25">
        <v>4807872</v>
      </c>
      <c r="W32" s="24">
        <v>1.1299999999999999</v>
      </c>
      <c r="X32" s="25">
        <v>5403000</v>
      </c>
      <c r="Y32" s="25">
        <v>4787300</v>
      </c>
      <c r="Z32" s="24">
        <v>1.22</v>
      </c>
      <c r="AA32" s="25">
        <v>5943400</v>
      </c>
      <c r="AB32" s="25">
        <v>4853000</v>
      </c>
      <c r="AC32" s="43">
        <v>1.25</v>
      </c>
      <c r="AD32" s="41">
        <v>11312094</v>
      </c>
      <c r="AE32" s="41">
        <v>9055013</v>
      </c>
      <c r="AF32" s="27"/>
    </row>
    <row r="33" spans="1:32" ht="10.5" customHeight="1" x14ac:dyDescent="0.15">
      <c r="A33" s="22" t="s">
        <v>19</v>
      </c>
      <c r="B33" s="50">
        <v>5</v>
      </c>
      <c r="C33" s="51">
        <v>42594</v>
      </c>
      <c r="D33" s="51">
        <v>89223</v>
      </c>
      <c r="E33" s="51">
        <v>64905</v>
      </c>
      <c r="F33" s="51">
        <v>64905</v>
      </c>
      <c r="G33" s="51">
        <v>532428</v>
      </c>
      <c r="H33" s="52">
        <v>0.122</v>
      </c>
      <c r="I33" s="52">
        <v>0.122</v>
      </c>
      <c r="J33" s="52">
        <v>0.16800000000000001</v>
      </c>
      <c r="K33" s="52"/>
      <c r="L33" s="52">
        <v>7.0000000000000007E-2</v>
      </c>
      <c r="M33" s="52">
        <v>8.5000000000000006E-2</v>
      </c>
      <c r="N33" s="52">
        <v>0.105</v>
      </c>
      <c r="O33" s="52">
        <v>4.3999999999999997E-2</v>
      </c>
      <c r="P33" s="51">
        <v>1479090</v>
      </c>
      <c r="Q33" s="44">
        <v>1.8</v>
      </c>
      <c r="R33" s="51">
        <v>182991</v>
      </c>
      <c r="S33" s="51">
        <v>101824</v>
      </c>
      <c r="T33" s="44">
        <v>1.9</v>
      </c>
      <c r="U33" s="51">
        <v>207353</v>
      </c>
      <c r="V33" s="51">
        <v>109331</v>
      </c>
      <c r="W33" s="44">
        <v>2.0099999999999998</v>
      </c>
      <c r="X33" s="51">
        <v>260878</v>
      </c>
      <c r="Y33" s="51">
        <v>129616</v>
      </c>
      <c r="Z33" s="44">
        <v>1.97</v>
      </c>
      <c r="AA33" s="51">
        <v>250404</v>
      </c>
      <c r="AB33" s="51">
        <v>126968</v>
      </c>
      <c r="AC33" s="43">
        <v>1.35</v>
      </c>
      <c r="AD33" s="53">
        <v>1190985</v>
      </c>
      <c r="AE33" s="53">
        <v>883815</v>
      </c>
      <c r="AF33" s="27"/>
    </row>
    <row r="34" spans="1:32" ht="10.5" customHeight="1" x14ac:dyDescent="0.15">
      <c r="A34" s="23" t="s">
        <v>128</v>
      </c>
      <c r="B34" s="54">
        <v>5</v>
      </c>
      <c r="C34" s="25">
        <v>9277</v>
      </c>
      <c r="D34" s="25">
        <v>58062</v>
      </c>
      <c r="E34" s="25">
        <v>57933</v>
      </c>
      <c r="F34" s="25">
        <v>57933</v>
      </c>
      <c r="G34" s="25">
        <v>115963</v>
      </c>
      <c r="H34" s="26">
        <v>0.5</v>
      </c>
      <c r="I34" s="26">
        <v>0.5</v>
      </c>
      <c r="J34" s="26">
        <v>0.501</v>
      </c>
      <c r="K34" s="26"/>
      <c r="L34" s="26">
        <v>7.0000000000000007E-2</v>
      </c>
      <c r="M34" s="26">
        <v>8.5000000000000006E-2</v>
      </c>
      <c r="N34" s="26">
        <v>0.105</v>
      </c>
      <c r="O34" s="26">
        <v>0.109</v>
      </c>
      <c r="P34" s="25">
        <v>529467</v>
      </c>
      <c r="Q34" s="24">
        <v>11.86</v>
      </c>
      <c r="R34" s="25">
        <v>339019</v>
      </c>
      <c r="S34" s="25">
        <v>28587</v>
      </c>
      <c r="T34" s="24">
        <v>11.62</v>
      </c>
      <c r="U34" s="25">
        <v>337635</v>
      </c>
      <c r="V34" s="25">
        <v>29067</v>
      </c>
      <c r="W34" s="24">
        <v>10.74</v>
      </c>
      <c r="X34" s="25">
        <v>355718</v>
      </c>
      <c r="Y34" s="25">
        <v>33124</v>
      </c>
      <c r="Z34" s="24">
        <v>10.25</v>
      </c>
      <c r="AA34" s="25">
        <v>341502</v>
      </c>
      <c r="AB34" s="25">
        <v>33317</v>
      </c>
      <c r="AC34" s="43">
        <v>11.13</v>
      </c>
      <c r="AD34" s="41">
        <v>464414</v>
      </c>
      <c r="AE34" s="41">
        <v>41736</v>
      </c>
      <c r="AF34" s="27"/>
    </row>
    <row r="35" spans="1:32" ht="10.5" customHeight="1" x14ac:dyDescent="0.15">
      <c r="A35" s="22" t="s">
        <v>125</v>
      </c>
      <c r="B35" s="50">
        <v>5</v>
      </c>
      <c r="C35" s="51">
        <v>231362</v>
      </c>
      <c r="D35" s="51">
        <v>373282</v>
      </c>
      <c r="E35" s="51">
        <v>283282</v>
      </c>
      <c r="F35" s="51">
        <v>323282</v>
      </c>
      <c r="G35" s="51">
        <v>2892023</v>
      </c>
      <c r="H35" s="52">
        <v>9.8000000000000004E-2</v>
      </c>
      <c r="I35" s="52">
        <v>0.112</v>
      </c>
      <c r="J35" s="52">
        <v>0.129</v>
      </c>
      <c r="K35" s="52"/>
      <c r="L35" s="52">
        <v>7.0000000000000007E-2</v>
      </c>
      <c r="M35" s="52">
        <v>8.5000000000000006E-2</v>
      </c>
      <c r="N35" s="52">
        <v>0.105</v>
      </c>
      <c r="O35" s="52">
        <v>7.4999999999999997E-2</v>
      </c>
      <c r="P35" s="51">
        <v>4306013</v>
      </c>
      <c r="Q35" s="30" t="s">
        <v>204</v>
      </c>
      <c r="R35" s="55" t="s">
        <v>204</v>
      </c>
      <c r="S35" s="55" t="s">
        <v>204</v>
      </c>
      <c r="T35" s="30" t="s">
        <v>204</v>
      </c>
      <c r="U35" s="55" t="s">
        <v>204</v>
      </c>
      <c r="V35" s="55" t="s">
        <v>204</v>
      </c>
      <c r="W35" s="30" t="s">
        <v>204</v>
      </c>
      <c r="X35" s="55" t="s">
        <v>204</v>
      </c>
      <c r="Y35" s="55" t="s">
        <v>204</v>
      </c>
      <c r="Z35" s="30" t="s">
        <v>204</v>
      </c>
      <c r="AA35" s="55" t="s">
        <v>204</v>
      </c>
      <c r="AB35" s="55" t="s">
        <v>204</v>
      </c>
      <c r="AC35" s="45" t="s">
        <v>204</v>
      </c>
      <c r="AD35" s="56" t="s">
        <v>204</v>
      </c>
      <c r="AE35" s="56" t="s">
        <v>204</v>
      </c>
      <c r="AF35" s="27"/>
    </row>
    <row r="36" spans="1:32" ht="10.5" customHeight="1" x14ac:dyDescent="0.15">
      <c r="A36" s="23" t="s">
        <v>192</v>
      </c>
      <c r="B36" s="54">
        <v>4</v>
      </c>
      <c r="C36" s="25">
        <v>29051</v>
      </c>
      <c r="D36" s="25">
        <v>185468</v>
      </c>
      <c r="E36" s="25">
        <v>179796</v>
      </c>
      <c r="F36" s="25">
        <v>179796</v>
      </c>
      <c r="G36" s="25">
        <v>363135</v>
      </c>
      <c r="H36" s="26">
        <v>0.495</v>
      </c>
      <c r="I36" s="26">
        <v>0.495</v>
      </c>
      <c r="J36" s="26">
        <v>0.51100000000000001</v>
      </c>
      <c r="K36" s="26"/>
      <c r="L36" s="26">
        <v>7.3999999999999996E-2</v>
      </c>
      <c r="M36" s="26">
        <v>0.09</v>
      </c>
      <c r="N36" s="26">
        <v>0.112</v>
      </c>
      <c r="O36" s="26">
        <v>9.7000000000000003E-2</v>
      </c>
      <c r="P36" s="25">
        <v>1857276</v>
      </c>
      <c r="Q36" s="24">
        <v>5.07</v>
      </c>
      <c r="R36" s="25">
        <v>847515</v>
      </c>
      <c r="S36" s="25">
        <v>167119</v>
      </c>
      <c r="T36" s="24">
        <v>6.66</v>
      </c>
      <c r="U36" s="25">
        <v>896280</v>
      </c>
      <c r="V36" s="25">
        <v>134628</v>
      </c>
      <c r="W36" s="24">
        <v>5.1100000000000003</v>
      </c>
      <c r="X36" s="25">
        <v>933445</v>
      </c>
      <c r="Y36" s="25">
        <v>182727</v>
      </c>
      <c r="Z36" s="24">
        <v>4.04</v>
      </c>
      <c r="AA36" s="25">
        <v>947820</v>
      </c>
      <c r="AB36" s="25">
        <v>234667</v>
      </c>
      <c r="AC36" s="43">
        <v>3.12</v>
      </c>
      <c r="AD36" s="41">
        <v>1482145</v>
      </c>
      <c r="AE36" s="41">
        <v>474571</v>
      </c>
      <c r="AF36" s="27"/>
    </row>
    <row r="37" spans="1:32" ht="10.5" customHeight="1" x14ac:dyDescent="0.15">
      <c r="A37" s="22" t="s">
        <v>10</v>
      </c>
      <c r="B37" s="50">
        <v>3</v>
      </c>
      <c r="C37" s="51">
        <v>978032</v>
      </c>
      <c r="D37" s="51">
        <v>2254272</v>
      </c>
      <c r="E37" s="51">
        <v>2251504</v>
      </c>
      <c r="F37" s="51">
        <v>2251504</v>
      </c>
      <c r="G37" s="51">
        <v>12225400</v>
      </c>
      <c r="H37" s="52">
        <v>0.184</v>
      </c>
      <c r="I37" s="52">
        <v>0.184</v>
      </c>
      <c r="J37" s="52">
        <v>0.184</v>
      </c>
      <c r="K37" s="52"/>
      <c r="L37" s="52">
        <v>7.8E-2</v>
      </c>
      <c r="M37" s="52">
        <v>9.6000000000000002E-2</v>
      </c>
      <c r="N37" s="52">
        <v>0.12</v>
      </c>
      <c r="O37" s="52">
        <v>7.9000000000000001E-2</v>
      </c>
      <c r="P37" s="51">
        <v>28434741</v>
      </c>
      <c r="Q37" s="44">
        <v>1.86</v>
      </c>
      <c r="R37" s="51">
        <v>4906073</v>
      </c>
      <c r="S37" s="51">
        <v>2643870</v>
      </c>
      <c r="T37" s="44">
        <v>2.08</v>
      </c>
      <c r="U37" s="51">
        <v>5320595</v>
      </c>
      <c r="V37" s="51">
        <v>2554968</v>
      </c>
      <c r="W37" s="44">
        <v>2.15</v>
      </c>
      <c r="X37" s="51">
        <v>5964339</v>
      </c>
      <c r="Y37" s="51">
        <v>2769471</v>
      </c>
      <c r="Z37" s="44">
        <v>2.12</v>
      </c>
      <c r="AA37" s="51">
        <v>5780596</v>
      </c>
      <c r="AB37" s="51">
        <v>2730490</v>
      </c>
      <c r="AC37" s="43">
        <v>1.37</v>
      </c>
      <c r="AD37" s="53">
        <v>23887477</v>
      </c>
      <c r="AE37" s="53">
        <v>17423145</v>
      </c>
      <c r="AF37" s="27"/>
    </row>
    <row r="38" spans="1:32" ht="10.5" customHeight="1" x14ac:dyDescent="0.15">
      <c r="A38" s="23" t="s">
        <v>11</v>
      </c>
      <c r="B38" s="54">
        <v>3</v>
      </c>
      <c r="C38" s="25">
        <v>1064918</v>
      </c>
      <c r="D38" s="25">
        <v>2194906</v>
      </c>
      <c r="E38" s="25">
        <v>1787231</v>
      </c>
      <c r="F38" s="25">
        <v>2011976</v>
      </c>
      <c r="G38" s="25">
        <v>13311471</v>
      </c>
      <c r="H38" s="26">
        <v>0.13400000000000001</v>
      </c>
      <c r="I38" s="26">
        <v>0.151</v>
      </c>
      <c r="J38" s="26">
        <v>0.16500000000000001</v>
      </c>
      <c r="K38" s="26"/>
      <c r="L38" s="26">
        <v>7.8E-2</v>
      </c>
      <c r="M38" s="26">
        <v>9.6000000000000002E-2</v>
      </c>
      <c r="N38" s="26">
        <v>0.12</v>
      </c>
      <c r="O38" s="26">
        <v>6.7000000000000004E-2</v>
      </c>
      <c r="P38" s="25">
        <v>29828305</v>
      </c>
      <c r="Q38" s="24">
        <v>1.65</v>
      </c>
      <c r="R38" s="25">
        <v>6993806</v>
      </c>
      <c r="S38" s="25">
        <v>4233673</v>
      </c>
      <c r="T38" s="24">
        <v>1.72</v>
      </c>
      <c r="U38" s="25">
        <v>7123232</v>
      </c>
      <c r="V38" s="25">
        <v>4141127</v>
      </c>
      <c r="W38" s="24">
        <v>1.88</v>
      </c>
      <c r="X38" s="25">
        <v>7277993</v>
      </c>
      <c r="Y38" s="25">
        <v>3877835</v>
      </c>
      <c r="Z38" s="24">
        <v>2.0099999999999998</v>
      </c>
      <c r="AA38" s="25">
        <v>7518806</v>
      </c>
      <c r="AB38" s="25">
        <v>3734458</v>
      </c>
      <c r="AC38" s="43">
        <v>1.37</v>
      </c>
      <c r="AD38" s="41">
        <v>20667551</v>
      </c>
      <c r="AE38" s="41">
        <v>15104719</v>
      </c>
      <c r="AF38" s="27"/>
    </row>
    <row r="39" spans="1:32" ht="10.5" customHeight="1" x14ac:dyDescent="0.15">
      <c r="A39" s="22" t="s">
        <v>16</v>
      </c>
      <c r="B39" s="50">
        <v>4</v>
      </c>
      <c r="C39" s="51">
        <v>125933</v>
      </c>
      <c r="D39" s="51">
        <v>267055</v>
      </c>
      <c r="E39" s="51">
        <v>267055</v>
      </c>
      <c r="F39" s="51">
        <v>267055</v>
      </c>
      <c r="G39" s="51">
        <v>1574163</v>
      </c>
      <c r="H39" s="52">
        <v>0.17</v>
      </c>
      <c r="I39" s="52">
        <v>0.17</v>
      </c>
      <c r="J39" s="52">
        <v>0.17</v>
      </c>
      <c r="K39" s="52"/>
      <c r="L39" s="52">
        <v>7.3999999999999996E-2</v>
      </c>
      <c r="M39" s="52">
        <v>0.09</v>
      </c>
      <c r="N39" s="52">
        <v>0.112</v>
      </c>
      <c r="O39" s="52">
        <v>6.3E-2</v>
      </c>
      <c r="P39" s="51">
        <v>4210499</v>
      </c>
      <c r="Q39" s="44">
        <v>1.52</v>
      </c>
      <c r="R39" s="51">
        <v>770440</v>
      </c>
      <c r="S39" s="51">
        <v>505901</v>
      </c>
      <c r="T39" s="44">
        <v>1.46</v>
      </c>
      <c r="U39" s="51">
        <v>813612</v>
      </c>
      <c r="V39" s="51">
        <v>558008</v>
      </c>
      <c r="W39" s="44">
        <v>1.64</v>
      </c>
      <c r="X39" s="51">
        <v>823279</v>
      </c>
      <c r="Y39" s="51">
        <v>501242</v>
      </c>
      <c r="Z39" s="44">
        <v>1.67</v>
      </c>
      <c r="AA39" s="51">
        <v>856312</v>
      </c>
      <c r="AB39" s="51">
        <v>512406</v>
      </c>
      <c r="AC39" s="43">
        <v>1.29</v>
      </c>
      <c r="AD39" s="53">
        <v>3146046</v>
      </c>
      <c r="AE39" s="53">
        <v>2447867</v>
      </c>
      <c r="AF39" s="27"/>
    </row>
    <row r="40" spans="1:32" ht="10.5" customHeight="1" x14ac:dyDescent="0.15">
      <c r="A40" s="23" t="s">
        <v>17</v>
      </c>
      <c r="B40" s="54">
        <v>3</v>
      </c>
      <c r="C40" s="25">
        <v>648805</v>
      </c>
      <c r="D40" s="25">
        <v>1441669</v>
      </c>
      <c r="E40" s="25">
        <v>1379380</v>
      </c>
      <c r="F40" s="25">
        <v>1379380</v>
      </c>
      <c r="G40" s="25">
        <v>8110061</v>
      </c>
      <c r="H40" s="26">
        <v>0.17</v>
      </c>
      <c r="I40" s="26">
        <v>0.17</v>
      </c>
      <c r="J40" s="26">
        <v>0.17799999999999999</v>
      </c>
      <c r="K40" s="26"/>
      <c r="L40" s="26">
        <v>7.8E-2</v>
      </c>
      <c r="M40" s="26">
        <v>9.6000000000000002E-2</v>
      </c>
      <c r="N40" s="26">
        <v>0.12</v>
      </c>
      <c r="O40" s="26">
        <v>7.2999999999999995E-2</v>
      </c>
      <c r="P40" s="25">
        <v>18986942</v>
      </c>
      <c r="Q40" s="24">
        <v>1.51</v>
      </c>
      <c r="R40" s="25">
        <v>3206346</v>
      </c>
      <c r="S40" s="25">
        <v>2124418</v>
      </c>
      <c r="T40" s="24">
        <v>1.58</v>
      </c>
      <c r="U40" s="25">
        <v>3311777</v>
      </c>
      <c r="V40" s="25">
        <v>2099928</v>
      </c>
      <c r="W40" s="24">
        <v>1.52</v>
      </c>
      <c r="X40" s="25">
        <v>3276410</v>
      </c>
      <c r="Y40" s="25">
        <v>2149029</v>
      </c>
      <c r="Z40" s="24">
        <v>1.57</v>
      </c>
      <c r="AA40" s="25">
        <v>3257243</v>
      </c>
      <c r="AB40" s="25">
        <v>2076417</v>
      </c>
      <c r="AC40" s="43">
        <v>1.28</v>
      </c>
      <c r="AD40" s="41">
        <v>14962051</v>
      </c>
      <c r="AE40" s="41">
        <v>11691708</v>
      </c>
      <c r="AF40" s="27"/>
    </row>
    <row r="41" spans="1:32" ht="10.5" customHeight="1" x14ac:dyDescent="0.15">
      <c r="A41" s="22" t="s">
        <v>15</v>
      </c>
      <c r="B41" s="50">
        <v>4</v>
      </c>
      <c r="C41" s="51">
        <v>379552</v>
      </c>
      <c r="D41" s="51">
        <v>951145</v>
      </c>
      <c r="E41" s="51">
        <v>931958</v>
      </c>
      <c r="F41" s="51">
        <v>931958</v>
      </c>
      <c r="G41" s="51">
        <v>4744398</v>
      </c>
      <c r="H41" s="52">
        <v>0.19600000000000001</v>
      </c>
      <c r="I41" s="52">
        <v>0.19600000000000001</v>
      </c>
      <c r="J41" s="52">
        <v>0.2</v>
      </c>
      <c r="K41" s="52"/>
      <c r="L41" s="52">
        <v>7.3999999999999996E-2</v>
      </c>
      <c r="M41" s="52">
        <v>0.09</v>
      </c>
      <c r="N41" s="52">
        <v>0.112</v>
      </c>
      <c r="O41" s="52">
        <v>7.9000000000000001E-2</v>
      </c>
      <c r="P41" s="51">
        <v>11763028</v>
      </c>
      <c r="Q41" s="44">
        <v>1.56</v>
      </c>
      <c r="R41" s="51">
        <v>1800019</v>
      </c>
      <c r="S41" s="51">
        <v>1151857</v>
      </c>
      <c r="T41" s="44">
        <v>1.81</v>
      </c>
      <c r="U41" s="51">
        <v>1928955</v>
      </c>
      <c r="V41" s="51">
        <v>1065019</v>
      </c>
      <c r="W41" s="44">
        <v>1.72</v>
      </c>
      <c r="X41" s="51">
        <v>1933265</v>
      </c>
      <c r="Y41" s="51">
        <v>1121077</v>
      </c>
      <c r="Z41" s="44">
        <v>1.81</v>
      </c>
      <c r="AA41" s="51">
        <v>1987187</v>
      </c>
      <c r="AB41" s="51">
        <v>1100862</v>
      </c>
      <c r="AC41" s="43">
        <v>1.28</v>
      </c>
      <c r="AD41" s="53">
        <v>9339855</v>
      </c>
      <c r="AE41" s="53">
        <v>7303392</v>
      </c>
      <c r="AF41" s="27"/>
    </row>
    <row r="42" spans="1:32" ht="10.5" customHeight="1" x14ac:dyDescent="0.15">
      <c r="A42" s="23" t="s">
        <v>26</v>
      </c>
      <c r="B42" s="54">
        <v>3</v>
      </c>
      <c r="C42" s="25">
        <v>1541204</v>
      </c>
      <c r="D42" s="25">
        <v>3334378</v>
      </c>
      <c r="E42" s="25">
        <v>3308221</v>
      </c>
      <c r="F42" s="25">
        <v>3308221</v>
      </c>
      <c r="G42" s="25">
        <v>19265053</v>
      </c>
      <c r="H42" s="26">
        <v>0.17199999999999999</v>
      </c>
      <c r="I42" s="26">
        <v>0.17199999999999999</v>
      </c>
      <c r="J42" s="26">
        <v>0.17299999999999999</v>
      </c>
      <c r="K42" s="26"/>
      <c r="L42" s="26">
        <v>7.8E-2</v>
      </c>
      <c r="M42" s="26">
        <v>9.6000000000000002E-2</v>
      </c>
      <c r="N42" s="26">
        <v>0.12</v>
      </c>
      <c r="O42" s="26">
        <v>5.6000000000000001E-2</v>
      </c>
      <c r="P42" s="25">
        <v>58853428</v>
      </c>
      <c r="Q42" s="24">
        <v>1.4</v>
      </c>
      <c r="R42" s="25">
        <v>11528000</v>
      </c>
      <c r="S42" s="25">
        <v>8234947</v>
      </c>
      <c r="T42" s="24">
        <v>1.5</v>
      </c>
      <c r="U42" s="25">
        <v>12535319</v>
      </c>
      <c r="V42" s="25">
        <v>8355431</v>
      </c>
      <c r="W42" s="24">
        <v>1.55</v>
      </c>
      <c r="X42" s="25">
        <v>13135899</v>
      </c>
      <c r="Y42" s="25">
        <v>8469402</v>
      </c>
      <c r="Z42" s="24">
        <v>1.58</v>
      </c>
      <c r="AA42" s="25">
        <v>13446069</v>
      </c>
      <c r="AB42" s="25">
        <v>8491154</v>
      </c>
      <c r="AC42" s="43">
        <v>1.25</v>
      </c>
      <c r="AD42" s="41">
        <v>37562574</v>
      </c>
      <c r="AE42" s="41">
        <v>29993069</v>
      </c>
      <c r="AF42" s="27"/>
    </row>
    <row r="43" spans="1:32" ht="10.5" customHeight="1" x14ac:dyDescent="0.15">
      <c r="A43" s="22" t="s">
        <v>116</v>
      </c>
      <c r="B43" s="50">
        <v>5</v>
      </c>
      <c r="C43" s="51">
        <v>27385</v>
      </c>
      <c r="D43" s="51">
        <v>69940</v>
      </c>
      <c r="E43" s="51">
        <v>64759</v>
      </c>
      <c r="F43" s="51">
        <v>64759</v>
      </c>
      <c r="G43" s="51">
        <v>342315</v>
      </c>
      <c r="H43" s="52">
        <v>0.189</v>
      </c>
      <c r="I43" s="52">
        <v>0.189</v>
      </c>
      <c r="J43" s="52">
        <v>0.20399999999999999</v>
      </c>
      <c r="K43" s="52"/>
      <c r="L43" s="52">
        <v>7.0000000000000007E-2</v>
      </c>
      <c r="M43" s="52">
        <v>8.5000000000000006E-2</v>
      </c>
      <c r="N43" s="52">
        <v>0.105</v>
      </c>
      <c r="O43" s="52">
        <v>7.5999999999999998E-2</v>
      </c>
      <c r="P43" s="51">
        <v>851615</v>
      </c>
      <c r="Q43" s="44">
        <v>2.4900000000000002</v>
      </c>
      <c r="R43" s="51">
        <v>152770</v>
      </c>
      <c r="S43" s="51">
        <v>61245</v>
      </c>
      <c r="T43" s="44">
        <v>2.4500000000000002</v>
      </c>
      <c r="U43" s="51">
        <v>145713</v>
      </c>
      <c r="V43" s="51">
        <v>59354</v>
      </c>
      <c r="W43" s="44">
        <v>2.73</v>
      </c>
      <c r="X43" s="51">
        <v>154970</v>
      </c>
      <c r="Y43" s="51">
        <v>56811</v>
      </c>
      <c r="Z43" s="44">
        <v>2.62</v>
      </c>
      <c r="AA43" s="51">
        <v>145863</v>
      </c>
      <c r="AB43" s="51">
        <v>55590</v>
      </c>
      <c r="AC43" s="43">
        <v>1.77</v>
      </c>
      <c r="AD43" s="53">
        <v>563103</v>
      </c>
      <c r="AE43" s="53">
        <v>318969</v>
      </c>
      <c r="AF43" s="27"/>
    </row>
    <row r="44" spans="1:32" ht="10.5" customHeight="1" x14ac:dyDescent="0.15">
      <c r="A44" s="23" t="s">
        <v>74</v>
      </c>
      <c r="B44" s="54">
        <v>5</v>
      </c>
      <c r="C44" s="25">
        <v>307753</v>
      </c>
      <c r="D44" s="25">
        <v>511405</v>
      </c>
      <c r="E44" s="25">
        <v>511405</v>
      </c>
      <c r="F44" s="25">
        <v>511405</v>
      </c>
      <c r="G44" s="25">
        <v>3846913</v>
      </c>
      <c r="H44" s="26">
        <v>0.13300000000000001</v>
      </c>
      <c r="I44" s="26">
        <v>0.13300000000000001</v>
      </c>
      <c r="J44" s="26">
        <v>0.13300000000000001</v>
      </c>
      <c r="K44" s="26"/>
      <c r="L44" s="26">
        <v>7.0000000000000007E-2</v>
      </c>
      <c r="M44" s="26">
        <v>8.5000000000000006E-2</v>
      </c>
      <c r="N44" s="26">
        <v>0.105</v>
      </c>
      <c r="O44" s="26">
        <v>9.8000000000000004E-2</v>
      </c>
      <c r="P44" s="25">
        <v>5206442</v>
      </c>
      <c r="Q44" s="24">
        <v>1.72</v>
      </c>
      <c r="R44" s="25">
        <v>606684</v>
      </c>
      <c r="S44" s="25">
        <v>353007</v>
      </c>
      <c r="T44" s="24">
        <v>2.39</v>
      </c>
      <c r="U44" s="25">
        <v>744145</v>
      </c>
      <c r="V44" s="25">
        <v>310992</v>
      </c>
      <c r="W44" s="24">
        <v>2.98</v>
      </c>
      <c r="X44" s="25">
        <v>772147</v>
      </c>
      <c r="Y44" s="25">
        <v>258704</v>
      </c>
      <c r="Z44" s="24">
        <v>2.61</v>
      </c>
      <c r="AA44" s="25">
        <v>698068</v>
      </c>
      <c r="AB44" s="25">
        <v>266956</v>
      </c>
      <c r="AC44" s="43">
        <v>1.06</v>
      </c>
      <c r="AD44" s="41">
        <v>1703881</v>
      </c>
      <c r="AE44" s="41">
        <v>1600022</v>
      </c>
      <c r="AF44" s="27"/>
    </row>
    <row r="45" spans="1:32" ht="10.5" customHeight="1" x14ac:dyDescent="0.15">
      <c r="A45" s="22" t="s">
        <v>86</v>
      </c>
      <c r="B45" s="50">
        <v>5</v>
      </c>
      <c r="C45" s="51">
        <v>3297</v>
      </c>
      <c r="D45" s="51">
        <v>16091</v>
      </c>
      <c r="E45" s="51">
        <v>16091</v>
      </c>
      <c r="F45" s="51">
        <v>16091</v>
      </c>
      <c r="G45" s="51">
        <v>41215</v>
      </c>
      <c r="H45" s="52">
        <v>0.39</v>
      </c>
      <c r="I45" s="52">
        <v>0.39</v>
      </c>
      <c r="J45" s="52">
        <v>0.39</v>
      </c>
      <c r="K45" s="52"/>
      <c r="L45" s="52">
        <v>7.0000000000000007E-2</v>
      </c>
      <c r="M45" s="52">
        <v>8.5000000000000006E-2</v>
      </c>
      <c r="N45" s="52">
        <v>0.105</v>
      </c>
      <c r="O45" s="52">
        <v>0.17299999999999999</v>
      </c>
      <c r="P45" s="51">
        <v>92827</v>
      </c>
      <c r="Q45" s="44">
        <v>2.12</v>
      </c>
      <c r="R45" s="51">
        <v>26336</v>
      </c>
      <c r="S45" s="51">
        <v>12424</v>
      </c>
      <c r="T45" s="44">
        <v>2.27</v>
      </c>
      <c r="U45" s="51">
        <v>20773</v>
      </c>
      <c r="V45" s="51">
        <v>9160</v>
      </c>
      <c r="W45" s="44">
        <v>1.52</v>
      </c>
      <c r="X45" s="51">
        <v>13133</v>
      </c>
      <c r="Y45" s="51">
        <v>8649</v>
      </c>
      <c r="Z45" s="44">
        <v>1.74</v>
      </c>
      <c r="AA45" s="51">
        <v>10445</v>
      </c>
      <c r="AB45" s="51">
        <v>6013</v>
      </c>
      <c r="AC45" s="43">
        <v>2.06</v>
      </c>
      <c r="AD45" s="53">
        <v>69282</v>
      </c>
      <c r="AE45" s="53">
        <v>33579</v>
      </c>
      <c r="AF45" s="27"/>
    </row>
    <row r="46" spans="1:32" ht="10.5" customHeight="1" x14ac:dyDescent="0.15">
      <c r="A46" s="23" t="s">
        <v>138</v>
      </c>
      <c r="B46" s="54">
        <v>5</v>
      </c>
      <c r="C46" s="25">
        <v>40713</v>
      </c>
      <c r="D46" s="25">
        <v>79250</v>
      </c>
      <c r="E46" s="25">
        <v>78697</v>
      </c>
      <c r="F46" s="25">
        <v>78697</v>
      </c>
      <c r="G46" s="25">
        <v>508908</v>
      </c>
      <c r="H46" s="26">
        <v>0.155</v>
      </c>
      <c r="I46" s="26">
        <v>0.155</v>
      </c>
      <c r="J46" s="26">
        <v>0.156</v>
      </c>
      <c r="K46" s="26"/>
      <c r="L46" s="26">
        <v>7.0000000000000007E-2</v>
      </c>
      <c r="M46" s="26">
        <v>8.5000000000000006E-2</v>
      </c>
      <c r="N46" s="26">
        <v>0.105</v>
      </c>
      <c r="O46" s="26">
        <v>6.2E-2</v>
      </c>
      <c r="P46" s="25">
        <v>1275975</v>
      </c>
      <c r="Q46" s="24">
        <v>1.55</v>
      </c>
      <c r="R46" s="25">
        <v>99178</v>
      </c>
      <c r="S46" s="25">
        <v>64032</v>
      </c>
      <c r="T46" s="24">
        <v>1.3</v>
      </c>
      <c r="U46" s="25">
        <v>98479</v>
      </c>
      <c r="V46" s="25">
        <v>75636</v>
      </c>
      <c r="W46" s="24">
        <v>1.94</v>
      </c>
      <c r="X46" s="25">
        <v>113773</v>
      </c>
      <c r="Y46" s="25">
        <v>58501</v>
      </c>
      <c r="Z46" s="24">
        <v>2.38</v>
      </c>
      <c r="AA46" s="25">
        <v>103910</v>
      </c>
      <c r="AB46" s="25">
        <v>43604</v>
      </c>
      <c r="AC46" s="43">
        <v>1.21</v>
      </c>
      <c r="AD46" s="41">
        <v>864370</v>
      </c>
      <c r="AE46" s="41">
        <v>715803</v>
      </c>
      <c r="AF46" s="27"/>
    </row>
    <row r="47" spans="1:32" ht="10.5" customHeight="1" x14ac:dyDescent="0.15">
      <c r="A47" s="22" t="s">
        <v>206</v>
      </c>
      <c r="B47" s="50">
        <v>5</v>
      </c>
      <c r="C47" s="51">
        <v>12203</v>
      </c>
      <c r="D47" s="51">
        <v>29233</v>
      </c>
      <c r="E47" s="51">
        <v>29233</v>
      </c>
      <c r="F47" s="51">
        <v>29233</v>
      </c>
      <c r="G47" s="51">
        <v>152544</v>
      </c>
      <c r="H47" s="52">
        <v>0.192</v>
      </c>
      <c r="I47" s="52">
        <v>0.192</v>
      </c>
      <c r="J47" s="52">
        <v>0.192</v>
      </c>
      <c r="K47" s="52"/>
      <c r="L47" s="52">
        <v>7.0000000000000007E-2</v>
      </c>
      <c r="M47" s="52">
        <v>8.5000000000000006E-2</v>
      </c>
      <c r="N47" s="52">
        <v>0.105</v>
      </c>
      <c r="O47" s="52">
        <v>0.09</v>
      </c>
      <c r="P47" s="51">
        <v>326042</v>
      </c>
      <c r="Q47" s="44">
        <v>1.8</v>
      </c>
      <c r="R47" s="51">
        <v>27670</v>
      </c>
      <c r="S47" s="51">
        <v>15333</v>
      </c>
      <c r="T47" s="44">
        <v>1.74</v>
      </c>
      <c r="U47" s="51">
        <v>25189</v>
      </c>
      <c r="V47" s="51">
        <v>14496</v>
      </c>
      <c r="W47" s="44">
        <v>2.2799999999999998</v>
      </c>
      <c r="X47" s="51">
        <v>30606</v>
      </c>
      <c r="Y47" s="51">
        <v>13452</v>
      </c>
      <c r="Z47" s="44">
        <v>2.1</v>
      </c>
      <c r="AA47" s="51">
        <v>28188</v>
      </c>
      <c r="AB47" s="51">
        <v>13448</v>
      </c>
      <c r="AC47" s="43"/>
      <c r="AD47" s="53"/>
      <c r="AE47" s="53"/>
      <c r="AF47" s="27"/>
    </row>
    <row r="48" spans="1:32" ht="10.5" customHeight="1" x14ac:dyDescent="0.15">
      <c r="A48" s="23" t="s">
        <v>98</v>
      </c>
      <c r="B48" s="54">
        <v>4</v>
      </c>
      <c r="C48" s="25">
        <v>36625</v>
      </c>
      <c r="D48" s="25">
        <v>90774</v>
      </c>
      <c r="E48" s="25">
        <v>83456</v>
      </c>
      <c r="F48" s="25">
        <v>83456</v>
      </c>
      <c r="G48" s="25">
        <v>457807</v>
      </c>
      <c r="H48" s="26">
        <v>0.182</v>
      </c>
      <c r="I48" s="26">
        <v>0.182</v>
      </c>
      <c r="J48" s="26">
        <v>0.19800000000000001</v>
      </c>
      <c r="K48" s="26"/>
      <c r="L48" s="26">
        <v>7.3999999999999996E-2</v>
      </c>
      <c r="M48" s="26">
        <v>0.09</v>
      </c>
      <c r="N48" s="26">
        <v>0.112</v>
      </c>
      <c r="O48" s="26">
        <v>7.3999999999999996E-2</v>
      </c>
      <c r="P48" s="25">
        <v>1129073</v>
      </c>
      <c r="Q48" s="24">
        <v>1.96</v>
      </c>
      <c r="R48" s="25">
        <v>141503</v>
      </c>
      <c r="S48" s="25">
        <v>72350</v>
      </c>
      <c r="T48" s="24">
        <v>2.0499999999999998</v>
      </c>
      <c r="U48" s="25">
        <v>135081</v>
      </c>
      <c r="V48" s="25">
        <v>65821</v>
      </c>
      <c r="W48" s="24">
        <v>2.79</v>
      </c>
      <c r="X48" s="25">
        <v>166038</v>
      </c>
      <c r="Y48" s="25">
        <v>59518</v>
      </c>
      <c r="Z48" s="24">
        <v>2.06</v>
      </c>
      <c r="AA48" s="25">
        <v>314401</v>
      </c>
      <c r="AB48" s="25">
        <v>152714</v>
      </c>
      <c r="AC48" s="43">
        <v>1.5</v>
      </c>
      <c r="AD48" s="41">
        <v>792497</v>
      </c>
      <c r="AE48" s="41">
        <v>526712</v>
      </c>
      <c r="AF48" s="27"/>
    </row>
    <row r="49" spans="1:32" ht="10.5" customHeight="1" x14ac:dyDescent="0.15">
      <c r="A49" s="22" t="s">
        <v>207</v>
      </c>
      <c r="B49" s="50">
        <v>4</v>
      </c>
      <c r="C49" s="51">
        <v>33128</v>
      </c>
      <c r="D49" s="51">
        <v>124489</v>
      </c>
      <c r="E49" s="51">
        <v>124489</v>
      </c>
      <c r="F49" s="51">
        <v>124489</v>
      </c>
      <c r="G49" s="51">
        <v>414100</v>
      </c>
      <c r="H49" s="52">
        <v>0.30099999999999999</v>
      </c>
      <c r="I49" s="52">
        <v>0.30099999999999999</v>
      </c>
      <c r="J49" s="52">
        <v>0.30099999999999999</v>
      </c>
      <c r="K49" s="52"/>
      <c r="L49" s="52">
        <v>7.3999999999999996E-2</v>
      </c>
      <c r="M49" s="52">
        <v>0.09</v>
      </c>
      <c r="N49" s="52">
        <v>0.112</v>
      </c>
      <c r="O49" s="52">
        <v>8.5000000000000006E-2</v>
      </c>
      <c r="P49" s="51">
        <v>1470462</v>
      </c>
      <c r="Q49" s="44">
        <v>3.39</v>
      </c>
      <c r="R49" s="51">
        <v>589624</v>
      </c>
      <c r="S49" s="51">
        <v>173754</v>
      </c>
      <c r="T49" s="44">
        <v>2.17</v>
      </c>
      <c r="U49" s="51">
        <v>518572</v>
      </c>
      <c r="V49" s="51">
        <v>239253</v>
      </c>
      <c r="W49" s="44">
        <v>2.25</v>
      </c>
      <c r="X49" s="51">
        <v>486091</v>
      </c>
      <c r="Y49" s="51">
        <v>216329</v>
      </c>
      <c r="Z49" s="44">
        <v>1.62</v>
      </c>
      <c r="AA49" s="51">
        <v>476365</v>
      </c>
      <c r="AB49" s="51">
        <v>294209</v>
      </c>
      <c r="AC49" s="43">
        <v>1.59</v>
      </c>
      <c r="AD49" s="53">
        <v>766601</v>
      </c>
      <c r="AE49" s="53">
        <v>482482</v>
      </c>
      <c r="AF49" s="27"/>
    </row>
    <row r="50" spans="1:32" ht="10.5" customHeight="1" x14ac:dyDescent="0.15">
      <c r="A50" s="23" t="s">
        <v>139</v>
      </c>
      <c r="B50" s="54">
        <v>5</v>
      </c>
      <c r="C50" s="25">
        <v>65005</v>
      </c>
      <c r="D50" s="25">
        <v>116510</v>
      </c>
      <c r="E50" s="25">
        <v>116510</v>
      </c>
      <c r="F50" s="25">
        <v>116510</v>
      </c>
      <c r="G50" s="25">
        <v>812563</v>
      </c>
      <c r="H50" s="26">
        <v>0.14299999999999999</v>
      </c>
      <c r="I50" s="26">
        <v>0.14299999999999999</v>
      </c>
      <c r="J50" s="26">
        <v>0.14299999999999999</v>
      </c>
      <c r="K50" s="26"/>
      <c r="L50" s="26">
        <v>7.0000000000000007E-2</v>
      </c>
      <c r="M50" s="26">
        <v>8.5000000000000006E-2</v>
      </c>
      <c r="N50" s="26">
        <v>0.105</v>
      </c>
      <c r="O50" s="26">
        <v>8.6999999999999994E-2</v>
      </c>
      <c r="P50" s="25">
        <v>1333127</v>
      </c>
      <c r="Q50" s="24">
        <v>1.35</v>
      </c>
      <c r="R50" s="25">
        <v>243041</v>
      </c>
      <c r="S50" s="25">
        <v>179823</v>
      </c>
      <c r="T50" s="24">
        <v>1.65</v>
      </c>
      <c r="U50" s="25">
        <v>294324</v>
      </c>
      <c r="V50" s="25">
        <v>178497</v>
      </c>
      <c r="W50" s="24">
        <v>1.25</v>
      </c>
      <c r="X50" s="25">
        <v>128999</v>
      </c>
      <c r="Y50" s="25">
        <v>103243</v>
      </c>
      <c r="Z50" s="24">
        <v>1.31</v>
      </c>
      <c r="AA50" s="25">
        <v>127913</v>
      </c>
      <c r="AB50" s="25">
        <v>97495</v>
      </c>
      <c r="AC50" s="43">
        <v>1.3</v>
      </c>
      <c r="AD50" s="41">
        <v>695005</v>
      </c>
      <c r="AE50" s="41">
        <v>533478</v>
      </c>
      <c r="AF50" s="27"/>
    </row>
    <row r="51" spans="1:32" ht="10.5" customHeight="1" x14ac:dyDescent="0.15">
      <c r="A51" s="22" t="s">
        <v>60</v>
      </c>
      <c r="B51" s="50">
        <v>3</v>
      </c>
      <c r="C51" s="51">
        <v>411621</v>
      </c>
      <c r="D51" s="51">
        <v>1484680</v>
      </c>
      <c r="E51" s="51">
        <v>1467612</v>
      </c>
      <c r="F51" s="51">
        <v>1484680</v>
      </c>
      <c r="G51" s="51">
        <v>5145264</v>
      </c>
      <c r="H51" s="52">
        <v>0.28499999999999998</v>
      </c>
      <c r="I51" s="52">
        <v>0.28899999999999998</v>
      </c>
      <c r="J51" s="52">
        <v>0.28899999999999998</v>
      </c>
      <c r="K51" s="52"/>
      <c r="L51" s="52">
        <v>7.8E-2</v>
      </c>
      <c r="M51" s="52">
        <v>9.6000000000000002E-2</v>
      </c>
      <c r="N51" s="52">
        <v>0.12</v>
      </c>
      <c r="O51" s="52">
        <v>6.4000000000000001E-2</v>
      </c>
      <c r="P51" s="51">
        <v>23330227</v>
      </c>
      <c r="Q51" s="44">
        <v>2.2000000000000002</v>
      </c>
      <c r="R51" s="51">
        <v>13037134</v>
      </c>
      <c r="S51" s="51">
        <v>5936258</v>
      </c>
      <c r="T51" s="44">
        <v>2.17</v>
      </c>
      <c r="U51" s="51">
        <v>13013645</v>
      </c>
      <c r="V51" s="51">
        <v>5987872</v>
      </c>
      <c r="W51" s="44">
        <v>2.09</v>
      </c>
      <c r="X51" s="51">
        <v>12968815</v>
      </c>
      <c r="Y51" s="51">
        <v>6213194</v>
      </c>
      <c r="Z51" s="44">
        <v>2.06</v>
      </c>
      <c r="AA51" s="51">
        <v>13179717</v>
      </c>
      <c r="AB51" s="51">
        <v>6410787</v>
      </c>
      <c r="AC51" s="43">
        <v>2.63</v>
      </c>
      <c r="AD51" s="53">
        <v>12194944</v>
      </c>
      <c r="AE51" s="53">
        <v>4638518</v>
      </c>
      <c r="AF51" s="27"/>
    </row>
    <row r="52" spans="1:32" ht="10.5" customHeight="1" x14ac:dyDescent="0.15">
      <c r="A52" s="23" t="s">
        <v>92</v>
      </c>
      <c r="B52" s="54">
        <v>4</v>
      </c>
      <c r="C52" s="25">
        <v>63942</v>
      </c>
      <c r="D52" s="25">
        <v>177319</v>
      </c>
      <c r="E52" s="25">
        <v>177319</v>
      </c>
      <c r="F52" s="25">
        <v>177319</v>
      </c>
      <c r="G52" s="25">
        <v>799277</v>
      </c>
      <c r="H52" s="26">
        <v>0.222</v>
      </c>
      <c r="I52" s="26">
        <v>0.222</v>
      </c>
      <c r="J52" s="26">
        <v>0.222</v>
      </c>
      <c r="K52" s="26"/>
      <c r="L52" s="26">
        <v>7.3999999999999996E-2</v>
      </c>
      <c r="M52" s="26">
        <v>0.09</v>
      </c>
      <c r="N52" s="26">
        <v>0.112</v>
      </c>
      <c r="O52" s="26">
        <v>8.1000000000000003E-2</v>
      </c>
      <c r="P52" s="25">
        <v>2192735</v>
      </c>
      <c r="Q52" s="24">
        <v>2.0099999999999998</v>
      </c>
      <c r="R52" s="25">
        <v>956327</v>
      </c>
      <c r="S52" s="25">
        <v>474992</v>
      </c>
      <c r="T52" s="24">
        <v>1.91</v>
      </c>
      <c r="U52" s="25">
        <v>866972</v>
      </c>
      <c r="V52" s="25">
        <v>453214</v>
      </c>
      <c r="W52" s="24">
        <v>1.78</v>
      </c>
      <c r="X52" s="25">
        <v>763269</v>
      </c>
      <c r="Y52" s="25">
        <v>429690</v>
      </c>
      <c r="Z52" s="24">
        <v>1.67</v>
      </c>
      <c r="AA52" s="25">
        <v>722968</v>
      </c>
      <c r="AB52" s="25">
        <v>432916</v>
      </c>
      <c r="AC52" s="43">
        <v>1.95</v>
      </c>
      <c r="AD52" s="41">
        <v>1351316</v>
      </c>
      <c r="AE52" s="41">
        <v>691697</v>
      </c>
      <c r="AF52" s="27"/>
    </row>
    <row r="53" spans="1:32" ht="10.5" customHeight="1" x14ac:dyDescent="0.15">
      <c r="A53" s="22" t="s">
        <v>62</v>
      </c>
      <c r="B53" s="50">
        <v>5</v>
      </c>
      <c r="C53" s="51">
        <v>14438</v>
      </c>
      <c r="D53" s="51">
        <v>54376</v>
      </c>
      <c r="E53" s="51">
        <v>54376</v>
      </c>
      <c r="F53" s="51">
        <v>54376</v>
      </c>
      <c r="G53" s="51">
        <v>180478</v>
      </c>
      <c r="H53" s="52">
        <v>0.30099999999999999</v>
      </c>
      <c r="I53" s="52">
        <v>0.30099999999999999</v>
      </c>
      <c r="J53" s="52">
        <v>0.30099999999999999</v>
      </c>
      <c r="K53" s="52"/>
      <c r="L53" s="52">
        <v>7.0000000000000007E-2</v>
      </c>
      <c r="M53" s="52">
        <v>8.5000000000000006E-2</v>
      </c>
      <c r="N53" s="52">
        <v>0.105</v>
      </c>
      <c r="O53" s="52">
        <v>0.11</v>
      </c>
      <c r="P53" s="51">
        <v>493850</v>
      </c>
      <c r="Q53" s="44">
        <v>1.87</v>
      </c>
      <c r="R53" s="51">
        <v>109128</v>
      </c>
      <c r="S53" s="51">
        <v>58366</v>
      </c>
      <c r="T53" s="44">
        <v>1.58</v>
      </c>
      <c r="U53" s="51">
        <v>85115</v>
      </c>
      <c r="V53" s="51">
        <v>53796</v>
      </c>
      <c r="W53" s="44">
        <v>1.66</v>
      </c>
      <c r="X53" s="51">
        <v>88296</v>
      </c>
      <c r="Y53" s="51">
        <v>53312</v>
      </c>
      <c r="Z53" s="44">
        <v>1.76</v>
      </c>
      <c r="AA53" s="51">
        <v>101883</v>
      </c>
      <c r="AB53" s="51">
        <v>57953</v>
      </c>
      <c r="AC53" s="43">
        <v>1.92</v>
      </c>
      <c r="AD53" s="53">
        <v>237477</v>
      </c>
      <c r="AE53" s="53">
        <v>123911</v>
      </c>
      <c r="AF53" s="27"/>
    </row>
    <row r="54" spans="1:32" ht="10.5" customHeight="1" x14ac:dyDescent="0.15">
      <c r="A54" s="23" t="s">
        <v>75</v>
      </c>
      <c r="B54" s="54">
        <v>4</v>
      </c>
      <c r="C54" s="25">
        <v>76756</v>
      </c>
      <c r="D54" s="25">
        <v>168982</v>
      </c>
      <c r="E54" s="25">
        <v>118982</v>
      </c>
      <c r="F54" s="25">
        <v>168982</v>
      </c>
      <c r="G54" s="25">
        <v>959444</v>
      </c>
      <c r="H54" s="26">
        <v>0.124</v>
      </c>
      <c r="I54" s="26">
        <v>0.17599999999999999</v>
      </c>
      <c r="J54" s="26">
        <v>0.17599999999999999</v>
      </c>
      <c r="K54" s="26"/>
      <c r="L54" s="26">
        <v>7.3999999999999996E-2</v>
      </c>
      <c r="M54" s="26">
        <v>0.09</v>
      </c>
      <c r="N54" s="26">
        <v>0.112</v>
      </c>
      <c r="O54" s="26">
        <v>3.7999999999999999E-2</v>
      </c>
      <c r="P54" s="25">
        <v>4428492</v>
      </c>
      <c r="Q54" s="24">
        <v>2.76</v>
      </c>
      <c r="R54" s="25">
        <v>1202604</v>
      </c>
      <c r="S54" s="25">
        <v>435148</v>
      </c>
      <c r="T54" s="24">
        <v>3.04</v>
      </c>
      <c r="U54" s="25">
        <v>1153757</v>
      </c>
      <c r="V54" s="25">
        <v>379338</v>
      </c>
      <c r="W54" s="24">
        <v>2.37</v>
      </c>
      <c r="X54" s="25">
        <v>929181</v>
      </c>
      <c r="Y54" s="25">
        <v>392012</v>
      </c>
      <c r="Z54" s="24">
        <v>1.9</v>
      </c>
      <c r="AA54" s="25">
        <v>714639</v>
      </c>
      <c r="AB54" s="25">
        <v>377096</v>
      </c>
      <c r="AC54" s="43">
        <v>1.47</v>
      </c>
      <c r="AD54" s="41">
        <v>2784418</v>
      </c>
      <c r="AE54" s="41">
        <v>1889375</v>
      </c>
      <c r="AF54" s="27"/>
    </row>
    <row r="55" spans="1:32" ht="10.5" customHeight="1" x14ac:dyDescent="0.15">
      <c r="A55" s="22" t="s">
        <v>13</v>
      </c>
      <c r="B55" s="50">
        <v>3</v>
      </c>
      <c r="C55" s="51">
        <v>1101665</v>
      </c>
      <c r="D55" s="51">
        <v>2609329</v>
      </c>
      <c r="E55" s="51">
        <v>2575943</v>
      </c>
      <c r="F55" s="51">
        <v>2575943</v>
      </c>
      <c r="G55" s="51">
        <v>13770816</v>
      </c>
      <c r="H55" s="52">
        <v>0.187</v>
      </c>
      <c r="I55" s="52">
        <v>0.187</v>
      </c>
      <c r="J55" s="52">
        <v>0.189</v>
      </c>
      <c r="K55" s="52"/>
      <c r="L55" s="52">
        <v>7.8E-2</v>
      </c>
      <c r="M55" s="52">
        <v>9.6000000000000002E-2</v>
      </c>
      <c r="N55" s="52">
        <v>0.12</v>
      </c>
      <c r="O55" s="52">
        <v>7.6999999999999999E-2</v>
      </c>
      <c r="P55" s="51">
        <v>33460774</v>
      </c>
      <c r="Q55" s="44">
        <v>1.22</v>
      </c>
      <c r="R55" s="51">
        <v>4556369</v>
      </c>
      <c r="S55" s="51">
        <v>3737356</v>
      </c>
      <c r="T55" s="44">
        <v>1.28</v>
      </c>
      <c r="U55" s="51">
        <v>5210084</v>
      </c>
      <c r="V55" s="51">
        <v>4067171</v>
      </c>
      <c r="W55" s="44">
        <v>1.33</v>
      </c>
      <c r="X55" s="51">
        <v>5276738</v>
      </c>
      <c r="Y55" s="51">
        <v>3980114</v>
      </c>
      <c r="Z55" s="44">
        <v>1.19</v>
      </c>
      <c r="AA55" s="51">
        <v>5650764</v>
      </c>
      <c r="AB55" s="51">
        <v>4753099</v>
      </c>
      <c r="AC55" s="43">
        <v>1.46</v>
      </c>
      <c r="AD55" s="53">
        <v>25534032</v>
      </c>
      <c r="AE55" s="53">
        <v>17533296</v>
      </c>
      <c r="AF55" s="27"/>
    </row>
    <row r="56" spans="1:32" ht="10.5" customHeight="1" x14ac:dyDescent="0.15">
      <c r="A56" s="23" t="s">
        <v>9</v>
      </c>
      <c r="B56" s="54">
        <v>3</v>
      </c>
      <c r="C56" s="25">
        <v>1829566</v>
      </c>
      <c r="D56" s="25">
        <v>4231493</v>
      </c>
      <c r="E56" s="25">
        <v>4023088</v>
      </c>
      <c r="F56" s="25">
        <v>4151737</v>
      </c>
      <c r="G56" s="25">
        <v>22869581</v>
      </c>
      <c r="H56" s="26">
        <v>0.17599999999999999</v>
      </c>
      <c r="I56" s="26">
        <v>0.182</v>
      </c>
      <c r="J56" s="26">
        <v>0.185</v>
      </c>
      <c r="K56" s="26"/>
      <c r="L56" s="26">
        <v>7.8E-2</v>
      </c>
      <c r="M56" s="26">
        <v>9.6000000000000002E-2</v>
      </c>
      <c r="N56" s="26">
        <v>0.12</v>
      </c>
      <c r="O56" s="26">
        <v>6.9000000000000006E-2</v>
      </c>
      <c r="P56" s="25">
        <v>59937772</v>
      </c>
      <c r="Q56" s="24">
        <v>1.73</v>
      </c>
      <c r="R56" s="25">
        <v>9669055</v>
      </c>
      <c r="S56" s="25">
        <v>5604037</v>
      </c>
      <c r="T56" s="24">
        <v>1.75</v>
      </c>
      <c r="U56" s="25">
        <v>9978697</v>
      </c>
      <c r="V56" s="25">
        <v>5706906</v>
      </c>
      <c r="W56" s="24">
        <v>2.79</v>
      </c>
      <c r="X56" s="25">
        <v>10200927</v>
      </c>
      <c r="Y56" s="25">
        <v>3654884</v>
      </c>
      <c r="Z56" s="24">
        <v>2.34</v>
      </c>
      <c r="AA56" s="25">
        <v>10495513</v>
      </c>
      <c r="AB56" s="25">
        <v>4493534</v>
      </c>
      <c r="AC56" s="43">
        <v>1.26</v>
      </c>
      <c r="AD56" s="41">
        <v>36688416</v>
      </c>
      <c r="AE56" s="41">
        <v>29207512</v>
      </c>
      <c r="AF56" s="27"/>
    </row>
    <row r="57" spans="1:32" ht="10.5" customHeight="1" x14ac:dyDescent="0.15">
      <c r="A57" s="22" t="s">
        <v>208</v>
      </c>
      <c r="B57" s="50">
        <v>4</v>
      </c>
      <c r="C57" s="51">
        <v>22240</v>
      </c>
      <c r="D57" s="51">
        <v>132937</v>
      </c>
      <c r="E57" s="51">
        <v>132886</v>
      </c>
      <c r="F57" s="51">
        <v>132886</v>
      </c>
      <c r="G57" s="51">
        <v>278003</v>
      </c>
      <c r="H57" s="52">
        <v>0.47799999999999998</v>
      </c>
      <c r="I57" s="52">
        <v>0.47799999999999998</v>
      </c>
      <c r="J57" s="52">
        <v>0.47799999999999998</v>
      </c>
      <c r="K57" s="52"/>
      <c r="L57" s="52">
        <v>7.3999999999999996E-2</v>
      </c>
      <c r="M57" s="52">
        <v>0.09</v>
      </c>
      <c r="N57" s="52">
        <v>0.112</v>
      </c>
      <c r="O57" s="52">
        <v>0.112</v>
      </c>
      <c r="P57" s="51">
        <v>1185328</v>
      </c>
      <c r="Q57" s="44">
        <v>2.77</v>
      </c>
      <c r="R57" s="51">
        <v>464963</v>
      </c>
      <c r="S57" s="51">
        <v>167578</v>
      </c>
      <c r="T57" s="44">
        <v>3.06</v>
      </c>
      <c r="U57" s="51">
        <v>453762</v>
      </c>
      <c r="V57" s="51">
        <v>148336</v>
      </c>
      <c r="W57" s="44">
        <v>3.44</v>
      </c>
      <c r="X57" s="51">
        <v>564316</v>
      </c>
      <c r="Y57" s="51">
        <v>163904</v>
      </c>
      <c r="Z57" s="44">
        <v>2.8</v>
      </c>
      <c r="AA57" s="51">
        <v>489823</v>
      </c>
      <c r="AB57" s="51">
        <v>174934</v>
      </c>
      <c r="AC57" s="43">
        <v>2.17</v>
      </c>
      <c r="AD57" s="53">
        <v>879919</v>
      </c>
      <c r="AE57" s="53">
        <v>406253</v>
      </c>
      <c r="AF57" s="27"/>
    </row>
    <row r="58" spans="1:32" ht="10.5" customHeight="1" x14ac:dyDescent="0.15">
      <c r="A58" s="23" t="s">
        <v>209</v>
      </c>
      <c r="B58" s="54">
        <v>5</v>
      </c>
      <c r="C58" s="25">
        <v>15087</v>
      </c>
      <c r="D58" s="25">
        <v>33919</v>
      </c>
      <c r="E58" s="25">
        <v>33919</v>
      </c>
      <c r="F58" s="25">
        <v>33919</v>
      </c>
      <c r="G58" s="25">
        <v>188581</v>
      </c>
      <c r="H58" s="26">
        <v>0.18</v>
      </c>
      <c r="I58" s="26">
        <v>0.18</v>
      </c>
      <c r="J58" s="26">
        <v>0.18</v>
      </c>
      <c r="K58" s="26"/>
      <c r="L58" s="26">
        <v>7.0000000000000007E-2</v>
      </c>
      <c r="M58" s="26">
        <v>8.5000000000000006E-2</v>
      </c>
      <c r="N58" s="26">
        <v>0.105</v>
      </c>
      <c r="O58" s="26">
        <v>0.04</v>
      </c>
      <c r="P58" s="25">
        <v>844842</v>
      </c>
      <c r="Q58" s="24">
        <v>1.93</v>
      </c>
      <c r="R58" s="25">
        <v>152906</v>
      </c>
      <c r="S58" s="25">
        <v>79149</v>
      </c>
      <c r="T58" s="24">
        <v>2.0299999999999998</v>
      </c>
      <c r="U58" s="25">
        <v>156691</v>
      </c>
      <c r="V58" s="25">
        <v>77274</v>
      </c>
      <c r="W58" s="24">
        <v>1.94</v>
      </c>
      <c r="X58" s="25">
        <v>155365</v>
      </c>
      <c r="Y58" s="25">
        <v>80208</v>
      </c>
      <c r="Z58" s="24">
        <v>2.09</v>
      </c>
      <c r="AA58" s="25">
        <v>153336</v>
      </c>
      <c r="AB58" s="25">
        <v>73403</v>
      </c>
      <c r="AC58" s="43">
        <v>2.69</v>
      </c>
      <c r="AD58" s="41">
        <v>510370</v>
      </c>
      <c r="AE58" s="41">
        <v>189859</v>
      </c>
      <c r="AF58" s="27"/>
    </row>
    <row r="59" spans="1:32" ht="10.5" customHeight="1" x14ac:dyDescent="0.15">
      <c r="A59" s="22" t="s">
        <v>24</v>
      </c>
      <c r="B59" s="50">
        <v>3</v>
      </c>
      <c r="C59" s="51">
        <v>1153501</v>
      </c>
      <c r="D59" s="51">
        <v>2735594</v>
      </c>
      <c r="E59" s="51">
        <v>2592854</v>
      </c>
      <c r="F59" s="51">
        <v>2592854</v>
      </c>
      <c r="G59" s="51">
        <v>14418758</v>
      </c>
      <c r="H59" s="52">
        <v>0.18</v>
      </c>
      <c r="I59" s="52">
        <v>0.18</v>
      </c>
      <c r="J59" s="52">
        <v>0.19</v>
      </c>
      <c r="K59" s="52"/>
      <c r="L59" s="52">
        <v>7.8E-2</v>
      </c>
      <c r="M59" s="52">
        <v>9.6000000000000002E-2</v>
      </c>
      <c r="N59" s="52">
        <v>0.12</v>
      </c>
      <c r="O59" s="52">
        <v>6.5000000000000002E-2</v>
      </c>
      <c r="P59" s="51">
        <v>40102019</v>
      </c>
      <c r="Q59" s="44">
        <v>1.92</v>
      </c>
      <c r="R59" s="51">
        <v>7865191</v>
      </c>
      <c r="S59" s="51">
        <v>4103239</v>
      </c>
      <c r="T59" s="44">
        <v>2.2200000000000002</v>
      </c>
      <c r="U59" s="51">
        <v>8322836</v>
      </c>
      <c r="V59" s="51">
        <v>3743484</v>
      </c>
      <c r="W59" s="44">
        <v>2.2200000000000002</v>
      </c>
      <c r="X59" s="51">
        <v>8582981</v>
      </c>
      <c r="Y59" s="51">
        <v>3861716</v>
      </c>
      <c r="Z59" s="44">
        <v>1.98</v>
      </c>
      <c r="AA59" s="51">
        <v>8526864</v>
      </c>
      <c r="AB59" s="51">
        <v>4311696</v>
      </c>
      <c r="AC59" s="43">
        <v>1.56</v>
      </c>
      <c r="AD59" s="53">
        <v>32105852</v>
      </c>
      <c r="AE59" s="53">
        <v>20620433</v>
      </c>
      <c r="AF59" s="27"/>
    </row>
    <row r="60" spans="1:32" ht="10.5" customHeight="1" x14ac:dyDescent="0.15">
      <c r="A60" s="23" t="s">
        <v>5</v>
      </c>
      <c r="B60" s="54">
        <v>4</v>
      </c>
      <c r="C60" s="25">
        <v>57749</v>
      </c>
      <c r="D60" s="25">
        <v>129056</v>
      </c>
      <c r="E60" s="25">
        <v>95826</v>
      </c>
      <c r="F60" s="25">
        <v>95826</v>
      </c>
      <c r="G60" s="25">
        <v>721858</v>
      </c>
      <c r="H60" s="26">
        <v>0.13300000000000001</v>
      </c>
      <c r="I60" s="26">
        <v>0.13300000000000001</v>
      </c>
      <c r="J60" s="26">
        <v>0.17899999999999999</v>
      </c>
      <c r="K60" s="26"/>
      <c r="L60" s="26">
        <v>7.3999999999999996E-2</v>
      </c>
      <c r="M60" s="26">
        <v>0.09</v>
      </c>
      <c r="N60" s="26">
        <v>0.112</v>
      </c>
      <c r="O60" s="26">
        <v>5.7000000000000002E-2</v>
      </c>
      <c r="P60" s="25">
        <v>1680699</v>
      </c>
      <c r="Q60" s="24">
        <v>3.17</v>
      </c>
      <c r="R60" s="25">
        <v>188647</v>
      </c>
      <c r="S60" s="25">
        <v>59519</v>
      </c>
      <c r="T60" s="24">
        <v>3.28</v>
      </c>
      <c r="U60" s="25">
        <v>191830</v>
      </c>
      <c r="V60" s="25">
        <v>58448</v>
      </c>
      <c r="W60" s="24">
        <v>3.17</v>
      </c>
      <c r="X60" s="25">
        <v>207167</v>
      </c>
      <c r="Y60" s="25">
        <v>65396</v>
      </c>
      <c r="Z60" s="24">
        <v>3.36</v>
      </c>
      <c r="AA60" s="25">
        <v>195865</v>
      </c>
      <c r="AB60" s="25">
        <v>58352</v>
      </c>
      <c r="AC60" s="43">
        <v>1.33</v>
      </c>
      <c r="AD60" s="41">
        <v>1362040</v>
      </c>
      <c r="AE60" s="41">
        <v>1023738</v>
      </c>
      <c r="AF60" s="27"/>
    </row>
    <row r="61" spans="1:32" ht="10.5" customHeight="1" x14ac:dyDescent="0.15">
      <c r="A61" s="22" t="s">
        <v>51</v>
      </c>
      <c r="B61" s="50">
        <v>5</v>
      </c>
      <c r="C61" s="51">
        <v>15172</v>
      </c>
      <c r="D61" s="51">
        <v>108461</v>
      </c>
      <c r="E61" s="51">
        <v>108199</v>
      </c>
      <c r="F61" s="51">
        <v>108199</v>
      </c>
      <c r="G61" s="51">
        <v>189644</v>
      </c>
      <c r="H61" s="52">
        <v>0.57099999999999995</v>
      </c>
      <c r="I61" s="52">
        <v>0.57099999999999995</v>
      </c>
      <c r="J61" s="52">
        <v>0.57199999999999995</v>
      </c>
      <c r="K61" s="52"/>
      <c r="L61" s="52">
        <v>7.0000000000000007E-2</v>
      </c>
      <c r="M61" s="52">
        <v>8.5000000000000006E-2</v>
      </c>
      <c r="N61" s="52">
        <v>0.105</v>
      </c>
      <c r="O61" s="52">
        <v>0.158</v>
      </c>
      <c r="P61" s="51">
        <v>686819</v>
      </c>
      <c r="Q61" s="44">
        <v>5.88</v>
      </c>
      <c r="R61" s="51">
        <v>496788</v>
      </c>
      <c r="S61" s="51">
        <v>84470</v>
      </c>
      <c r="T61" s="44">
        <v>6.11</v>
      </c>
      <c r="U61" s="51">
        <v>475436</v>
      </c>
      <c r="V61" s="51">
        <v>77785</v>
      </c>
      <c r="W61" s="44">
        <v>6.26</v>
      </c>
      <c r="X61" s="51">
        <v>443272</v>
      </c>
      <c r="Y61" s="51">
        <v>70862</v>
      </c>
      <c r="Z61" s="44">
        <v>5.31</v>
      </c>
      <c r="AA61" s="51">
        <v>396040</v>
      </c>
      <c r="AB61" s="51">
        <v>74521</v>
      </c>
      <c r="AC61" s="43">
        <v>3.04</v>
      </c>
      <c r="AD61" s="53">
        <v>599974</v>
      </c>
      <c r="AE61" s="53">
        <v>197374</v>
      </c>
      <c r="AF61" s="27"/>
    </row>
    <row r="62" spans="1:32" ht="10.5" customHeight="1" x14ac:dyDescent="0.15">
      <c r="A62" s="23" t="s">
        <v>101</v>
      </c>
      <c r="B62" s="54">
        <v>3</v>
      </c>
      <c r="C62" s="25">
        <v>438467</v>
      </c>
      <c r="D62" s="25">
        <v>1173600</v>
      </c>
      <c r="E62" s="25">
        <v>1173600</v>
      </c>
      <c r="F62" s="25">
        <v>1173600</v>
      </c>
      <c r="G62" s="25">
        <v>5480834</v>
      </c>
      <c r="H62" s="26">
        <v>0.214</v>
      </c>
      <c r="I62" s="26">
        <v>0.214</v>
      </c>
      <c r="J62" s="26">
        <v>0.214</v>
      </c>
      <c r="K62" s="26"/>
      <c r="L62" s="26">
        <v>7.8E-2</v>
      </c>
      <c r="M62" s="26">
        <v>9.6000000000000002E-2</v>
      </c>
      <c r="N62" s="26">
        <v>0.12</v>
      </c>
      <c r="O62" s="26">
        <v>6.8000000000000005E-2</v>
      </c>
      <c r="P62" s="25">
        <v>17275166</v>
      </c>
      <c r="Q62" s="24">
        <v>1.35</v>
      </c>
      <c r="R62" s="25">
        <v>8505071</v>
      </c>
      <c r="S62" s="25">
        <v>6288136</v>
      </c>
      <c r="T62" s="24">
        <v>1.34</v>
      </c>
      <c r="U62" s="25">
        <v>8864481</v>
      </c>
      <c r="V62" s="25">
        <v>6620539</v>
      </c>
      <c r="W62" s="24">
        <v>1.43</v>
      </c>
      <c r="X62" s="25">
        <v>8280361</v>
      </c>
      <c r="Y62" s="25">
        <v>5787887</v>
      </c>
      <c r="Z62" s="24">
        <v>1.75</v>
      </c>
      <c r="AA62" s="25">
        <v>5265698</v>
      </c>
      <c r="AB62" s="25">
        <v>3006291</v>
      </c>
      <c r="AC62" s="43">
        <v>1.2</v>
      </c>
      <c r="AD62" s="41">
        <v>7427167</v>
      </c>
      <c r="AE62" s="41">
        <v>6207717</v>
      </c>
      <c r="AF62" s="27"/>
    </row>
    <row r="63" spans="1:32" ht="10.5" customHeight="1" x14ac:dyDescent="0.15">
      <c r="A63" s="22" t="s">
        <v>37</v>
      </c>
      <c r="B63" s="50">
        <v>5</v>
      </c>
      <c r="C63" s="51">
        <v>31716</v>
      </c>
      <c r="D63" s="51">
        <v>70926</v>
      </c>
      <c r="E63" s="51">
        <v>70926</v>
      </c>
      <c r="F63" s="51">
        <v>70926</v>
      </c>
      <c r="G63" s="51">
        <v>396449</v>
      </c>
      <c r="H63" s="52">
        <v>0.17899999999999999</v>
      </c>
      <c r="I63" s="52">
        <v>0.17899999999999999</v>
      </c>
      <c r="J63" s="52">
        <v>0.17899999999999999</v>
      </c>
      <c r="K63" s="52"/>
      <c r="L63" s="52">
        <v>7.0000000000000007E-2</v>
      </c>
      <c r="M63" s="52">
        <v>8.5000000000000006E-2</v>
      </c>
      <c r="N63" s="52">
        <v>0.105</v>
      </c>
      <c r="O63" s="52">
        <v>8.7999999999999995E-2</v>
      </c>
      <c r="P63" s="51">
        <v>801684</v>
      </c>
      <c r="Q63" s="30" t="s">
        <v>204</v>
      </c>
      <c r="R63" s="55" t="s">
        <v>204</v>
      </c>
      <c r="S63" s="55" t="s">
        <v>204</v>
      </c>
      <c r="T63" s="30" t="s">
        <v>204</v>
      </c>
      <c r="U63" s="55" t="s">
        <v>204</v>
      </c>
      <c r="V63" s="55" t="s">
        <v>204</v>
      </c>
      <c r="W63" s="30" t="s">
        <v>204</v>
      </c>
      <c r="X63" s="55" t="s">
        <v>204</v>
      </c>
      <c r="Y63" s="55" t="s">
        <v>204</v>
      </c>
      <c r="Z63" s="30" t="s">
        <v>204</v>
      </c>
      <c r="AA63" s="55" t="s">
        <v>204</v>
      </c>
      <c r="AB63" s="55" t="s">
        <v>204</v>
      </c>
      <c r="AC63" s="45" t="s">
        <v>204</v>
      </c>
      <c r="AD63" s="56" t="s">
        <v>204</v>
      </c>
      <c r="AE63" s="56" t="s">
        <v>204</v>
      </c>
      <c r="AF63" s="27"/>
    </row>
    <row r="64" spans="1:32" ht="10.5" customHeight="1" x14ac:dyDescent="0.15">
      <c r="A64" s="23" t="s">
        <v>81</v>
      </c>
      <c r="B64" s="54">
        <v>3</v>
      </c>
      <c r="C64" s="25">
        <v>796339</v>
      </c>
      <c r="D64" s="25">
        <v>1855929</v>
      </c>
      <c r="E64" s="25">
        <v>1524979</v>
      </c>
      <c r="F64" s="25">
        <v>1524979</v>
      </c>
      <c r="G64" s="25">
        <v>9954240</v>
      </c>
      <c r="H64" s="26">
        <v>0.153</v>
      </c>
      <c r="I64" s="26">
        <v>0.153</v>
      </c>
      <c r="J64" s="26">
        <v>0.186</v>
      </c>
      <c r="K64" s="26"/>
      <c r="L64" s="26">
        <v>7.8E-2</v>
      </c>
      <c r="M64" s="26">
        <v>9.6000000000000002E-2</v>
      </c>
      <c r="N64" s="26">
        <v>0.12</v>
      </c>
      <c r="O64" s="26">
        <v>7.0999999999999994E-2</v>
      </c>
      <c r="P64" s="25">
        <v>21499038</v>
      </c>
      <c r="Q64" s="24">
        <v>2.04</v>
      </c>
      <c r="R64" s="25">
        <v>2943179</v>
      </c>
      <c r="S64" s="25">
        <v>1441262</v>
      </c>
      <c r="T64" s="24">
        <v>1.85</v>
      </c>
      <c r="U64" s="25">
        <v>2618170</v>
      </c>
      <c r="V64" s="25">
        <v>1412961</v>
      </c>
      <c r="W64" s="24">
        <v>1.72</v>
      </c>
      <c r="X64" s="25">
        <v>2667372</v>
      </c>
      <c r="Y64" s="25">
        <v>1551479</v>
      </c>
      <c r="Z64" s="24">
        <v>1.97</v>
      </c>
      <c r="AA64" s="25">
        <v>2900505</v>
      </c>
      <c r="AB64" s="25">
        <v>1469370</v>
      </c>
      <c r="AC64" s="43">
        <v>1.3</v>
      </c>
      <c r="AD64" s="41">
        <v>10299994</v>
      </c>
      <c r="AE64" s="41">
        <v>7931529</v>
      </c>
      <c r="AF64" s="27"/>
    </row>
    <row r="65" spans="1:32" ht="10.5" customHeight="1" x14ac:dyDescent="0.15">
      <c r="A65" s="22" t="s">
        <v>4</v>
      </c>
      <c r="B65" s="50">
        <v>5</v>
      </c>
      <c r="C65" s="51">
        <v>3413</v>
      </c>
      <c r="D65" s="51">
        <v>9146</v>
      </c>
      <c r="E65" s="51">
        <v>7777</v>
      </c>
      <c r="F65" s="51">
        <v>7777</v>
      </c>
      <c r="G65" s="51">
        <v>42669</v>
      </c>
      <c r="H65" s="52">
        <v>0.182</v>
      </c>
      <c r="I65" s="52">
        <v>0.182</v>
      </c>
      <c r="J65" s="52">
        <v>0.214</v>
      </c>
      <c r="K65" s="52"/>
      <c r="L65" s="52">
        <v>7.0000000000000007E-2</v>
      </c>
      <c r="M65" s="52">
        <v>8.5000000000000006E-2</v>
      </c>
      <c r="N65" s="52">
        <v>0.105</v>
      </c>
      <c r="O65" s="52">
        <v>7.0999999999999994E-2</v>
      </c>
      <c r="P65" s="51">
        <v>110041</v>
      </c>
      <c r="Q65" s="44">
        <v>2.29</v>
      </c>
      <c r="R65" s="51">
        <v>18447</v>
      </c>
      <c r="S65" s="51">
        <v>8059</v>
      </c>
      <c r="T65" s="44">
        <v>2.38</v>
      </c>
      <c r="U65" s="51">
        <v>19883</v>
      </c>
      <c r="V65" s="51">
        <v>8352</v>
      </c>
      <c r="W65" s="44">
        <v>2.2000000000000002</v>
      </c>
      <c r="X65" s="51">
        <v>19601</v>
      </c>
      <c r="Y65" s="51">
        <v>8916</v>
      </c>
      <c r="Z65" s="44">
        <v>2.12</v>
      </c>
      <c r="AA65" s="51">
        <v>18900</v>
      </c>
      <c r="AB65" s="51">
        <v>8925</v>
      </c>
      <c r="AC65" s="43">
        <v>1.87</v>
      </c>
      <c r="AD65" s="53">
        <v>102100</v>
      </c>
      <c r="AE65" s="53">
        <v>54599</v>
      </c>
      <c r="AF65" s="27"/>
    </row>
    <row r="66" spans="1:32" ht="10.5" customHeight="1" x14ac:dyDescent="0.15">
      <c r="A66" s="23" t="s">
        <v>33</v>
      </c>
      <c r="B66" s="54">
        <v>5</v>
      </c>
      <c r="C66" s="25">
        <v>22423</v>
      </c>
      <c r="D66" s="25">
        <v>51248</v>
      </c>
      <c r="E66" s="25">
        <v>45748</v>
      </c>
      <c r="F66" s="25">
        <v>45748</v>
      </c>
      <c r="G66" s="25">
        <v>280290</v>
      </c>
      <c r="H66" s="26">
        <v>0.16300000000000001</v>
      </c>
      <c r="I66" s="26">
        <v>0.16300000000000001</v>
      </c>
      <c r="J66" s="26">
        <v>0.183</v>
      </c>
      <c r="K66" s="26"/>
      <c r="L66" s="26">
        <v>7.0000000000000007E-2</v>
      </c>
      <c r="M66" s="26">
        <v>8.5000000000000006E-2</v>
      </c>
      <c r="N66" s="26">
        <v>0.105</v>
      </c>
      <c r="O66" s="26">
        <v>7.0000000000000007E-2</v>
      </c>
      <c r="P66" s="25">
        <v>650633</v>
      </c>
      <c r="Q66" s="24">
        <v>8.3699999999999992</v>
      </c>
      <c r="R66" s="25">
        <v>86921</v>
      </c>
      <c r="S66" s="25">
        <v>10380</v>
      </c>
      <c r="T66" s="24">
        <v>9.73</v>
      </c>
      <c r="U66" s="25">
        <v>99596</v>
      </c>
      <c r="V66" s="25">
        <v>10238</v>
      </c>
      <c r="W66" s="24">
        <v>12.32</v>
      </c>
      <c r="X66" s="25">
        <v>106048</v>
      </c>
      <c r="Y66" s="25">
        <v>8610</v>
      </c>
      <c r="Z66" s="24">
        <v>11.22</v>
      </c>
      <c r="AA66" s="25">
        <v>96347</v>
      </c>
      <c r="AB66" s="25">
        <v>8584</v>
      </c>
      <c r="AC66" s="43">
        <v>1.63</v>
      </c>
      <c r="AD66" s="41">
        <v>588352</v>
      </c>
      <c r="AE66" s="41">
        <v>361105</v>
      </c>
      <c r="AF66" s="27"/>
    </row>
    <row r="67" spans="1:32" ht="10.5" customHeight="1" x14ac:dyDescent="0.15">
      <c r="A67" s="22" t="s">
        <v>72</v>
      </c>
      <c r="B67" s="50">
        <v>4</v>
      </c>
      <c r="C67" s="51">
        <v>69700</v>
      </c>
      <c r="D67" s="51">
        <v>236473</v>
      </c>
      <c r="E67" s="51">
        <v>223824</v>
      </c>
      <c r="F67" s="51">
        <v>236473</v>
      </c>
      <c r="G67" s="51">
        <v>871252</v>
      </c>
      <c r="H67" s="52">
        <v>0.25700000000000001</v>
      </c>
      <c r="I67" s="52">
        <v>0.27100000000000002</v>
      </c>
      <c r="J67" s="52">
        <v>0.27100000000000002</v>
      </c>
      <c r="K67" s="52"/>
      <c r="L67" s="52">
        <v>7.3999999999999996E-2</v>
      </c>
      <c r="M67" s="52">
        <v>0.09</v>
      </c>
      <c r="N67" s="52">
        <v>0.112</v>
      </c>
      <c r="O67" s="52">
        <v>6.8000000000000005E-2</v>
      </c>
      <c r="P67" s="51">
        <v>3480490</v>
      </c>
      <c r="Q67" s="44">
        <v>4.2300000000000004</v>
      </c>
      <c r="R67" s="51">
        <v>1009432</v>
      </c>
      <c r="S67" s="51">
        <v>238369</v>
      </c>
      <c r="T67" s="44">
        <v>3.5</v>
      </c>
      <c r="U67" s="51">
        <v>999288</v>
      </c>
      <c r="V67" s="51">
        <v>285700</v>
      </c>
      <c r="W67" s="44">
        <v>3.61</v>
      </c>
      <c r="X67" s="51">
        <v>1224681</v>
      </c>
      <c r="Y67" s="51">
        <v>339383</v>
      </c>
      <c r="Z67" s="44">
        <v>3.11</v>
      </c>
      <c r="AA67" s="51">
        <v>1260327</v>
      </c>
      <c r="AB67" s="51">
        <v>405397</v>
      </c>
      <c r="AC67" s="43">
        <v>2.94</v>
      </c>
      <c r="AD67" s="53">
        <v>2573078</v>
      </c>
      <c r="AE67" s="53">
        <v>874686</v>
      </c>
      <c r="AF67" s="27"/>
    </row>
    <row r="68" spans="1:32" ht="10.5" customHeight="1" x14ac:dyDescent="0.15">
      <c r="A68" s="23" t="s">
        <v>136</v>
      </c>
      <c r="B68" s="54">
        <v>4</v>
      </c>
      <c r="C68" s="25">
        <v>448005</v>
      </c>
      <c r="D68" s="25">
        <v>1056594</v>
      </c>
      <c r="E68" s="25">
        <v>906594</v>
      </c>
      <c r="F68" s="25">
        <v>1056594</v>
      </c>
      <c r="G68" s="25">
        <v>5600068</v>
      </c>
      <c r="H68" s="26">
        <v>0.16200000000000001</v>
      </c>
      <c r="I68" s="26">
        <v>0.189</v>
      </c>
      <c r="J68" s="26">
        <v>0.189</v>
      </c>
      <c r="K68" s="26"/>
      <c r="L68" s="26">
        <v>7.3999999999999996E-2</v>
      </c>
      <c r="M68" s="26">
        <v>0.09</v>
      </c>
      <c r="N68" s="26">
        <v>0.112</v>
      </c>
      <c r="O68" s="26">
        <v>0.14399999999999999</v>
      </c>
      <c r="P68" s="25">
        <v>7325062</v>
      </c>
      <c r="Q68" s="24">
        <v>10.18</v>
      </c>
      <c r="R68" s="25">
        <v>499580</v>
      </c>
      <c r="S68" s="25">
        <v>49073</v>
      </c>
      <c r="T68" s="24">
        <v>9.3000000000000007</v>
      </c>
      <c r="U68" s="25">
        <v>534786</v>
      </c>
      <c r="V68" s="25">
        <v>57535</v>
      </c>
      <c r="W68" s="24">
        <v>4.82</v>
      </c>
      <c r="X68" s="25">
        <v>487084</v>
      </c>
      <c r="Y68" s="25">
        <v>101146</v>
      </c>
      <c r="Z68" s="24">
        <v>10.3</v>
      </c>
      <c r="AA68" s="25">
        <v>468793</v>
      </c>
      <c r="AB68" s="25">
        <v>45515</v>
      </c>
      <c r="AC68" s="43">
        <v>1.1599999999999999</v>
      </c>
      <c r="AD68" s="41">
        <v>5731175</v>
      </c>
      <c r="AE68" s="41">
        <v>4919781</v>
      </c>
      <c r="AF68" s="27"/>
    </row>
    <row r="69" spans="1:32" ht="10.5" customHeight="1" x14ac:dyDescent="0.15">
      <c r="A69" s="22" t="s">
        <v>91</v>
      </c>
      <c r="B69" s="50">
        <v>5</v>
      </c>
      <c r="C69" s="51">
        <v>38083</v>
      </c>
      <c r="D69" s="51">
        <v>85208</v>
      </c>
      <c r="E69" s="51">
        <v>85208</v>
      </c>
      <c r="F69" s="51">
        <v>85208</v>
      </c>
      <c r="G69" s="51">
        <v>476036</v>
      </c>
      <c r="H69" s="52">
        <v>0.17899999999999999</v>
      </c>
      <c r="I69" s="52">
        <v>0.17899999999999999</v>
      </c>
      <c r="J69" s="52">
        <v>0.17899999999999999</v>
      </c>
      <c r="K69" s="52"/>
      <c r="L69" s="52">
        <v>7.0000000000000007E-2</v>
      </c>
      <c r="M69" s="52">
        <v>8.5000000000000006E-2</v>
      </c>
      <c r="N69" s="52">
        <v>0.105</v>
      </c>
      <c r="O69" s="52">
        <v>0.05</v>
      </c>
      <c r="P69" s="51">
        <v>1704754</v>
      </c>
      <c r="Q69" s="44">
        <v>4.3600000000000003</v>
      </c>
      <c r="R69" s="51">
        <v>785128</v>
      </c>
      <c r="S69" s="51">
        <v>179976</v>
      </c>
      <c r="T69" s="44">
        <v>5.57</v>
      </c>
      <c r="U69" s="51">
        <v>763408</v>
      </c>
      <c r="V69" s="51">
        <v>136953</v>
      </c>
      <c r="W69" s="44">
        <v>5.23</v>
      </c>
      <c r="X69" s="51">
        <v>801433</v>
      </c>
      <c r="Y69" s="51">
        <v>153136</v>
      </c>
      <c r="Z69" s="44">
        <v>5.38</v>
      </c>
      <c r="AA69" s="51">
        <v>875967</v>
      </c>
      <c r="AB69" s="51">
        <v>162945</v>
      </c>
      <c r="AC69" s="43">
        <v>2.82</v>
      </c>
      <c r="AD69" s="53">
        <v>1104649</v>
      </c>
      <c r="AE69" s="53">
        <v>392379</v>
      </c>
      <c r="AF69" s="27"/>
    </row>
    <row r="70" spans="1:32" ht="10.5" customHeight="1" x14ac:dyDescent="0.15">
      <c r="A70" s="23" t="s">
        <v>134</v>
      </c>
      <c r="B70" s="54">
        <v>5</v>
      </c>
      <c r="C70" s="25">
        <v>7455</v>
      </c>
      <c r="D70" s="25">
        <v>17559</v>
      </c>
      <c r="E70" s="25">
        <v>17559</v>
      </c>
      <c r="F70" s="25">
        <v>17559</v>
      </c>
      <c r="G70" s="25">
        <v>93190</v>
      </c>
      <c r="H70" s="26">
        <v>0.188</v>
      </c>
      <c r="I70" s="26">
        <v>0.188</v>
      </c>
      <c r="J70" s="26">
        <v>0.188</v>
      </c>
      <c r="K70" s="26"/>
      <c r="L70" s="26">
        <v>7.0000000000000007E-2</v>
      </c>
      <c r="M70" s="26">
        <v>8.5000000000000006E-2</v>
      </c>
      <c r="N70" s="26">
        <v>0.105</v>
      </c>
      <c r="O70" s="26">
        <v>4.1000000000000002E-2</v>
      </c>
      <c r="P70" s="25">
        <v>423562</v>
      </c>
      <c r="Q70" s="24">
        <v>3.35</v>
      </c>
      <c r="R70" s="25">
        <v>202118</v>
      </c>
      <c r="S70" s="25">
        <v>60342</v>
      </c>
      <c r="T70" s="24">
        <v>3.26</v>
      </c>
      <c r="U70" s="25">
        <v>167914</v>
      </c>
      <c r="V70" s="25">
        <v>51452</v>
      </c>
      <c r="W70" s="24">
        <v>2.5</v>
      </c>
      <c r="X70" s="25">
        <v>261231</v>
      </c>
      <c r="Y70" s="25">
        <v>104334</v>
      </c>
      <c r="Z70" s="24">
        <v>3.04</v>
      </c>
      <c r="AA70" s="25">
        <v>239846</v>
      </c>
      <c r="AB70" s="25">
        <v>78893</v>
      </c>
      <c r="AC70" s="43">
        <v>3.64</v>
      </c>
      <c r="AD70" s="41">
        <v>199574</v>
      </c>
      <c r="AE70" s="41">
        <v>54888</v>
      </c>
      <c r="AF70" s="27"/>
    </row>
    <row r="71" spans="1:32" ht="10.5" customHeight="1" x14ac:dyDescent="0.15">
      <c r="A71" s="22" t="s">
        <v>118</v>
      </c>
      <c r="B71" s="50">
        <v>4</v>
      </c>
      <c r="C71" s="51">
        <v>468609</v>
      </c>
      <c r="D71" s="51">
        <v>1201767</v>
      </c>
      <c r="E71" s="51">
        <v>1185507</v>
      </c>
      <c r="F71" s="51">
        <v>1185507</v>
      </c>
      <c r="G71" s="51">
        <v>5857612</v>
      </c>
      <c r="H71" s="52">
        <v>0.20200000000000001</v>
      </c>
      <c r="I71" s="52">
        <v>0.20200000000000001</v>
      </c>
      <c r="J71" s="52">
        <v>0.20499999999999999</v>
      </c>
      <c r="K71" s="52"/>
      <c r="L71" s="52">
        <v>7.3999999999999996E-2</v>
      </c>
      <c r="M71" s="52">
        <v>0.09</v>
      </c>
      <c r="N71" s="52">
        <v>0.112</v>
      </c>
      <c r="O71" s="52">
        <v>8.2000000000000003E-2</v>
      </c>
      <c r="P71" s="51">
        <v>14453180</v>
      </c>
      <c r="Q71" s="44">
        <v>2</v>
      </c>
      <c r="R71" s="51">
        <v>2927420</v>
      </c>
      <c r="S71" s="51">
        <v>1466947</v>
      </c>
      <c r="T71" s="44">
        <v>2.2200000000000002</v>
      </c>
      <c r="U71" s="51">
        <v>3043620</v>
      </c>
      <c r="V71" s="51">
        <v>1370642</v>
      </c>
      <c r="W71" s="44">
        <v>2.35</v>
      </c>
      <c r="X71" s="51">
        <v>3158034</v>
      </c>
      <c r="Y71" s="51">
        <v>1342009</v>
      </c>
      <c r="Z71" s="44">
        <v>2.15</v>
      </c>
      <c r="AA71" s="51">
        <v>2999861</v>
      </c>
      <c r="AB71" s="51">
        <v>1393107</v>
      </c>
      <c r="AC71" s="43">
        <v>1.34</v>
      </c>
      <c r="AD71" s="53">
        <v>11479088</v>
      </c>
      <c r="AE71" s="53">
        <v>8587855</v>
      </c>
      <c r="AF71" s="27"/>
    </row>
    <row r="72" spans="1:32" ht="10.5" customHeight="1" x14ac:dyDescent="0.15">
      <c r="A72" s="23" t="s">
        <v>34</v>
      </c>
      <c r="B72" s="54">
        <v>4</v>
      </c>
      <c r="C72" s="25">
        <v>401808</v>
      </c>
      <c r="D72" s="25">
        <v>1006046</v>
      </c>
      <c r="E72" s="25">
        <v>1006046</v>
      </c>
      <c r="F72" s="25">
        <v>1006046</v>
      </c>
      <c r="G72" s="25">
        <v>5022605</v>
      </c>
      <c r="H72" s="26">
        <v>0.2</v>
      </c>
      <c r="I72" s="26">
        <v>0.2</v>
      </c>
      <c r="J72" s="26">
        <v>0.2</v>
      </c>
      <c r="K72" s="26"/>
      <c r="L72" s="26">
        <v>7.3999999999999996E-2</v>
      </c>
      <c r="M72" s="26">
        <v>0.09</v>
      </c>
      <c r="N72" s="26">
        <v>0.112</v>
      </c>
      <c r="O72" s="26">
        <v>9.9000000000000005E-2</v>
      </c>
      <c r="P72" s="25">
        <v>10198087</v>
      </c>
      <c r="Q72" s="24">
        <v>1.87</v>
      </c>
      <c r="R72" s="25">
        <v>2262540</v>
      </c>
      <c r="S72" s="25">
        <v>1207337</v>
      </c>
      <c r="T72" s="24">
        <v>1.78</v>
      </c>
      <c r="U72" s="25">
        <v>2426899</v>
      </c>
      <c r="V72" s="25">
        <v>1366316</v>
      </c>
      <c r="W72" s="24">
        <v>1.77</v>
      </c>
      <c r="X72" s="25">
        <v>2478659</v>
      </c>
      <c r="Y72" s="25">
        <v>1398357</v>
      </c>
      <c r="Z72" s="24">
        <v>1.71</v>
      </c>
      <c r="AA72" s="25">
        <v>2304877</v>
      </c>
      <c r="AB72" s="25">
        <v>1345385</v>
      </c>
      <c r="AC72" s="43">
        <v>1.73</v>
      </c>
      <c r="AD72" s="41">
        <v>5499878</v>
      </c>
      <c r="AE72" s="41">
        <v>3176629</v>
      </c>
      <c r="AF72" s="27"/>
    </row>
    <row r="73" spans="1:32" ht="10.5" customHeight="1" x14ac:dyDescent="0.15">
      <c r="A73" s="22" t="s">
        <v>107</v>
      </c>
      <c r="B73" s="50">
        <v>4</v>
      </c>
      <c r="C73" s="51">
        <v>184837</v>
      </c>
      <c r="D73" s="51">
        <v>427484</v>
      </c>
      <c r="E73" s="51">
        <v>406280</v>
      </c>
      <c r="F73" s="51">
        <v>406280</v>
      </c>
      <c r="G73" s="51">
        <v>2310466</v>
      </c>
      <c r="H73" s="52">
        <v>0.17599999999999999</v>
      </c>
      <c r="I73" s="52">
        <v>0.17599999999999999</v>
      </c>
      <c r="J73" s="52">
        <v>0.185</v>
      </c>
      <c r="K73" s="52"/>
      <c r="L73" s="52">
        <v>7.3999999999999996E-2</v>
      </c>
      <c r="M73" s="52">
        <v>0.09</v>
      </c>
      <c r="N73" s="52">
        <v>0.112</v>
      </c>
      <c r="O73" s="52">
        <v>6.7000000000000004E-2</v>
      </c>
      <c r="P73" s="51">
        <v>6068320</v>
      </c>
      <c r="Q73" s="44">
        <v>2.83</v>
      </c>
      <c r="R73" s="51">
        <v>483360</v>
      </c>
      <c r="S73" s="51">
        <v>170650</v>
      </c>
      <c r="T73" s="44">
        <v>2.75</v>
      </c>
      <c r="U73" s="51">
        <v>599335</v>
      </c>
      <c r="V73" s="51">
        <v>217593</v>
      </c>
      <c r="W73" s="44">
        <v>2.46</v>
      </c>
      <c r="X73" s="51">
        <v>607174</v>
      </c>
      <c r="Y73" s="51">
        <v>246693</v>
      </c>
      <c r="Z73" s="44">
        <v>2.61</v>
      </c>
      <c r="AA73" s="51">
        <v>659504</v>
      </c>
      <c r="AB73" s="51">
        <v>252774</v>
      </c>
      <c r="AC73" s="43">
        <v>1.2</v>
      </c>
      <c r="AD73" s="53">
        <v>4891431</v>
      </c>
      <c r="AE73" s="53">
        <v>4075820</v>
      </c>
      <c r="AF73" s="27"/>
    </row>
    <row r="74" spans="1:32" ht="10.5" customHeight="1" x14ac:dyDescent="0.15">
      <c r="A74" s="23" t="s">
        <v>61</v>
      </c>
      <c r="B74" s="54">
        <v>5</v>
      </c>
      <c r="C74" s="25">
        <v>36901</v>
      </c>
      <c r="D74" s="25">
        <v>120626</v>
      </c>
      <c r="E74" s="25">
        <v>120626</v>
      </c>
      <c r="F74" s="25">
        <v>120626</v>
      </c>
      <c r="G74" s="25">
        <v>461267</v>
      </c>
      <c r="H74" s="26">
        <v>0.26200000000000001</v>
      </c>
      <c r="I74" s="26">
        <v>0.26200000000000001</v>
      </c>
      <c r="J74" s="26">
        <v>0.26200000000000001</v>
      </c>
      <c r="K74" s="26"/>
      <c r="L74" s="26">
        <v>7.0000000000000007E-2</v>
      </c>
      <c r="M74" s="26">
        <v>8.5000000000000006E-2</v>
      </c>
      <c r="N74" s="26">
        <v>0.105</v>
      </c>
      <c r="O74" s="26">
        <v>0.16900000000000001</v>
      </c>
      <c r="P74" s="25">
        <v>714987</v>
      </c>
      <c r="Q74" s="24">
        <v>2.23</v>
      </c>
      <c r="R74" s="25">
        <v>45120</v>
      </c>
      <c r="S74" s="25">
        <v>20214</v>
      </c>
      <c r="T74" s="24">
        <v>1.94</v>
      </c>
      <c r="U74" s="25">
        <v>62688</v>
      </c>
      <c r="V74" s="25">
        <v>32320</v>
      </c>
      <c r="W74" s="24">
        <v>2.21</v>
      </c>
      <c r="X74" s="25">
        <v>107961</v>
      </c>
      <c r="Y74" s="25">
        <v>48954</v>
      </c>
      <c r="Z74" s="24">
        <v>2.62</v>
      </c>
      <c r="AA74" s="25">
        <v>102725</v>
      </c>
      <c r="AB74" s="25">
        <v>39228</v>
      </c>
      <c r="AC74" s="43">
        <v>1.21</v>
      </c>
      <c r="AD74" s="41">
        <v>281221</v>
      </c>
      <c r="AE74" s="41">
        <v>232342</v>
      </c>
      <c r="AF74" s="27"/>
    </row>
    <row r="75" spans="1:32" ht="10.5" customHeight="1" x14ac:dyDescent="0.15">
      <c r="A75" s="22" t="s">
        <v>210</v>
      </c>
      <c r="B75" s="50">
        <v>5</v>
      </c>
      <c r="C75" s="51">
        <v>7469</v>
      </c>
      <c r="D75" s="51">
        <v>22839</v>
      </c>
      <c r="E75" s="51">
        <v>16439</v>
      </c>
      <c r="F75" s="51">
        <v>16439</v>
      </c>
      <c r="G75" s="51">
        <v>93368</v>
      </c>
      <c r="H75" s="52">
        <v>0.17599999999999999</v>
      </c>
      <c r="I75" s="52">
        <v>0.17599999999999999</v>
      </c>
      <c r="J75" s="52">
        <v>0.245</v>
      </c>
      <c r="K75" s="52"/>
      <c r="L75" s="52">
        <v>7.0000000000000007E-2</v>
      </c>
      <c r="M75" s="52">
        <v>8.5000000000000006E-2</v>
      </c>
      <c r="N75" s="52">
        <v>0.105</v>
      </c>
      <c r="O75" s="52">
        <v>0.56100000000000005</v>
      </c>
      <c r="P75" s="51">
        <v>29301</v>
      </c>
      <c r="Q75" s="44" t="s">
        <v>197</v>
      </c>
      <c r="R75" s="51" t="s">
        <v>197</v>
      </c>
      <c r="S75" s="51" t="s">
        <v>197</v>
      </c>
      <c r="T75" s="44" t="s">
        <v>197</v>
      </c>
      <c r="U75" s="51" t="s">
        <v>197</v>
      </c>
      <c r="V75" s="51" t="s">
        <v>197</v>
      </c>
      <c r="W75" s="44" t="s">
        <v>197</v>
      </c>
      <c r="X75" s="51" t="s">
        <v>197</v>
      </c>
      <c r="Y75" s="51" t="s">
        <v>197</v>
      </c>
      <c r="Z75" s="44" t="s">
        <v>197</v>
      </c>
      <c r="AA75" s="51" t="s">
        <v>197</v>
      </c>
      <c r="AB75" s="51" t="s">
        <v>197</v>
      </c>
      <c r="AC75" s="43">
        <v>1.68</v>
      </c>
      <c r="AD75" s="53">
        <v>24646</v>
      </c>
      <c r="AE75" s="53">
        <v>14698</v>
      </c>
      <c r="AF75" s="27"/>
    </row>
    <row r="76" spans="1:32" ht="10.5" customHeight="1" x14ac:dyDescent="0.15">
      <c r="A76" s="23" t="s">
        <v>211</v>
      </c>
      <c r="B76" s="54">
        <v>5</v>
      </c>
      <c r="C76" s="25">
        <v>7641</v>
      </c>
      <c r="D76" s="25">
        <v>32228</v>
      </c>
      <c r="E76" s="25">
        <v>32228</v>
      </c>
      <c r="F76" s="25">
        <v>32228</v>
      </c>
      <c r="G76" s="25">
        <v>95514</v>
      </c>
      <c r="H76" s="26">
        <v>0.33700000000000002</v>
      </c>
      <c r="I76" s="26">
        <v>0.33700000000000002</v>
      </c>
      <c r="J76" s="26">
        <v>0.33700000000000002</v>
      </c>
      <c r="K76" s="26"/>
      <c r="L76" s="26">
        <v>7.0000000000000007E-2</v>
      </c>
      <c r="M76" s="26">
        <v>8.5000000000000006E-2</v>
      </c>
      <c r="N76" s="26">
        <v>0.105</v>
      </c>
      <c r="O76" s="26">
        <v>0.66700000000000004</v>
      </c>
      <c r="P76" s="25">
        <v>48297</v>
      </c>
      <c r="Q76" s="28" t="s">
        <v>204</v>
      </c>
      <c r="R76" s="29" t="s">
        <v>204</v>
      </c>
      <c r="S76" s="29" t="s">
        <v>204</v>
      </c>
      <c r="T76" s="28" t="s">
        <v>204</v>
      </c>
      <c r="U76" s="29" t="s">
        <v>204</v>
      </c>
      <c r="V76" s="29" t="s">
        <v>204</v>
      </c>
      <c r="W76" s="28" t="s">
        <v>204</v>
      </c>
      <c r="X76" s="29" t="s">
        <v>204</v>
      </c>
      <c r="Y76" s="29" t="s">
        <v>204</v>
      </c>
      <c r="Z76" s="28" t="s">
        <v>204</v>
      </c>
      <c r="AA76" s="29" t="s">
        <v>204</v>
      </c>
      <c r="AB76" s="29" t="s">
        <v>204</v>
      </c>
      <c r="AC76" s="45" t="s">
        <v>204</v>
      </c>
      <c r="AD76" s="40" t="s">
        <v>204</v>
      </c>
      <c r="AE76" s="40" t="s">
        <v>204</v>
      </c>
      <c r="AF76" s="27"/>
    </row>
    <row r="77" spans="1:32" ht="10.5" customHeight="1" x14ac:dyDescent="0.15">
      <c r="A77" s="22" t="s">
        <v>88</v>
      </c>
      <c r="B77" s="50">
        <v>5</v>
      </c>
      <c r="C77" s="51">
        <v>1181</v>
      </c>
      <c r="D77" s="51">
        <v>6930</v>
      </c>
      <c r="E77" s="51">
        <v>6930</v>
      </c>
      <c r="F77" s="51">
        <v>6930</v>
      </c>
      <c r="G77" s="51">
        <v>14764</v>
      </c>
      <c r="H77" s="52">
        <v>0.46899999999999997</v>
      </c>
      <c r="I77" s="52">
        <v>0.46899999999999997</v>
      </c>
      <c r="J77" s="52">
        <v>0.46899999999999997</v>
      </c>
      <c r="K77" s="52"/>
      <c r="L77" s="52">
        <v>7.0000000000000007E-2</v>
      </c>
      <c r="M77" s="52">
        <v>8.5000000000000006E-2</v>
      </c>
      <c r="N77" s="52">
        <v>0.105</v>
      </c>
      <c r="O77" s="52">
        <v>0.38800000000000001</v>
      </c>
      <c r="P77" s="51">
        <v>17861</v>
      </c>
      <c r="Q77" s="44" t="s">
        <v>197</v>
      </c>
      <c r="R77" s="51" t="s">
        <v>197</v>
      </c>
      <c r="S77" s="51" t="s">
        <v>197</v>
      </c>
      <c r="T77" s="44" t="s">
        <v>197</v>
      </c>
      <c r="U77" s="51" t="s">
        <v>197</v>
      </c>
      <c r="V77" s="51" t="s">
        <v>197</v>
      </c>
      <c r="W77" s="44" t="s">
        <v>197</v>
      </c>
      <c r="X77" s="51" t="s">
        <v>197</v>
      </c>
      <c r="Y77" s="51" t="s">
        <v>197</v>
      </c>
      <c r="Z77" s="44" t="s">
        <v>197</v>
      </c>
      <c r="AA77" s="51" t="s">
        <v>197</v>
      </c>
      <c r="AB77" s="51" t="s">
        <v>197</v>
      </c>
      <c r="AC77" s="43">
        <v>3.23</v>
      </c>
      <c r="AD77" s="53">
        <v>10904</v>
      </c>
      <c r="AE77" s="53">
        <v>3377</v>
      </c>
      <c r="AF77" s="27"/>
    </row>
    <row r="78" spans="1:32" ht="10.5" customHeight="1" x14ac:dyDescent="0.15">
      <c r="A78" s="23" t="s">
        <v>44</v>
      </c>
      <c r="B78" s="54">
        <v>4</v>
      </c>
      <c r="C78" s="25">
        <v>256255</v>
      </c>
      <c r="D78" s="25">
        <v>636121</v>
      </c>
      <c r="E78" s="25">
        <v>583819</v>
      </c>
      <c r="F78" s="25">
        <v>583819</v>
      </c>
      <c r="G78" s="25">
        <v>3203191</v>
      </c>
      <c r="H78" s="26">
        <v>0.182</v>
      </c>
      <c r="I78" s="26">
        <v>0.182</v>
      </c>
      <c r="J78" s="26">
        <v>0.19900000000000001</v>
      </c>
      <c r="K78" s="26"/>
      <c r="L78" s="26">
        <v>7.3999999999999996E-2</v>
      </c>
      <c r="M78" s="26">
        <v>0.09</v>
      </c>
      <c r="N78" s="26">
        <v>0.112</v>
      </c>
      <c r="O78" s="26">
        <v>5.7000000000000002E-2</v>
      </c>
      <c r="P78" s="25">
        <v>10226539</v>
      </c>
      <c r="Q78" s="24">
        <v>1.3</v>
      </c>
      <c r="R78" s="25">
        <v>1180952</v>
      </c>
      <c r="S78" s="25">
        <v>911161</v>
      </c>
      <c r="T78" s="24">
        <v>1.32</v>
      </c>
      <c r="U78" s="25">
        <v>1222461</v>
      </c>
      <c r="V78" s="25">
        <v>923987</v>
      </c>
      <c r="W78" s="24">
        <v>1.39</v>
      </c>
      <c r="X78" s="25">
        <v>1274453</v>
      </c>
      <c r="Y78" s="25">
        <v>913605</v>
      </c>
      <c r="Z78" s="24">
        <v>1.59</v>
      </c>
      <c r="AA78" s="25">
        <v>1451451</v>
      </c>
      <c r="AB78" s="25">
        <v>910339</v>
      </c>
      <c r="AC78" s="43">
        <v>1.07</v>
      </c>
      <c r="AD78" s="41">
        <v>3954249</v>
      </c>
      <c r="AE78" s="41">
        <v>3709718</v>
      </c>
      <c r="AF78" s="27"/>
    </row>
    <row r="79" spans="1:32" ht="10.5" customHeight="1" x14ac:dyDescent="0.15">
      <c r="A79" s="22" t="s">
        <v>68</v>
      </c>
      <c r="B79" s="50">
        <v>4</v>
      </c>
      <c r="C79" s="51">
        <v>167133</v>
      </c>
      <c r="D79" s="51">
        <v>558470</v>
      </c>
      <c r="E79" s="51">
        <v>558470</v>
      </c>
      <c r="F79" s="51">
        <v>558470</v>
      </c>
      <c r="G79" s="51">
        <v>2089165</v>
      </c>
      <c r="H79" s="52">
        <v>0.26700000000000002</v>
      </c>
      <c r="I79" s="52">
        <v>0.26700000000000002</v>
      </c>
      <c r="J79" s="52">
        <v>0.26700000000000002</v>
      </c>
      <c r="K79" s="52"/>
      <c r="L79" s="52">
        <v>7.3999999999999996E-2</v>
      </c>
      <c r="M79" s="52">
        <v>0.09</v>
      </c>
      <c r="N79" s="52">
        <v>0.112</v>
      </c>
      <c r="O79" s="52">
        <v>0.19600000000000001</v>
      </c>
      <c r="P79" s="51">
        <v>2844793</v>
      </c>
      <c r="Q79" s="44">
        <v>4.92</v>
      </c>
      <c r="R79" s="51">
        <v>864348</v>
      </c>
      <c r="S79" s="51">
        <v>175536</v>
      </c>
      <c r="T79" s="44">
        <v>5.0599999999999996</v>
      </c>
      <c r="U79" s="51">
        <v>933803</v>
      </c>
      <c r="V79" s="51">
        <v>184725</v>
      </c>
      <c r="W79" s="44">
        <v>5.21</v>
      </c>
      <c r="X79" s="51">
        <v>968340</v>
      </c>
      <c r="Y79" s="51">
        <v>185699</v>
      </c>
      <c r="Z79" s="44">
        <v>4.25</v>
      </c>
      <c r="AA79" s="51">
        <v>825796</v>
      </c>
      <c r="AB79" s="51">
        <v>194217</v>
      </c>
      <c r="AC79" s="43">
        <v>1.43</v>
      </c>
      <c r="AD79" s="53">
        <v>1876343</v>
      </c>
      <c r="AE79" s="53">
        <v>1310925</v>
      </c>
      <c r="AF79" s="27"/>
    </row>
    <row r="80" spans="1:32" ht="10.5" customHeight="1" x14ac:dyDescent="0.15">
      <c r="A80" s="23" t="s">
        <v>123</v>
      </c>
      <c r="B80" s="54">
        <v>5</v>
      </c>
      <c r="C80" s="25">
        <v>15156</v>
      </c>
      <c r="D80" s="25">
        <v>49493</v>
      </c>
      <c r="E80" s="25">
        <v>49493</v>
      </c>
      <c r="F80" s="25">
        <v>49493</v>
      </c>
      <c r="G80" s="25">
        <v>189455</v>
      </c>
      <c r="H80" s="26">
        <v>0.26100000000000001</v>
      </c>
      <c r="I80" s="26">
        <v>0.26100000000000001</v>
      </c>
      <c r="J80" s="26">
        <v>0.26100000000000001</v>
      </c>
      <c r="K80" s="26"/>
      <c r="L80" s="26">
        <v>7.0000000000000007E-2</v>
      </c>
      <c r="M80" s="26">
        <v>8.5000000000000006E-2</v>
      </c>
      <c r="N80" s="26">
        <v>0.105</v>
      </c>
      <c r="O80" s="26">
        <v>0.247</v>
      </c>
      <c r="P80" s="25">
        <v>200765</v>
      </c>
      <c r="Q80" s="24">
        <v>10.99</v>
      </c>
      <c r="R80" s="25">
        <v>52181</v>
      </c>
      <c r="S80" s="25">
        <v>4747</v>
      </c>
      <c r="T80" s="24">
        <v>11.11</v>
      </c>
      <c r="U80" s="25">
        <v>57487</v>
      </c>
      <c r="V80" s="25">
        <v>5172</v>
      </c>
      <c r="W80" s="24">
        <v>11.46</v>
      </c>
      <c r="X80" s="25">
        <v>60270</v>
      </c>
      <c r="Y80" s="25">
        <v>5259</v>
      </c>
      <c r="Z80" s="24">
        <v>10.9</v>
      </c>
      <c r="AA80" s="25">
        <v>61342</v>
      </c>
      <c r="AB80" s="25">
        <v>5627</v>
      </c>
      <c r="AC80" s="43">
        <v>6.98</v>
      </c>
      <c r="AD80" s="41">
        <v>158500</v>
      </c>
      <c r="AE80" s="41">
        <v>22711</v>
      </c>
      <c r="AF80" s="27"/>
    </row>
    <row r="81" spans="1:32" ht="10.5" customHeight="1" x14ac:dyDescent="0.15">
      <c r="A81" s="22" t="s">
        <v>47</v>
      </c>
      <c r="B81" s="50">
        <v>5</v>
      </c>
      <c r="C81" s="51">
        <v>23112</v>
      </c>
      <c r="D81" s="51">
        <v>185166</v>
      </c>
      <c r="E81" s="51">
        <v>185166</v>
      </c>
      <c r="F81" s="51">
        <v>185166</v>
      </c>
      <c r="G81" s="51">
        <v>288894</v>
      </c>
      <c r="H81" s="52">
        <v>0.64100000000000001</v>
      </c>
      <c r="I81" s="52">
        <v>0.64100000000000001</v>
      </c>
      <c r="J81" s="52">
        <v>0.64100000000000001</v>
      </c>
      <c r="K81" s="52"/>
      <c r="L81" s="52">
        <v>7.0000000000000007E-2</v>
      </c>
      <c r="M81" s="52">
        <v>8.5000000000000006E-2</v>
      </c>
      <c r="N81" s="52">
        <v>0.105</v>
      </c>
      <c r="O81" s="52">
        <v>0.19</v>
      </c>
      <c r="P81" s="51">
        <v>975922</v>
      </c>
      <c r="Q81" s="44">
        <v>2.5099999999999998</v>
      </c>
      <c r="R81" s="51">
        <v>463826</v>
      </c>
      <c r="S81" s="51">
        <v>184552</v>
      </c>
      <c r="T81" s="44">
        <v>2.6</v>
      </c>
      <c r="U81" s="51">
        <v>533427</v>
      </c>
      <c r="V81" s="51">
        <v>204995</v>
      </c>
      <c r="W81" s="44">
        <v>2.42</v>
      </c>
      <c r="X81" s="51">
        <v>461312</v>
      </c>
      <c r="Y81" s="51">
        <v>190579</v>
      </c>
      <c r="Z81" s="44">
        <v>2.13</v>
      </c>
      <c r="AA81" s="51">
        <v>414319</v>
      </c>
      <c r="AB81" s="51">
        <v>194314</v>
      </c>
      <c r="AC81" s="43">
        <v>2.34</v>
      </c>
      <c r="AD81" s="53">
        <v>693897</v>
      </c>
      <c r="AE81" s="53">
        <v>295915</v>
      </c>
      <c r="AF81" s="27"/>
    </row>
    <row r="82" spans="1:32" ht="10.5" customHeight="1" x14ac:dyDescent="0.15">
      <c r="A82" s="23" t="s">
        <v>69</v>
      </c>
      <c r="B82" s="54">
        <v>3</v>
      </c>
      <c r="C82" s="25">
        <v>438897</v>
      </c>
      <c r="D82" s="25">
        <v>1259997</v>
      </c>
      <c r="E82" s="25">
        <v>1238302</v>
      </c>
      <c r="F82" s="25">
        <v>1240471</v>
      </c>
      <c r="G82" s="25">
        <v>5486208</v>
      </c>
      <c r="H82" s="26">
        <v>0.22600000000000001</v>
      </c>
      <c r="I82" s="26">
        <v>0.23</v>
      </c>
      <c r="J82" s="26">
        <v>0.23</v>
      </c>
      <c r="K82" s="26"/>
      <c r="L82" s="26">
        <v>7.8E-2</v>
      </c>
      <c r="M82" s="26">
        <v>9.6000000000000002E-2</v>
      </c>
      <c r="N82" s="26">
        <v>0.12</v>
      </c>
      <c r="O82" s="26">
        <v>0.06</v>
      </c>
      <c r="P82" s="25">
        <v>20683860</v>
      </c>
      <c r="Q82" s="24">
        <v>1.48</v>
      </c>
      <c r="R82" s="25">
        <v>9150674</v>
      </c>
      <c r="S82" s="25">
        <v>6180125</v>
      </c>
      <c r="T82" s="24">
        <v>1.42</v>
      </c>
      <c r="U82" s="25">
        <v>9522613</v>
      </c>
      <c r="V82" s="25">
        <v>6701776</v>
      </c>
      <c r="W82" s="24">
        <v>1.44</v>
      </c>
      <c r="X82" s="25">
        <v>9768496</v>
      </c>
      <c r="Y82" s="25">
        <v>6799325</v>
      </c>
      <c r="Z82" s="24">
        <v>1.48</v>
      </c>
      <c r="AA82" s="25">
        <v>9283304</v>
      </c>
      <c r="AB82" s="25">
        <v>6288772</v>
      </c>
      <c r="AC82" s="43">
        <v>1.89</v>
      </c>
      <c r="AD82" s="41">
        <v>11057602</v>
      </c>
      <c r="AE82" s="41">
        <v>5861021</v>
      </c>
      <c r="AF82" s="27"/>
    </row>
    <row r="83" spans="1:32" ht="10.5" customHeight="1" x14ac:dyDescent="0.15">
      <c r="A83" s="22" t="s">
        <v>104</v>
      </c>
      <c r="B83" s="50">
        <v>3</v>
      </c>
      <c r="C83" s="51">
        <v>468922</v>
      </c>
      <c r="D83" s="51">
        <v>1212943</v>
      </c>
      <c r="E83" s="51">
        <v>1141248</v>
      </c>
      <c r="F83" s="51">
        <v>1193418</v>
      </c>
      <c r="G83" s="51">
        <v>5861530</v>
      </c>
      <c r="H83" s="52">
        <v>0.19470138342719392</v>
      </c>
      <c r="I83" s="52">
        <v>0.20360178997633724</v>
      </c>
      <c r="J83" s="52">
        <v>0.20693283153033423</v>
      </c>
      <c r="K83" s="52"/>
      <c r="L83" s="52">
        <v>7.8E-2</v>
      </c>
      <c r="M83" s="52">
        <v>9.6000000000000002E-2</v>
      </c>
      <c r="N83" s="52">
        <v>0.12</v>
      </c>
      <c r="O83" s="52">
        <v>5.8000000000000003E-2</v>
      </c>
      <c r="P83" s="51">
        <v>20600856</v>
      </c>
      <c r="Q83" s="44">
        <v>1.49</v>
      </c>
      <c r="R83" s="51">
        <v>9150675</v>
      </c>
      <c r="S83" s="51">
        <v>6156050</v>
      </c>
      <c r="T83" s="44">
        <v>1.43</v>
      </c>
      <c r="U83" s="51">
        <v>9522615</v>
      </c>
      <c r="V83" s="51">
        <v>6657512</v>
      </c>
      <c r="W83" s="44">
        <v>1.44</v>
      </c>
      <c r="X83" s="51">
        <v>9768496</v>
      </c>
      <c r="Y83" s="51">
        <v>6791372</v>
      </c>
      <c r="Z83" s="44">
        <v>1.48</v>
      </c>
      <c r="AA83" s="51">
        <v>9283305</v>
      </c>
      <c r="AB83" s="51">
        <v>6279000</v>
      </c>
      <c r="AC83" s="43">
        <v>1.91</v>
      </c>
      <c r="AD83" s="53">
        <v>11040563</v>
      </c>
      <c r="AE83" s="53">
        <v>5786231</v>
      </c>
      <c r="AF83" s="27"/>
    </row>
    <row r="84" spans="1:32" ht="10.5" customHeight="1" x14ac:dyDescent="0.15">
      <c r="A84" s="23" t="s">
        <v>77</v>
      </c>
      <c r="B84" s="54">
        <v>3</v>
      </c>
      <c r="C84" s="25">
        <v>573804</v>
      </c>
      <c r="D84" s="25">
        <v>1275306</v>
      </c>
      <c r="E84" s="25">
        <v>979946</v>
      </c>
      <c r="F84" s="25">
        <v>1275306</v>
      </c>
      <c r="G84" s="25">
        <v>7172549</v>
      </c>
      <c r="H84" s="26">
        <v>0.13700000000000001</v>
      </c>
      <c r="I84" s="26">
        <v>0.17799999999999999</v>
      </c>
      <c r="J84" s="26">
        <v>0.17799999999999999</v>
      </c>
      <c r="K84" s="26"/>
      <c r="L84" s="26">
        <v>7.8E-2</v>
      </c>
      <c r="M84" s="26">
        <v>9.6000000000000002E-2</v>
      </c>
      <c r="N84" s="26">
        <v>0.12</v>
      </c>
      <c r="O84" s="26">
        <v>4.2999999999999997E-2</v>
      </c>
      <c r="P84" s="25">
        <v>29557535</v>
      </c>
      <c r="Q84" s="24">
        <v>1.61</v>
      </c>
      <c r="R84" s="25">
        <v>6608694</v>
      </c>
      <c r="S84" s="25">
        <v>4099563</v>
      </c>
      <c r="T84" s="24">
        <v>1.74</v>
      </c>
      <c r="U84" s="25">
        <v>6573708</v>
      </c>
      <c r="V84" s="25">
        <v>3783195</v>
      </c>
      <c r="W84" s="24">
        <v>1.72</v>
      </c>
      <c r="X84" s="25">
        <v>7954106</v>
      </c>
      <c r="Y84" s="25">
        <v>4627461</v>
      </c>
      <c r="Z84" s="24">
        <v>1.58</v>
      </c>
      <c r="AA84" s="25">
        <v>7595059</v>
      </c>
      <c r="AB84" s="25">
        <v>4805867</v>
      </c>
      <c r="AC84" s="43">
        <v>1.42</v>
      </c>
      <c r="AD84" s="41">
        <v>15871764</v>
      </c>
      <c r="AE84" s="41">
        <v>11175658</v>
      </c>
      <c r="AF84" s="27"/>
    </row>
    <row r="85" spans="1:32" ht="10.5" customHeight="1" x14ac:dyDescent="0.15">
      <c r="A85" s="22" t="s">
        <v>40</v>
      </c>
      <c r="B85" s="50">
        <v>3</v>
      </c>
      <c r="C85" s="51">
        <v>799300</v>
      </c>
      <c r="D85" s="51">
        <v>1878200</v>
      </c>
      <c r="E85" s="51">
        <v>1477300</v>
      </c>
      <c r="F85" s="51">
        <v>1681000</v>
      </c>
      <c r="G85" s="51">
        <v>9990800</v>
      </c>
      <c r="H85" s="52">
        <v>0.14799999999999999</v>
      </c>
      <c r="I85" s="52">
        <v>0.16800000000000001</v>
      </c>
      <c r="J85" s="52">
        <v>0.188</v>
      </c>
      <c r="K85" s="52"/>
      <c r="L85" s="52">
        <v>7.8E-2</v>
      </c>
      <c r="M85" s="52">
        <v>9.6000000000000002E-2</v>
      </c>
      <c r="N85" s="52">
        <v>0.12</v>
      </c>
      <c r="O85" s="52">
        <v>3.7999999999999999E-2</v>
      </c>
      <c r="P85" s="51">
        <v>43787000</v>
      </c>
      <c r="Q85" s="44">
        <v>1.88</v>
      </c>
      <c r="R85" s="51">
        <v>12515953</v>
      </c>
      <c r="S85" s="51">
        <v>6655241</v>
      </c>
      <c r="T85" s="44">
        <v>2.02</v>
      </c>
      <c r="U85" s="51">
        <v>13100769</v>
      </c>
      <c r="V85" s="51">
        <v>6475560</v>
      </c>
      <c r="W85" s="44">
        <v>2.0299999999999998</v>
      </c>
      <c r="X85" s="51">
        <v>14372348</v>
      </c>
      <c r="Y85" s="51">
        <v>7096101</v>
      </c>
      <c r="Z85" s="44">
        <v>1.93</v>
      </c>
      <c r="AA85" s="51">
        <v>14622011</v>
      </c>
      <c r="AB85" s="51">
        <v>7570306</v>
      </c>
      <c r="AC85" s="43">
        <v>1.56</v>
      </c>
      <c r="AD85" s="53">
        <v>24109275</v>
      </c>
      <c r="AE85" s="53">
        <v>15415764</v>
      </c>
      <c r="AF85" s="27"/>
    </row>
    <row r="86" spans="1:32" ht="10.5" customHeight="1" x14ac:dyDescent="0.15">
      <c r="A86" s="23" t="s">
        <v>122</v>
      </c>
      <c r="B86" s="54">
        <v>3</v>
      </c>
      <c r="C86" s="25">
        <v>793500</v>
      </c>
      <c r="D86" s="25">
        <v>2171200</v>
      </c>
      <c r="E86" s="25">
        <v>1615200</v>
      </c>
      <c r="F86" s="25">
        <v>1990700</v>
      </c>
      <c r="G86" s="25">
        <v>9918400</v>
      </c>
      <c r="H86" s="26">
        <v>0.16300000000000001</v>
      </c>
      <c r="I86" s="26">
        <v>0.20100000000000001</v>
      </c>
      <c r="J86" s="26">
        <v>0.219</v>
      </c>
      <c r="K86" s="26"/>
      <c r="L86" s="26">
        <v>7.8E-2</v>
      </c>
      <c r="M86" s="26">
        <v>9.6000000000000002E-2</v>
      </c>
      <c r="N86" s="26">
        <v>0.12</v>
      </c>
      <c r="O86" s="26">
        <v>4.5999999999999999E-2</v>
      </c>
      <c r="P86" s="25">
        <v>43400800</v>
      </c>
      <c r="Q86" s="24">
        <v>1.86</v>
      </c>
      <c r="R86" s="25">
        <v>12252272</v>
      </c>
      <c r="S86" s="25">
        <v>6584871</v>
      </c>
      <c r="T86" s="24">
        <v>1.99</v>
      </c>
      <c r="U86" s="25">
        <v>12834540</v>
      </c>
      <c r="V86" s="25">
        <v>6450300</v>
      </c>
      <c r="W86" s="24">
        <v>2</v>
      </c>
      <c r="X86" s="25">
        <v>14104510</v>
      </c>
      <c r="Y86" s="25">
        <v>7041228</v>
      </c>
      <c r="Z86" s="24">
        <v>1.91</v>
      </c>
      <c r="AA86" s="25">
        <v>14336065</v>
      </c>
      <c r="AB86" s="25">
        <v>7514288</v>
      </c>
      <c r="AC86" s="43">
        <v>1.56</v>
      </c>
      <c r="AD86" s="41">
        <v>23466978</v>
      </c>
      <c r="AE86" s="41">
        <v>15000928</v>
      </c>
      <c r="AF86" s="27"/>
    </row>
    <row r="87" spans="1:32" ht="10.5" customHeight="1" x14ac:dyDescent="0.15">
      <c r="A87" s="22" t="s">
        <v>1</v>
      </c>
      <c r="B87" s="50">
        <v>5</v>
      </c>
      <c r="C87" s="51">
        <v>42203</v>
      </c>
      <c r="D87" s="51">
        <v>242637</v>
      </c>
      <c r="E87" s="51">
        <v>205593</v>
      </c>
      <c r="F87" s="51">
        <v>205593</v>
      </c>
      <c r="G87" s="51">
        <v>527538</v>
      </c>
      <c r="H87" s="52">
        <v>0.39</v>
      </c>
      <c r="I87" s="52">
        <v>0.39</v>
      </c>
      <c r="J87" s="52">
        <v>0.46</v>
      </c>
      <c r="K87" s="52"/>
      <c r="L87" s="52">
        <v>7.0000000000000007E-2</v>
      </c>
      <c r="M87" s="52">
        <v>8.5000000000000006E-2</v>
      </c>
      <c r="N87" s="52">
        <v>0.105</v>
      </c>
      <c r="O87" s="52">
        <v>6.6000000000000003E-2</v>
      </c>
      <c r="P87" s="51">
        <v>3116257</v>
      </c>
      <c r="Q87" s="44">
        <v>1.04</v>
      </c>
      <c r="R87" s="51">
        <v>14221932</v>
      </c>
      <c r="S87" s="51">
        <v>13613186</v>
      </c>
      <c r="T87" s="44">
        <v>1.05</v>
      </c>
      <c r="U87" s="51">
        <v>14763015</v>
      </c>
      <c r="V87" s="51">
        <v>14075645</v>
      </c>
      <c r="W87" s="44">
        <v>1.04</v>
      </c>
      <c r="X87" s="51">
        <v>15342518</v>
      </c>
      <c r="Y87" s="51">
        <v>14713761</v>
      </c>
      <c r="Z87" s="44">
        <v>1.04</v>
      </c>
      <c r="AA87" s="51">
        <v>15134950</v>
      </c>
      <c r="AB87" s="51">
        <v>14535460</v>
      </c>
      <c r="AC87" s="43">
        <v>3.86</v>
      </c>
      <c r="AD87" s="53">
        <v>662095</v>
      </c>
      <c r="AE87" s="53">
        <v>171402</v>
      </c>
      <c r="AF87" s="27"/>
    </row>
    <row r="88" spans="1:32" ht="10.5" customHeight="1" x14ac:dyDescent="0.15">
      <c r="A88" s="23" t="s">
        <v>54</v>
      </c>
      <c r="B88" s="54">
        <v>5</v>
      </c>
      <c r="C88" s="25">
        <v>16062</v>
      </c>
      <c r="D88" s="25">
        <v>29487</v>
      </c>
      <c r="E88" s="25">
        <v>28313</v>
      </c>
      <c r="F88" s="25">
        <v>28313</v>
      </c>
      <c r="G88" s="25">
        <v>200779</v>
      </c>
      <c r="H88" s="26">
        <v>0.14099999999999999</v>
      </c>
      <c r="I88" s="26">
        <v>0.14099999999999999</v>
      </c>
      <c r="J88" s="26">
        <v>0.14699999999999999</v>
      </c>
      <c r="K88" s="26"/>
      <c r="L88" s="26">
        <v>7.0000000000000007E-2</v>
      </c>
      <c r="M88" s="26">
        <v>8.5000000000000006E-2</v>
      </c>
      <c r="N88" s="26">
        <v>0.105</v>
      </c>
      <c r="O88" s="26">
        <v>7.1999999999999995E-2</v>
      </c>
      <c r="P88" s="25">
        <v>395091</v>
      </c>
      <c r="Q88" s="24">
        <v>2.13</v>
      </c>
      <c r="R88" s="25">
        <v>28221</v>
      </c>
      <c r="S88" s="25">
        <v>13265</v>
      </c>
      <c r="T88" s="24">
        <v>2.09</v>
      </c>
      <c r="U88" s="25">
        <v>31044</v>
      </c>
      <c r="V88" s="25">
        <v>14833</v>
      </c>
      <c r="W88" s="24">
        <v>2.44</v>
      </c>
      <c r="X88" s="25">
        <v>31359</v>
      </c>
      <c r="Y88" s="25">
        <v>12872</v>
      </c>
      <c r="Z88" s="24">
        <v>2.0099999999999998</v>
      </c>
      <c r="AA88" s="25">
        <v>29806</v>
      </c>
      <c r="AB88" s="25">
        <v>14817</v>
      </c>
      <c r="AC88" s="43">
        <v>1.1200000000000001</v>
      </c>
      <c r="AD88" s="41">
        <v>303619</v>
      </c>
      <c r="AE88" s="41">
        <v>270020</v>
      </c>
      <c r="AF88" s="27"/>
    </row>
    <row r="89" spans="1:32" ht="10.5" customHeight="1" x14ac:dyDescent="0.15">
      <c r="A89" s="22" t="s">
        <v>79</v>
      </c>
      <c r="B89" s="50">
        <v>5</v>
      </c>
      <c r="C89" s="51">
        <v>8301</v>
      </c>
      <c r="D89" s="51">
        <v>25137</v>
      </c>
      <c r="E89" s="51">
        <v>25137</v>
      </c>
      <c r="F89" s="51">
        <v>25137</v>
      </c>
      <c r="G89" s="51">
        <v>103768</v>
      </c>
      <c r="H89" s="52">
        <v>0.24199999999999999</v>
      </c>
      <c r="I89" s="52">
        <v>0.24199999999999999</v>
      </c>
      <c r="J89" s="52">
        <v>0.24199999999999999</v>
      </c>
      <c r="K89" s="52"/>
      <c r="L89" s="52">
        <v>7.0000000000000007E-2</v>
      </c>
      <c r="M89" s="52">
        <v>8.5000000000000006E-2</v>
      </c>
      <c r="N89" s="52">
        <v>0.105</v>
      </c>
      <c r="O89" s="52">
        <v>3.6999999999999998E-2</v>
      </c>
      <c r="P89" s="51">
        <v>679823</v>
      </c>
      <c r="Q89" s="44">
        <v>1.33</v>
      </c>
      <c r="R89" s="51">
        <v>51857</v>
      </c>
      <c r="S89" s="51">
        <v>38854</v>
      </c>
      <c r="T89" s="44">
        <v>1.21</v>
      </c>
      <c r="U89" s="51">
        <v>51088</v>
      </c>
      <c r="V89" s="51">
        <v>42054</v>
      </c>
      <c r="W89" s="44">
        <v>1.31</v>
      </c>
      <c r="X89" s="51">
        <v>52597</v>
      </c>
      <c r="Y89" s="51">
        <v>40082</v>
      </c>
      <c r="Z89" s="44">
        <v>1.48</v>
      </c>
      <c r="AA89" s="51">
        <v>63825</v>
      </c>
      <c r="AB89" s="51">
        <v>43114</v>
      </c>
      <c r="AC89" s="43">
        <v>3.29</v>
      </c>
      <c r="AD89" s="53">
        <v>321627</v>
      </c>
      <c r="AE89" s="53">
        <v>97689</v>
      </c>
      <c r="AF89" s="27"/>
    </row>
    <row r="90" spans="1:32" ht="10.5" customHeight="1" x14ac:dyDescent="0.15">
      <c r="A90" s="23" t="s">
        <v>121</v>
      </c>
      <c r="B90" s="54">
        <v>5</v>
      </c>
      <c r="C90" s="25">
        <v>52779</v>
      </c>
      <c r="D90" s="25">
        <v>98719</v>
      </c>
      <c r="E90" s="25">
        <v>98719</v>
      </c>
      <c r="F90" s="25">
        <v>98719</v>
      </c>
      <c r="G90" s="25">
        <v>659738</v>
      </c>
      <c r="H90" s="26">
        <v>0.15</v>
      </c>
      <c r="I90" s="26">
        <v>0.15</v>
      </c>
      <c r="J90" s="26">
        <v>0.15</v>
      </c>
      <c r="K90" s="26"/>
      <c r="L90" s="26">
        <v>7.0000000000000007E-2</v>
      </c>
      <c r="M90" s="26">
        <v>8.5000000000000006E-2</v>
      </c>
      <c r="N90" s="26">
        <v>0.105</v>
      </c>
      <c r="O90" s="26">
        <v>7.9000000000000001E-2</v>
      </c>
      <c r="P90" s="25">
        <v>1245591</v>
      </c>
      <c r="Q90" s="24">
        <v>2.0499999999999998</v>
      </c>
      <c r="R90" s="25">
        <v>155986</v>
      </c>
      <c r="S90" s="25">
        <v>76048</v>
      </c>
      <c r="T90" s="24">
        <v>1.95</v>
      </c>
      <c r="U90" s="25">
        <v>144511</v>
      </c>
      <c r="V90" s="25">
        <v>74192</v>
      </c>
      <c r="W90" s="24">
        <v>1.45</v>
      </c>
      <c r="X90" s="25">
        <v>137206</v>
      </c>
      <c r="Y90" s="25">
        <v>94365</v>
      </c>
      <c r="Z90" s="24">
        <v>1.88</v>
      </c>
      <c r="AA90" s="25">
        <v>175841</v>
      </c>
      <c r="AB90" s="25">
        <v>93468</v>
      </c>
      <c r="AC90" s="43">
        <v>1.49</v>
      </c>
      <c r="AD90" s="41">
        <v>677753</v>
      </c>
      <c r="AE90" s="41">
        <v>454093</v>
      </c>
      <c r="AF90" s="27"/>
    </row>
    <row r="91" spans="1:32" ht="10.5" customHeight="1" x14ac:dyDescent="0.15">
      <c r="A91" s="22" t="s">
        <v>87</v>
      </c>
      <c r="B91" s="50">
        <v>5</v>
      </c>
      <c r="C91" s="51">
        <v>645</v>
      </c>
      <c r="D91" s="51">
        <v>1801</v>
      </c>
      <c r="E91" s="51">
        <v>1801</v>
      </c>
      <c r="F91" s="51">
        <v>1801</v>
      </c>
      <c r="G91" s="51">
        <v>8061</v>
      </c>
      <c r="H91" s="52">
        <v>0.223</v>
      </c>
      <c r="I91" s="52">
        <v>0.223</v>
      </c>
      <c r="J91" s="52">
        <v>0.223</v>
      </c>
      <c r="K91" s="52"/>
      <c r="L91" s="52">
        <v>7.0000000000000007E-2</v>
      </c>
      <c r="M91" s="52">
        <v>8.5000000000000006E-2</v>
      </c>
      <c r="N91" s="52">
        <v>0.105</v>
      </c>
      <c r="O91" s="52">
        <v>0.13100000000000001</v>
      </c>
      <c r="P91" s="51">
        <v>13786</v>
      </c>
      <c r="Q91" s="44">
        <v>6.25</v>
      </c>
      <c r="R91" s="51">
        <v>10840</v>
      </c>
      <c r="S91" s="51">
        <v>1734</v>
      </c>
      <c r="T91" s="44">
        <v>23.93</v>
      </c>
      <c r="U91" s="51">
        <v>6307</v>
      </c>
      <c r="V91" s="51">
        <v>264</v>
      </c>
      <c r="W91" s="44">
        <v>24.41</v>
      </c>
      <c r="X91" s="51">
        <v>6628</v>
      </c>
      <c r="Y91" s="51">
        <v>272</v>
      </c>
      <c r="Z91" s="44">
        <v>25.13</v>
      </c>
      <c r="AA91" s="51">
        <v>8253</v>
      </c>
      <c r="AB91" s="51">
        <v>328</v>
      </c>
      <c r="AC91" s="43">
        <v>1.99</v>
      </c>
      <c r="AD91" s="53">
        <v>12188</v>
      </c>
      <c r="AE91" s="53">
        <v>6112</v>
      </c>
      <c r="AF91" s="27"/>
    </row>
    <row r="92" spans="1:32" ht="10.5" customHeight="1" x14ac:dyDescent="0.15">
      <c r="A92" s="23" t="s">
        <v>113</v>
      </c>
      <c r="B92" s="54">
        <v>4</v>
      </c>
      <c r="C92" s="25">
        <v>78838</v>
      </c>
      <c r="D92" s="25">
        <v>233061</v>
      </c>
      <c r="E92" s="25">
        <v>233061</v>
      </c>
      <c r="F92" s="25">
        <v>233061</v>
      </c>
      <c r="G92" s="25">
        <v>985476</v>
      </c>
      <c r="H92" s="26">
        <v>0.23599999999999999</v>
      </c>
      <c r="I92" s="26">
        <v>0.23599999999999999</v>
      </c>
      <c r="J92" s="26">
        <v>0.23599999999999999</v>
      </c>
      <c r="K92" s="26"/>
      <c r="L92" s="26">
        <v>7.3999999999999996E-2</v>
      </c>
      <c r="M92" s="26">
        <v>0.09</v>
      </c>
      <c r="N92" s="26">
        <v>0.112</v>
      </c>
      <c r="O92" s="26">
        <v>0.10299999999999999</v>
      </c>
      <c r="P92" s="25">
        <v>2271503</v>
      </c>
      <c r="Q92" s="24">
        <v>2.1800000000000002</v>
      </c>
      <c r="R92" s="25">
        <v>956327</v>
      </c>
      <c r="S92" s="25">
        <v>438856</v>
      </c>
      <c r="T92" s="24">
        <v>2.1</v>
      </c>
      <c r="U92" s="25">
        <v>866972</v>
      </c>
      <c r="V92" s="25">
        <v>412100</v>
      </c>
      <c r="W92" s="24">
        <v>2</v>
      </c>
      <c r="X92" s="25">
        <v>763269</v>
      </c>
      <c r="Y92" s="25">
        <v>380738</v>
      </c>
      <c r="Z92" s="24">
        <v>1.87</v>
      </c>
      <c r="AA92" s="25">
        <v>722968</v>
      </c>
      <c r="AB92" s="25">
        <v>385667</v>
      </c>
      <c r="AC92" s="43">
        <v>1.89</v>
      </c>
      <c r="AD92" s="41">
        <v>1393700</v>
      </c>
      <c r="AE92" s="41">
        <v>738444</v>
      </c>
      <c r="AF92" s="27"/>
    </row>
    <row r="93" spans="1:32" ht="10.5" customHeight="1" x14ac:dyDescent="0.15">
      <c r="A93" s="22" t="s">
        <v>193</v>
      </c>
      <c r="B93" s="50">
        <v>5</v>
      </c>
      <c r="C93" s="51">
        <v>10000</v>
      </c>
      <c r="D93" s="51">
        <v>14564</v>
      </c>
      <c r="E93" s="51">
        <v>14564</v>
      </c>
      <c r="F93" s="51">
        <v>14564</v>
      </c>
      <c r="G93" s="51">
        <v>89306</v>
      </c>
      <c r="H93" s="52">
        <v>0.16300000000000001</v>
      </c>
      <c r="I93" s="52">
        <v>0.16300000000000001</v>
      </c>
      <c r="J93" s="52">
        <v>0.16300000000000001</v>
      </c>
      <c r="K93" s="52"/>
      <c r="L93" s="52">
        <v>7.0000000000000007E-2</v>
      </c>
      <c r="M93" s="52">
        <v>8.5000000000000006E-2</v>
      </c>
      <c r="N93" s="52">
        <v>0.105</v>
      </c>
      <c r="O93" s="52">
        <v>0.11600000000000001</v>
      </c>
      <c r="P93" s="51">
        <v>125684</v>
      </c>
      <c r="Q93" s="44" t="s">
        <v>197</v>
      </c>
      <c r="R93" s="51" t="s">
        <v>197</v>
      </c>
      <c r="S93" s="51" t="s">
        <v>197</v>
      </c>
      <c r="T93" s="44" t="s">
        <v>197</v>
      </c>
      <c r="U93" s="51" t="s">
        <v>197</v>
      </c>
      <c r="V93" s="51" t="s">
        <v>197</v>
      </c>
      <c r="W93" s="44" t="s">
        <v>197</v>
      </c>
      <c r="X93" s="51" t="s">
        <v>197</v>
      </c>
      <c r="Y93" s="51" t="s">
        <v>197</v>
      </c>
      <c r="Z93" s="44" t="s">
        <v>197</v>
      </c>
      <c r="AA93" s="51" t="s">
        <v>197</v>
      </c>
      <c r="AB93" s="51" t="s">
        <v>197</v>
      </c>
      <c r="AC93" s="43">
        <v>1.61</v>
      </c>
      <c r="AD93" s="53">
        <v>71645</v>
      </c>
      <c r="AE93" s="53">
        <v>44421</v>
      </c>
      <c r="AF93" s="27"/>
    </row>
    <row r="94" spans="1:32" ht="10.5" customHeight="1" x14ac:dyDescent="0.15">
      <c r="A94" s="23" t="s">
        <v>84</v>
      </c>
      <c r="B94" s="54">
        <v>4</v>
      </c>
      <c r="C94" s="25">
        <v>42999</v>
      </c>
      <c r="D94" s="25">
        <v>126969</v>
      </c>
      <c r="E94" s="25">
        <v>126969</v>
      </c>
      <c r="F94" s="25">
        <v>126969</v>
      </c>
      <c r="G94" s="25">
        <v>537485</v>
      </c>
      <c r="H94" s="26">
        <v>0.23599999999999999</v>
      </c>
      <c r="I94" s="26">
        <v>0.23599999999999999</v>
      </c>
      <c r="J94" s="26">
        <v>0.23599999999999999</v>
      </c>
      <c r="K94" s="26"/>
      <c r="L94" s="26">
        <v>7.3999999999999996E-2</v>
      </c>
      <c r="M94" s="26">
        <v>0.09</v>
      </c>
      <c r="N94" s="26">
        <v>0.112</v>
      </c>
      <c r="O94" s="26">
        <v>0.109</v>
      </c>
      <c r="P94" s="25">
        <v>1160924</v>
      </c>
      <c r="Q94" s="24">
        <v>1.34</v>
      </c>
      <c r="R94" s="25">
        <v>428548</v>
      </c>
      <c r="S94" s="25">
        <v>319958</v>
      </c>
      <c r="T94" s="24">
        <v>1.25</v>
      </c>
      <c r="U94" s="25">
        <v>418287</v>
      </c>
      <c r="V94" s="25">
        <v>334599</v>
      </c>
      <c r="W94" s="24">
        <v>1.4</v>
      </c>
      <c r="X94" s="25">
        <v>417777</v>
      </c>
      <c r="Y94" s="25">
        <v>298003</v>
      </c>
      <c r="Z94" s="24">
        <v>1.4</v>
      </c>
      <c r="AA94" s="25">
        <v>409476</v>
      </c>
      <c r="AB94" s="25">
        <v>292676</v>
      </c>
      <c r="AC94" s="43">
        <v>1.1599999999999999</v>
      </c>
      <c r="AD94" s="41">
        <v>593867</v>
      </c>
      <c r="AE94" s="41">
        <v>510488</v>
      </c>
      <c r="AF94" s="27"/>
    </row>
    <row r="95" spans="1:32" ht="10.5" customHeight="1" x14ac:dyDescent="0.15">
      <c r="A95" s="22" t="s">
        <v>71</v>
      </c>
      <c r="B95" s="50">
        <v>5</v>
      </c>
      <c r="C95" s="51">
        <v>15036</v>
      </c>
      <c r="D95" s="51">
        <v>24578</v>
      </c>
      <c r="E95" s="51">
        <v>21599</v>
      </c>
      <c r="F95" s="51">
        <v>22349</v>
      </c>
      <c r="G95" s="51">
        <v>187954</v>
      </c>
      <c r="H95" s="52">
        <v>0.115</v>
      </c>
      <c r="I95" s="52">
        <v>0.11899999999999999</v>
      </c>
      <c r="J95" s="52">
        <v>0.13100000000000001</v>
      </c>
      <c r="K95" s="52"/>
      <c r="L95" s="52">
        <v>7.0000000000000007E-2</v>
      </c>
      <c r="M95" s="52">
        <v>8.5000000000000006E-2</v>
      </c>
      <c r="N95" s="52">
        <v>0.105</v>
      </c>
      <c r="O95" s="52">
        <v>0.06</v>
      </c>
      <c r="P95" s="51">
        <v>373800</v>
      </c>
      <c r="Q95" s="44">
        <v>2.39</v>
      </c>
      <c r="R95" s="51">
        <v>54548</v>
      </c>
      <c r="S95" s="51">
        <v>22797</v>
      </c>
      <c r="T95" s="44">
        <v>2.76</v>
      </c>
      <c r="U95" s="51">
        <v>60348</v>
      </c>
      <c r="V95" s="51">
        <v>21899</v>
      </c>
      <c r="W95" s="44">
        <v>2.68</v>
      </c>
      <c r="X95" s="51">
        <v>61933</v>
      </c>
      <c r="Y95" s="51">
        <v>23109</v>
      </c>
      <c r="Z95" s="44">
        <v>2.5099999999999998</v>
      </c>
      <c r="AA95" s="51">
        <v>62431</v>
      </c>
      <c r="AB95" s="51">
        <v>24870</v>
      </c>
      <c r="AC95" s="43">
        <v>1.48</v>
      </c>
      <c r="AD95" s="53">
        <v>335573</v>
      </c>
      <c r="AE95" s="53">
        <v>226698</v>
      </c>
      <c r="AF95" s="27"/>
    </row>
    <row r="96" spans="1:32" ht="10.5" customHeight="1" x14ac:dyDescent="0.15">
      <c r="A96" s="23" t="s">
        <v>82</v>
      </c>
      <c r="B96" s="54">
        <v>5</v>
      </c>
      <c r="C96" s="25">
        <v>105828</v>
      </c>
      <c r="D96" s="25">
        <v>214067</v>
      </c>
      <c r="E96" s="25">
        <v>214067</v>
      </c>
      <c r="F96" s="25">
        <v>214067</v>
      </c>
      <c r="G96" s="25">
        <v>1322855</v>
      </c>
      <c r="H96" s="26">
        <v>0.16200000000000001</v>
      </c>
      <c r="I96" s="26">
        <v>0.16200000000000001</v>
      </c>
      <c r="J96" s="26">
        <v>0.16200000000000001</v>
      </c>
      <c r="K96" s="26"/>
      <c r="L96" s="26">
        <v>7.0000000000000007E-2</v>
      </c>
      <c r="M96" s="26">
        <v>8.5000000000000006E-2</v>
      </c>
      <c r="N96" s="26">
        <v>0.105</v>
      </c>
      <c r="O96" s="26">
        <v>0.115</v>
      </c>
      <c r="P96" s="25">
        <v>1866711</v>
      </c>
      <c r="Q96" s="24">
        <v>1.68</v>
      </c>
      <c r="R96" s="25">
        <v>632575</v>
      </c>
      <c r="S96" s="25">
        <v>377292</v>
      </c>
      <c r="T96" s="24">
        <v>1.52</v>
      </c>
      <c r="U96" s="25">
        <v>549250</v>
      </c>
      <c r="V96" s="25">
        <v>360810</v>
      </c>
      <c r="W96" s="24">
        <v>1.72</v>
      </c>
      <c r="X96" s="25">
        <v>653217</v>
      </c>
      <c r="Y96" s="25">
        <v>379331</v>
      </c>
      <c r="Z96" s="24">
        <v>2.04</v>
      </c>
      <c r="AA96" s="25">
        <v>502551</v>
      </c>
      <c r="AB96" s="25">
        <v>246316</v>
      </c>
      <c r="AC96" s="43">
        <v>1.32</v>
      </c>
      <c r="AD96" s="41">
        <v>1109338</v>
      </c>
      <c r="AE96" s="41">
        <v>843256</v>
      </c>
      <c r="AF96" s="27"/>
    </row>
    <row r="97" spans="1:32" ht="10.5" customHeight="1" x14ac:dyDescent="0.15">
      <c r="A97" s="22" t="s">
        <v>12</v>
      </c>
      <c r="B97" s="50">
        <v>4</v>
      </c>
      <c r="C97" s="51">
        <v>255020</v>
      </c>
      <c r="D97" s="51">
        <v>646015</v>
      </c>
      <c r="E97" s="51">
        <v>390152</v>
      </c>
      <c r="F97" s="51">
        <v>490152</v>
      </c>
      <c r="G97" s="51">
        <v>3187754</v>
      </c>
      <c r="H97" s="52">
        <v>0.122</v>
      </c>
      <c r="I97" s="52">
        <v>0.154</v>
      </c>
      <c r="J97" s="52">
        <v>0.20300000000000001</v>
      </c>
      <c r="K97" s="52"/>
      <c r="L97" s="52">
        <v>7.3999999999999996E-2</v>
      </c>
      <c r="M97" s="52">
        <v>0.09</v>
      </c>
      <c r="N97" s="52">
        <v>0.112</v>
      </c>
      <c r="O97" s="52">
        <v>6.2E-2</v>
      </c>
      <c r="P97" s="51">
        <v>7882180</v>
      </c>
      <c r="Q97" s="44">
        <v>2.48</v>
      </c>
      <c r="R97" s="51">
        <v>1320668</v>
      </c>
      <c r="S97" s="51">
        <v>532349</v>
      </c>
      <c r="T97" s="44">
        <v>2.35</v>
      </c>
      <c r="U97" s="51">
        <v>1365842</v>
      </c>
      <c r="V97" s="51">
        <v>581818</v>
      </c>
      <c r="W97" s="44">
        <v>2.27</v>
      </c>
      <c r="X97" s="51">
        <v>1398295</v>
      </c>
      <c r="Y97" s="51">
        <v>615105</v>
      </c>
      <c r="Z97" s="44">
        <v>2.23</v>
      </c>
      <c r="AA97" s="51">
        <v>1463150</v>
      </c>
      <c r="AB97" s="51">
        <v>654785</v>
      </c>
      <c r="AC97" s="43">
        <v>1.43</v>
      </c>
      <c r="AD97" s="53">
        <v>5580679</v>
      </c>
      <c r="AE97" s="53">
        <v>3893738</v>
      </c>
      <c r="AF97" s="27"/>
    </row>
    <row r="98" spans="1:32" ht="10.5" customHeight="1" x14ac:dyDescent="0.15">
      <c r="A98" s="23" t="s">
        <v>59</v>
      </c>
      <c r="B98" s="54">
        <v>5</v>
      </c>
      <c r="C98" s="25">
        <v>10409</v>
      </c>
      <c r="D98" s="25">
        <v>34274</v>
      </c>
      <c r="E98" s="25">
        <v>27145</v>
      </c>
      <c r="F98" s="25">
        <v>34145</v>
      </c>
      <c r="G98" s="25">
        <v>130106</v>
      </c>
      <c r="H98" s="26">
        <v>0.20899999999999999</v>
      </c>
      <c r="I98" s="26">
        <v>0.26200000000000001</v>
      </c>
      <c r="J98" s="26">
        <v>0.26300000000000001</v>
      </c>
      <c r="K98" s="26"/>
      <c r="L98" s="26">
        <v>7.0000000000000007E-2</v>
      </c>
      <c r="M98" s="26">
        <v>8.5000000000000006E-2</v>
      </c>
      <c r="N98" s="26">
        <v>0.105</v>
      </c>
      <c r="O98" s="26">
        <v>3.7999999999999999E-2</v>
      </c>
      <c r="P98" s="25">
        <v>892824</v>
      </c>
      <c r="Q98" s="24">
        <v>2.77</v>
      </c>
      <c r="R98" s="25">
        <v>531778</v>
      </c>
      <c r="S98" s="25">
        <v>191736</v>
      </c>
      <c r="T98" s="24">
        <v>2.91</v>
      </c>
      <c r="U98" s="25">
        <v>574331</v>
      </c>
      <c r="V98" s="25">
        <v>197121</v>
      </c>
      <c r="W98" s="24">
        <v>2.96</v>
      </c>
      <c r="X98" s="25">
        <v>601308</v>
      </c>
      <c r="Y98" s="25">
        <v>203378</v>
      </c>
      <c r="Z98" s="24">
        <v>2.87</v>
      </c>
      <c r="AA98" s="25">
        <v>653641</v>
      </c>
      <c r="AB98" s="25">
        <v>227714</v>
      </c>
      <c r="AC98" s="43">
        <v>6.56</v>
      </c>
      <c r="AD98" s="41">
        <v>555768</v>
      </c>
      <c r="AE98" s="41">
        <v>84695</v>
      </c>
      <c r="AF98" s="27"/>
    </row>
    <row r="99" spans="1:32" ht="10.5" customHeight="1" x14ac:dyDescent="0.15">
      <c r="A99" s="22" t="s">
        <v>117</v>
      </c>
      <c r="B99" s="50">
        <v>5</v>
      </c>
      <c r="C99" s="51">
        <v>12444</v>
      </c>
      <c r="D99" s="51">
        <v>45243</v>
      </c>
      <c r="E99" s="51">
        <v>41243</v>
      </c>
      <c r="F99" s="51">
        <v>45243</v>
      </c>
      <c r="G99" s="51">
        <v>155546</v>
      </c>
      <c r="H99" s="52">
        <v>0.26500000000000001</v>
      </c>
      <c r="I99" s="52">
        <v>0.29099999999999998</v>
      </c>
      <c r="J99" s="52">
        <v>0.29099999999999998</v>
      </c>
      <c r="K99" s="52"/>
      <c r="L99" s="52">
        <v>7.0000000000000007E-2</v>
      </c>
      <c r="M99" s="52">
        <v>8.5000000000000006E-2</v>
      </c>
      <c r="N99" s="52">
        <v>0.105</v>
      </c>
      <c r="O99" s="52">
        <v>4.9000000000000002E-2</v>
      </c>
      <c r="P99" s="51">
        <v>929898</v>
      </c>
      <c r="Q99" s="44">
        <v>6.41</v>
      </c>
      <c r="R99" s="51">
        <v>531976</v>
      </c>
      <c r="S99" s="51">
        <v>82944</v>
      </c>
      <c r="T99" s="44">
        <v>5.76</v>
      </c>
      <c r="U99" s="51">
        <v>574483</v>
      </c>
      <c r="V99" s="51">
        <v>99791</v>
      </c>
      <c r="W99" s="44">
        <v>5.74</v>
      </c>
      <c r="X99" s="51">
        <v>601533</v>
      </c>
      <c r="Y99" s="51">
        <v>104851</v>
      </c>
      <c r="Z99" s="44">
        <v>5.71</v>
      </c>
      <c r="AA99" s="51">
        <v>652461</v>
      </c>
      <c r="AB99" s="51">
        <v>114217</v>
      </c>
      <c r="AC99" s="43">
        <v>7.05</v>
      </c>
      <c r="AD99" s="53">
        <v>665894</v>
      </c>
      <c r="AE99" s="53">
        <v>94506</v>
      </c>
      <c r="AF99" s="27"/>
    </row>
    <row r="100" spans="1:32" ht="10.5" customHeight="1" x14ac:dyDescent="0.15">
      <c r="A100" s="23" t="s">
        <v>25</v>
      </c>
      <c r="B100" s="54">
        <v>3</v>
      </c>
      <c r="C100" s="25">
        <v>1041508</v>
      </c>
      <c r="D100" s="25">
        <v>2640857</v>
      </c>
      <c r="E100" s="25">
        <v>2640857</v>
      </c>
      <c r="F100" s="25">
        <v>2640857</v>
      </c>
      <c r="G100" s="25">
        <v>13018849</v>
      </c>
      <c r="H100" s="26">
        <v>0.20300000000000001</v>
      </c>
      <c r="I100" s="26">
        <v>0.20300000000000001</v>
      </c>
      <c r="J100" s="26">
        <v>0.20300000000000001</v>
      </c>
      <c r="K100" s="26"/>
      <c r="L100" s="26">
        <v>7.8E-2</v>
      </c>
      <c r="M100" s="26">
        <v>9.6000000000000002E-2</v>
      </c>
      <c r="N100" s="26">
        <v>0.12</v>
      </c>
      <c r="O100" s="26">
        <v>7.9000000000000001E-2</v>
      </c>
      <c r="P100" s="25">
        <v>33498181</v>
      </c>
      <c r="Q100" s="24">
        <v>2.57</v>
      </c>
      <c r="R100" s="25">
        <v>8133417</v>
      </c>
      <c r="S100" s="25">
        <v>3165650</v>
      </c>
      <c r="T100" s="24">
        <v>2.25</v>
      </c>
      <c r="U100" s="25">
        <v>8056203</v>
      </c>
      <c r="V100" s="25">
        <v>3585801</v>
      </c>
      <c r="W100" s="24">
        <v>1.96</v>
      </c>
      <c r="X100" s="25">
        <v>9076412</v>
      </c>
      <c r="Y100" s="25">
        <v>4619875</v>
      </c>
      <c r="Z100" s="24">
        <v>2.0299999999999998</v>
      </c>
      <c r="AA100" s="25">
        <v>8587715</v>
      </c>
      <c r="AB100" s="25">
        <v>4225394</v>
      </c>
      <c r="AC100" s="43">
        <v>1.4</v>
      </c>
      <c r="AD100" s="41">
        <v>22514792</v>
      </c>
      <c r="AE100" s="41">
        <v>16064407</v>
      </c>
      <c r="AF100" s="27"/>
    </row>
    <row r="101" spans="1:32" ht="10.5" customHeight="1" x14ac:dyDescent="0.15">
      <c r="A101" s="22" t="s">
        <v>6</v>
      </c>
      <c r="B101" s="50">
        <v>5</v>
      </c>
      <c r="C101" s="51">
        <v>24324</v>
      </c>
      <c r="D101" s="51">
        <v>61193</v>
      </c>
      <c r="E101" s="51">
        <v>61193</v>
      </c>
      <c r="F101" s="51">
        <v>61193</v>
      </c>
      <c r="G101" s="51">
        <v>304047</v>
      </c>
      <c r="H101" s="52">
        <v>0.20100000000000001</v>
      </c>
      <c r="I101" s="52">
        <v>0.20100000000000001</v>
      </c>
      <c r="J101" s="52">
        <v>0.20100000000000001</v>
      </c>
      <c r="K101" s="52"/>
      <c r="L101" s="52">
        <v>7.0000000000000007E-2</v>
      </c>
      <c r="M101" s="52">
        <v>8.5000000000000006E-2</v>
      </c>
      <c r="N101" s="52">
        <v>0.105</v>
      </c>
      <c r="O101" s="52">
        <v>8.2000000000000003E-2</v>
      </c>
      <c r="P101" s="51">
        <v>747567</v>
      </c>
      <c r="Q101" s="44">
        <v>2.2400000000000002</v>
      </c>
      <c r="R101" s="51">
        <v>78232</v>
      </c>
      <c r="S101" s="51">
        <v>34906</v>
      </c>
      <c r="T101" s="44">
        <v>2.44</v>
      </c>
      <c r="U101" s="51">
        <v>82167</v>
      </c>
      <c r="V101" s="51">
        <v>33726</v>
      </c>
      <c r="W101" s="44">
        <v>2.69</v>
      </c>
      <c r="X101" s="51">
        <v>91854</v>
      </c>
      <c r="Y101" s="51">
        <v>34189</v>
      </c>
      <c r="Z101" s="44">
        <v>2.65</v>
      </c>
      <c r="AA101" s="51">
        <v>93097</v>
      </c>
      <c r="AB101" s="51">
        <v>35165</v>
      </c>
      <c r="AC101" s="43">
        <v>1.43</v>
      </c>
      <c r="AD101" s="53">
        <v>668938</v>
      </c>
      <c r="AE101" s="53">
        <v>468469</v>
      </c>
      <c r="AF101" s="27"/>
    </row>
    <row r="102" spans="1:32" ht="10.5" customHeight="1" x14ac:dyDescent="0.15">
      <c r="A102" s="23" t="s">
        <v>141</v>
      </c>
      <c r="B102" s="54">
        <v>4</v>
      </c>
      <c r="C102" s="25">
        <v>77326</v>
      </c>
      <c r="D102" s="25">
        <v>205904</v>
      </c>
      <c r="E102" s="25">
        <v>205904</v>
      </c>
      <c r="F102" s="25">
        <v>205904</v>
      </c>
      <c r="G102" s="25">
        <v>966579</v>
      </c>
      <c r="H102" s="26">
        <v>0.21299999999999999</v>
      </c>
      <c r="I102" s="26">
        <v>0.21299999999999999</v>
      </c>
      <c r="J102" s="26">
        <v>0.21299999999999999</v>
      </c>
      <c r="K102" s="26"/>
      <c r="L102" s="26">
        <v>7.3999999999999996E-2</v>
      </c>
      <c r="M102" s="26">
        <v>0.09</v>
      </c>
      <c r="N102" s="26">
        <v>0.112</v>
      </c>
      <c r="O102" s="26">
        <v>4.3999999999999997E-2</v>
      </c>
      <c r="P102" s="25">
        <v>4632791</v>
      </c>
      <c r="Q102" s="24">
        <v>2.04</v>
      </c>
      <c r="R102" s="25">
        <v>2978114</v>
      </c>
      <c r="S102" s="25">
        <v>1459516</v>
      </c>
      <c r="T102" s="24">
        <v>2.0499999999999998</v>
      </c>
      <c r="U102" s="25">
        <v>3778508</v>
      </c>
      <c r="V102" s="25">
        <v>1845248</v>
      </c>
      <c r="W102" s="24">
        <v>1.94</v>
      </c>
      <c r="X102" s="25">
        <v>2963802</v>
      </c>
      <c r="Y102" s="25">
        <v>1529386</v>
      </c>
      <c r="Z102" s="24">
        <v>2</v>
      </c>
      <c r="AA102" s="25">
        <v>2997968</v>
      </c>
      <c r="AB102" s="25">
        <v>1502545</v>
      </c>
      <c r="AC102" s="43">
        <v>2.95</v>
      </c>
      <c r="AD102" s="41">
        <v>2620857</v>
      </c>
      <c r="AE102" s="41">
        <v>887919</v>
      </c>
      <c r="AF102" s="27"/>
    </row>
    <row r="103" spans="1:32" ht="10.5" customHeight="1" x14ac:dyDescent="0.15">
      <c r="A103" s="22" t="s">
        <v>230</v>
      </c>
      <c r="B103" s="50">
        <v>3</v>
      </c>
      <c r="C103" s="51">
        <v>939993</v>
      </c>
      <c r="D103" s="51">
        <v>2672062</v>
      </c>
      <c r="E103" s="51">
        <v>2642062</v>
      </c>
      <c r="F103" s="51">
        <v>2672062</v>
      </c>
      <c r="G103" s="51">
        <v>11749919</v>
      </c>
      <c r="H103" s="52">
        <v>0.22500000000000001</v>
      </c>
      <c r="I103" s="52">
        <v>0.22700000000000001</v>
      </c>
      <c r="J103" s="52">
        <v>0.22700000000000001</v>
      </c>
      <c r="K103" s="52"/>
      <c r="L103" s="52">
        <v>7.8E-2</v>
      </c>
      <c r="M103" s="52">
        <v>9.6000000000000002E-2</v>
      </c>
      <c r="N103" s="52">
        <v>0.12</v>
      </c>
      <c r="O103" s="52">
        <v>0.05</v>
      </c>
      <c r="P103" s="51">
        <v>53317291</v>
      </c>
      <c r="Q103" s="44">
        <v>1.69</v>
      </c>
      <c r="R103" s="51">
        <v>26715253</v>
      </c>
      <c r="S103" s="51">
        <v>15822125</v>
      </c>
      <c r="T103" s="44">
        <v>1.76</v>
      </c>
      <c r="U103" s="51">
        <v>27096494</v>
      </c>
      <c r="V103" s="51">
        <v>15437917</v>
      </c>
      <c r="W103" s="44">
        <v>1.66</v>
      </c>
      <c r="X103" s="51">
        <v>27623526</v>
      </c>
      <c r="Y103" s="51">
        <v>16593365</v>
      </c>
      <c r="Z103" s="44">
        <v>1.63</v>
      </c>
      <c r="AA103" s="51">
        <v>28056961</v>
      </c>
      <c r="AB103" s="51">
        <v>17168061</v>
      </c>
      <c r="AC103" s="43">
        <v>2</v>
      </c>
      <c r="AD103" s="53">
        <v>23906553</v>
      </c>
      <c r="AE103" s="53">
        <v>11974808</v>
      </c>
      <c r="AF103" s="27"/>
    </row>
    <row r="104" spans="1:32" ht="10.5" customHeight="1" x14ac:dyDescent="0.15">
      <c r="A104" s="23" t="s">
        <v>49</v>
      </c>
      <c r="B104" s="54">
        <v>4</v>
      </c>
      <c r="C104" s="25">
        <v>571312</v>
      </c>
      <c r="D104" s="25">
        <v>1224070</v>
      </c>
      <c r="E104" s="25">
        <v>1152483</v>
      </c>
      <c r="F104" s="25">
        <v>1152483</v>
      </c>
      <c r="G104" s="25">
        <v>7141401</v>
      </c>
      <c r="H104" s="26">
        <v>0.161</v>
      </c>
      <c r="I104" s="26">
        <v>0.161</v>
      </c>
      <c r="J104" s="26">
        <v>0.17100000000000001</v>
      </c>
      <c r="K104" s="26"/>
      <c r="L104" s="26">
        <v>7.3999999999999996E-2</v>
      </c>
      <c r="M104" s="26">
        <v>0.09</v>
      </c>
      <c r="N104" s="26">
        <v>0.112</v>
      </c>
      <c r="O104" s="26">
        <v>8.2000000000000003E-2</v>
      </c>
      <c r="P104" s="25">
        <v>14085253</v>
      </c>
      <c r="Q104" s="24">
        <v>1.35</v>
      </c>
      <c r="R104" s="25">
        <v>3289727</v>
      </c>
      <c r="S104" s="25">
        <v>2433156</v>
      </c>
      <c r="T104" s="24">
        <v>1.39</v>
      </c>
      <c r="U104" s="25">
        <v>3659404</v>
      </c>
      <c r="V104" s="25">
        <v>2640586</v>
      </c>
      <c r="W104" s="24">
        <v>1.52</v>
      </c>
      <c r="X104" s="25">
        <v>4093748</v>
      </c>
      <c r="Y104" s="25">
        <v>2693563</v>
      </c>
      <c r="Z104" s="24">
        <v>1.62</v>
      </c>
      <c r="AA104" s="25">
        <v>4041100</v>
      </c>
      <c r="AB104" s="25">
        <v>2491011</v>
      </c>
      <c r="AC104" s="43">
        <v>1.76</v>
      </c>
      <c r="AD104" s="41">
        <v>8485972</v>
      </c>
      <c r="AE104" s="41">
        <v>4808107</v>
      </c>
      <c r="AF104" s="27"/>
    </row>
    <row r="105" spans="1:32" ht="10.5" customHeight="1" x14ac:dyDescent="0.15">
      <c r="A105" s="22" t="s">
        <v>135</v>
      </c>
      <c r="B105" s="50">
        <v>5</v>
      </c>
      <c r="C105" s="51">
        <v>15543</v>
      </c>
      <c r="D105" s="51">
        <v>47095</v>
      </c>
      <c r="E105" s="51">
        <v>47095</v>
      </c>
      <c r="F105" s="51">
        <v>47095</v>
      </c>
      <c r="G105" s="51">
        <v>194293</v>
      </c>
      <c r="H105" s="52">
        <v>0.24199999999999999</v>
      </c>
      <c r="I105" s="52">
        <v>0.24199999999999999</v>
      </c>
      <c r="J105" s="52">
        <v>0.24199999999999999</v>
      </c>
      <c r="K105" s="52"/>
      <c r="L105" s="52">
        <v>7.0000000000000007E-2</v>
      </c>
      <c r="M105" s="52">
        <v>8.5000000000000006E-2</v>
      </c>
      <c r="N105" s="52">
        <v>0.105</v>
      </c>
      <c r="O105" s="52">
        <v>6.0999999999999999E-2</v>
      </c>
      <c r="P105" s="51">
        <v>777105</v>
      </c>
      <c r="Q105" s="44">
        <v>3.86</v>
      </c>
      <c r="R105" s="51">
        <v>69502</v>
      </c>
      <c r="S105" s="51">
        <v>18015</v>
      </c>
      <c r="T105" s="44">
        <v>8.89</v>
      </c>
      <c r="U105" s="51">
        <v>153679</v>
      </c>
      <c r="V105" s="51">
        <v>17286</v>
      </c>
      <c r="W105" s="44">
        <v>4.8099999999999996</v>
      </c>
      <c r="X105" s="51">
        <v>106514</v>
      </c>
      <c r="Y105" s="51">
        <v>22162</v>
      </c>
      <c r="Z105" s="44">
        <v>5.14</v>
      </c>
      <c r="AA105" s="51">
        <v>116567</v>
      </c>
      <c r="AB105" s="51">
        <v>22658</v>
      </c>
      <c r="AC105" s="43">
        <v>2.0299999999999998</v>
      </c>
      <c r="AD105" s="53">
        <v>358727</v>
      </c>
      <c r="AE105" s="53">
        <v>176299</v>
      </c>
      <c r="AF105" s="27"/>
    </row>
    <row r="106" spans="1:32" ht="10.5" customHeight="1" x14ac:dyDescent="0.15">
      <c r="A106" s="23" t="s">
        <v>126</v>
      </c>
      <c r="B106" s="54">
        <v>5</v>
      </c>
      <c r="C106" s="25">
        <v>12662</v>
      </c>
      <c r="D106" s="25">
        <v>53407</v>
      </c>
      <c r="E106" s="25">
        <v>29907</v>
      </c>
      <c r="F106" s="25">
        <v>53407</v>
      </c>
      <c r="G106" s="25">
        <v>158274</v>
      </c>
      <c r="H106" s="26">
        <v>0.189</v>
      </c>
      <c r="I106" s="26">
        <v>0.33700000000000002</v>
      </c>
      <c r="J106" s="26">
        <v>0.33700000000000002</v>
      </c>
      <c r="K106" s="26"/>
      <c r="L106" s="26">
        <v>7.0000000000000007E-2</v>
      </c>
      <c r="M106" s="26">
        <v>8.5000000000000006E-2</v>
      </c>
      <c r="N106" s="26">
        <v>0.105</v>
      </c>
      <c r="O106" s="26">
        <v>0.152</v>
      </c>
      <c r="P106" s="25">
        <v>352239</v>
      </c>
      <c r="Q106" s="24">
        <v>3.07</v>
      </c>
      <c r="R106" s="25">
        <v>41911</v>
      </c>
      <c r="S106" s="25">
        <v>13656</v>
      </c>
      <c r="T106" s="24">
        <v>2.91</v>
      </c>
      <c r="U106" s="25">
        <v>42961</v>
      </c>
      <c r="V106" s="25">
        <v>14754</v>
      </c>
      <c r="W106" s="24">
        <v>3.06</v>
      </c>
      <c r="X106" s="25">
        <v>38692</v>
      </c>
      <c r="Y106" s="25">
        <v>12653</v>
      </c>
      <c r="Z106" s="24">
        <v>2.33</v>
      </c>
      <c r="AA106" s="25">
        <v>31350</v>
      </c>
      <c r="AB106" s="25">
        <v>13445</v>
      </c>
      <c r="AC106" s="43">
        <v>1.37</v>
      </c>
      <c r="AD106" s="41">
        <v>190541</v>
      </c>
      <c r="AE106" s="41">
        <v>139052</v>
      </c>
      <c r="AF106" s="27"/>
    </row>
    <row r="107" spans="1:32" ht="10.5" customHeight="1" x14ac:dyDescent="0.15">
      <c r="A107" s="22" t="s">
        <v>106</v>
      </c>
      <c r="B107" s="50">
        <v>3</v>
      </c>
      <c r="C107" s="51">
        <v>377859</v>
      </c>
      <c r="D107" s="51">
        <v>1433128</v>
      </c>
      <c r="E107" s="51">
        <v>1204784</v>
      </c>
      <c r="F107" s="51">
        <v>1204784</v>
      </c>
      <c r="G107" s="51">
        <v>4723235</v>
      </c>
      <c r="H107" s="52">
        <v>0.255</v>
      </c>
      <c r="I107" s="52">
        <v>0.255</v>
      </c>
      <c r="J107" s="52">
        <v>0.30299999999999999</v>
      </c>
      <c r="K107" s="52"/>
      <c r="L107" s="52">
        <v>7.8E-2</v>
      </c>
      <c r="M107" s="52">
        <v>9.6000000000000002E-2</v>
      </c>
      <c r="N107" s="52">
        <v>0.12</v>
      </c>
      <c r="O107" s="52">
        <v>6.8000000000000005E-2</v>
      </c>
      <c r="P107" s="51">
        <v>17624100</v>
      </c>
      <c r="Q107" s="44">
        <v>2.1</v>
      </c>
      <c r="R107" s="51">
        <v>7432662</v>
      </c>
      <c r="S107" s="51">
        <v>3540030</v>
      </c>
      <c r="T107" s="44">
        <v>1.83</v>
      </c>
      <c r="U107" s="51">
        <v>8082666</v>
      </c>
      <c r="V107" s="51">
        <v>4417582</v>
      </c>
      <c r="W107" s="44">
        <v>2.09</v>
      </c>
      <c r="X107" s="51">
        <v>8133462</v>
      </c>
      <c r="Y107" s="51">
        <v>3884963</v>
      </c>
      <c r="Z107" s="44">
        <v>1.98</v>
      </c>
      <c r="AA107" s="51">
        <v>7433310</v>
      </c>
      <c r="AB107" s="51">
        <v>3755120</v>
      </c>
      <c r="AC107" s="43">
        <v>1.74</v>
      </c>
      <c r="AD107" s="53">
        <v>9410040</v>
      </c>
      <c r="AE107" s="53">
        <v>5394429</v>
      </c>
      <c r="AF107" s="27"/>
    </row>
    <row r="108" spans="1:32" ht="10.5" customHeight="1" x14ac:dyDescent="0.15">
      <c r="A108" s="23" t="s">
        <v>78</v>
      </c>
      <c r="B108" s="54">
        <v>4</v>
      </c>
      <c r="C108" s="25">
        <v>17294</v>
      </c>
      <c r="D108" s="25">
        <v>60586</v>
      </c>
      <c r="E108" s="25">
        <v>60586</v>
      </c>
      <c r="F108" s="25">
        <v>60586</v>
      </c>
      <c r="G108" s="25">
        <v>216172</v>
      </c>
      <c r="H108" s="26">
        <v>0.28000000000000003</v>
      </c>
      <c r="I108" s="26">
        <v>0.28000000000000003</v>
      </c>
      <c r="J108" s="26">
        <v>0.28000000000000003</v>
      </c>
      <c r="K108" s="26"/>
      <c r="L108" s="26">
        <v>7.3999999999999996E-2</v>
      </c>
      <c r="M108" s="26">
        <v>0.09</v>
      </c>
      <c r="N108" s="26">
        <v>0.112</v>
      </c>
      <c r="O108" s="26">
        <v>3.9E-2</v>
      </c>
      <c r="P108" s="25">
        <v>1560979</v>
      </c>
      <c r="Q108" s="24">
        <v>3.19</v>
      </c>
      <c r="R108" s="25">
        <v>587194</v>
      </c>
      <c r="S108" s="25">
        <v>184004</v>
      </c>
      <c r="T108" s="24">
        <v>3.25</v>
      </c>
      <c r="U108" s="25">
        <v>679651</v>
      </c>
      <c r="V108" s="25">
        <v>209112</v>
      </c>
      <c r="W108" s="24">
        <v>3.25</v>
      </c>
      <c r="X108" s="25">
        <v>720525</v>
      </c>
      <c r="Y108" s="25">
        <v>221696</v>
      </c>
      <c r="Z108" s="24">
        <v>3</v>
      </c>
      <c r="AA108" s="25">
        <v>708108</v>
      </c>
      <c r="AB108" s="25">
        <v>236127</v>
      </c>
      <c r="AC108" s="43">
        <v>2.57</v>
      </c>
      <c r="AD108" s="41">
        <v>1014466</v>
      </c>
      <c r="AE108" s="41">
        <v>395271</v>
      </c>
      <c r="AF108" s="27"/>
    </row>
    <row r="109" spans="1:32" ht="10.5" customHeight="1" x14ac:dyDescent="0.15">
      <c r="A109" s="22" t="s">
        <v>22</v>
      </c>
      <c r="B109" s="50">
        <v>4</v>
      </c>
      <c r="C109" s="51">
        <v>224242</v>
      </c>
      <c r="D109" s="51">
        <v>536427</v>
      </c>
      <c r="E109" s="51">
        <v>500791</v>
      </c>
      <c r="F109" s="51">
        <v>500791</v>
      </c>
      <c r="G109" s="51">
        <v>2803027</v>
      </c>
      <c r="H109" s="52">
        <v>0.17899999999999999</v>
      </c>
      <c r="I109" s="52">
        <v>0.17899999999999999</v>
      </c>
      <c r="J109" s="52">
        <v>0.191</v>
      </c>
      <c r="K109" s="52"/>
      <c r="L109" s="52">
        <v>7.3999999999999996E-2</v>
      </c>
      <c r="M109" s="52">
        <v>0.09</v>
      </c>
      <c r="N109" s="52">
        <v>0.112</v>
      </c>
      <c r="O109" s="52">
        <v>7.5999999999999998E-2</v>
      </c>
      <c r="P109" s="51">
        <v>6607421</v>
      </c>
      <c r="Q109" s="44">
        <v>1.92</v>
      </c>
      <c r="R109" s="51">
        <v>1331219</v>
      </c>
      <c r="S109" s="51">
        <v>694957</v>
      </c>
      <c r="T109" s="44">
        <v>1.99</v>
      </c>
      <c r="U109" s="51">
        <v>1471998</v>
      </c>
      <c r="V109" s="51">
        <v>741290</v>
      </c>
      <c r="W109" s="44">
        <v>2.14</v>
      </c>
      <c r="X109" s="51">
        <v>1561431</v>
      </c>
      <c r="Y109" s="51">
        <v>730298</v>
      </c>
      <c r="Z109" s="44">
        <v>1.86</v>
      </c>
      <c r="AA109" s="51">
        <v>1545872</v>
      </c>
      <c r="AB109" s="51">
        <v>830564</v>
      </c>
      <c r="AC109" s="43">
        <v>1.5</v>
      </c>
      <c r="AD109" s="53">
        <v>5242411</v>
      </c>
      <c r="AE109" s="53">
        <v>3486891</v>
      </c>
      <c r="AF109" s="27"/>
    </row>
    <row r="110" spans="1:32" ht="10.5" customHeight="1" x14ac:dyDescent="0.15">
      <c r="A110" s="23" t="s">
        <v>212</v>
      </c>
      <c r="B110" s="54">
        <v>5</v>
      </c>
      <c r="C110" s="25">
        <v>6543</v>
      </c>
      <c r="D110" s="25">
        <v>23171</v>
      </c>
      <c r="E110" s="25">
        <v>23171</v>
      </c>
      <c r="F110" s="25">
        <v>23171</v>
      </c>
      <c r="G110" s="25">
        <v>81786</v>
      </c>
      <c r="H110" s="26">
        <v>0.28299999999999997</v>
      </c>
      <c r="I110" s="26">
        <v>0.28299999999999997</v>
      </c>
      <c r="J110" s="26">
        <v>0.28299999999999997</v>
      </c>
      <c r="K110" s="26"/>
      <c r="L110" s="26">
        <v>7.0000000000000007E-2</v>
      </c>
      <c r="M110" s="26">
        <v>8.5000000000000006E-2</v>
      </c>
      <c r="N110" s="26">
        <v>0.105</v>
      </c>
      <c r="O110" s="26">
        <v>6.4000000000000001E-2</v>
      </c>
      <c r="P110" s="25">
        <v>359879</v>
      </c>
      <c r="Q110" s="24">
        <v>1.0900000000000001</v>
      </c>
      <c r="R110" s="25">
        <v>203373</v>
      </c>
      <c r="S110" s="25">
        <v>186691</v>
      </c>
      <c r="T110" s="24">
        <v>1.1200000000000001</v>
      </c>
      <c r="U110" s="25">
        <v>247663</v>
      </c>
      <c r="V110" s="25">
        <v>221550</v>
      </c>
      <c r="W110" s="24">
        <v>1.17</v>
      </c>
      <c r="X110" s="25">
        <v>220568</v>
      </c>
      <c r="Y110" s="25">
        <v>188878</v>
      </c>
      <c r="Z110" s="24">
        <v>1.29</v>
      </c>
      <c r="AA110" s="25">
        <v>251159</v>
      </c>
      <c r="AB110" s="25">
        <v>194220</v>
      </c>
      <c r="AC110" s="43">
        <v>2.64</v>
      </c>
      <c r="AD110" s="41">
        <v>68531</v>
      </c>
      <c r="AE110" s="41">
        <v>25932</v>
      </c>
      <c r="AF110" s="27"/>
    </row>
    <row r="111" spans="1:32" ht="10.5" customHeight="1" x14ac:dyDescent="0.15">
      <c r="A111" s="22" t="s">
        <v>144</v>
      </c>
      <c r="B111" s="50">
        <v>5</v>
      </c>
      <c r="C111" s="51">
        <v>13613</v>
      </c>
      <c r="D111" s="51">
        <v>120105</v>
      </c>
      <c r="E111" s="51">
        <v>120105</v>
      </c>
      <c r="F111" s="51">
        <v>120105</v>
      </c>
      <c r="G111" s="51">
        <v>170159</v>
      </c>
      <c r="H111" s="52">
        <v>0.70599999999999996</v>
      </c>
      <c r="I111" s="52">
        <v>0.70599999999999996</v>
      </c>
      <c r="J111" s="52">
        <v>0.70599999999999996</v>
      </c>
      <c r="K111" s="52"/>
      <c r="L111" s="52">
        <v>7.0000000000000007E-2</v>
      </c>
      <c r="M111" s="52">
        <v>8.5000000000000006E-2</v>
      </c>
      <c r="N111" s="52">
        <v>0.105</v>
      </c>
      <c r="O111" s="52">
        <v>0.13400000000000001</v>
      </c>
      <c r="P111" s="51">
        <v>897176</v>
      </c>
      <c r="Q111" s="44">
        <v>2.21</v>
      </c>
      <c r="R111" s="51">
        <v>170313</v>
      </c>
      <c r="S111" s="51">
        <v>76957</v>
      </c>
      <c r="T111" s="44">
        <v>2.13</v>
      </c>
      <c r="U111" s="51">
        <v>163810</v>
      </c>
      <c r="V111" s="51">
        <v>76799</v>
      </c>
      <c r="W111" s="44">
        <v>1.72</v>
      </c>
      <c r="X111" s="51">
        <v>141820</v>
      </c>
      <c r="Y111" s="51">
        <v>82522</v>
      </c>
      <c r="Z111" s="44">
        <v>1.82</v>
      </c>
      <c r="AA111" s="51">
        <v>156987</v>
      </c>
      <c r="AB111" s="51">
        <v>86321</v>
      </c>
      <c r="AC111" s="43">
        <v>2.79</v>
      </c>
      <c r="AD111" s="53">
        <v>572565</v>
      </c>
      <c r="AE111" s="53">
        <v>205140</v>
      </c>
      <c r="AF111" s="27"/>
    </row>
    <row r="112" spans="1:32" ht="10.5" customHeight="1" x14ac:dyDescent="0.15">
      <c r="A112" s="23" t="s">
        <v>140</v>
      </c>
      <c r="B112" s="54">
        <v>5</v>
      </c>
      <c r="C112" s="25">
        <v>3150</v>
      </c>
      <c r="D112" s="25">
        <v>8151</v>
      </c>
      <c r="E112" s="25">
        <v>3161</v>
      </c>
      <c r="F112" s="25">
        <v>8151</v>
      </c>
      <c r="G112" s="25">
        <v>39377</v>
      </c>
      <c r="H112" s="26">
        <v>0.08</v>
      </c>
      <c r="I112" s="26">
        <v>0.20699999999999999</v>
      </c>
      <c r="J112" s="26">
        <v>0.20699999999999999</v>
      </c>
      <c r="K112" s="26"/>
      <c r="L112" s="26">
        <v>7.0000000000000007E-2</v>
      </c>
      <c r="M112" s="26">
        <v>8.5000000000000006E-2</v>
      </c>
      <c r="N112" s="26">
        <v>0.105</v>
      </c>
      <c r="O112" s="26">
        <v>4.8000000000000001E-2</v>
      </c>
      <c r="P112" s="25">
        <v>171005</v>
      </c>
      <c r="Q112" s="24">
        <v>1.23</v>
      </c>
      <c r="R112" s="25">
        <v>66659</v>
      </c>
      <c r="S112" s="25">
        <v>54101</v>
      </c>
      <c r="T112" s="24">
        <v>1.1200000000000001</v>
      </c>
      <c r="U112" s="25">
        <v>68513</v>
      </c>
      <c r="V112" s="25">
        <v>61346</v>
      </c>
      <c r="W112" s="24">
        <v>1.19</v>
      </c>
      <c r="X112" s="25">
        <v>83380</v>
      </c>
      <c r="Y112" s="25">
        <v>70338</v>
      </c>
      <c r="Z112" s="24">
        <v>1.1299999999999999</v>
      </c>
      <c r="AA112" s="25">
        <v>129620</v>
      </c>
      <c r="AB112" s="25">
        <v>114915</v>
      </c>
      <c r="AC112" s="43">
        <v>1.75</v>
      </c>
      <c r="AD112" s="41">
        <v>19574</v>
      </c>
      <c r="AE112" s="41">
        <v>11183</v>
      </c>
      <c r="AF112" s="27"/>
    </row>
    <row r="113" spans="1:32" ht="10.5" customHeight="1" x14ac:dyDescent="0.15">
      <c r="A113" s="22" t="s">
        <v>105</v>
      </c>
      <c r="B113" s="50">
        <v>5</v>
      </c>
      <c r="C113" s="51">
        <v>3265</v>
      </c>
      <c r="D113" s="51">
        <v>6452</v>
      </c>
      <c r="E113" s="51">
        <v>6452</v>
      </c>
      <c r="F113" s="51">
        <v>6452</v>
      </c>
      <c r="G113" s="51">
        <v>40807</v>
      </c>
      <c r="H113" s="52">
        <v>0.158</v>
      </c>
      <c r="I113" s="52">
        <v>0.158</v>
      </c>
      <c r="J113" s="52">
        <v>0.158</v>
      </c>
      <c r="K113" s="52"/>
      <c r="L113" s="52">
        <v>7.0000000000000007E-2</v>
      </c>
      <c r="M113" s="52">
        <v>8.5000000000000006E-2</v>
      </c>
      <c r="N113" s="52">
        <v>0.105</v>
      </c>
      <c r="O113" s="52">
        <v>3.7999999999999999E-2</v>
      </c>
      <c r="P113" s="51">
        <v>168248</v>
      </c>
      <c r="Q113" s="30" t="s">
        <v>204</v>
      </c>
      <c r="R113" s="55" t="s">
        <v>204</v>
      </c>
      <c r="S113" s="55" t="s">
        <v>204</v>
      </c>
      <c r="T113" s="30" t="s">
        <v>204</v>
      </c>
      <c r="U113" s="55" t="s">
        <v>204</v>
      </c>
      <c r="V113" s="55" t="s">
        <v>204</v>
      </c>
      <c r="W113" s="30" t="s">
        <v>204</v>
      </c>
      <c r="X113" s="55" t="s">
        <v>204</v>
      </c>
      <c r="Y113" s="55" t="s">
        <v>204</v>
      </c>
      <c r="Z113" s="30" t="s">
        <v>204</v>
      </c>
      <c r="AA113" s="55" t="s">
        <v>204</v>
      </c>
      <c r="AB113" s="55" t="s">
        <v>204</v>
      </c>
      <c r="AC113" s="45" t="s">
        <v>204</v>
      </c>
      <c r="AD113" s="56" t="s">
        <v>204</v>
      </c>
      <c r="AE113" s="56" t="s">
        <v>204</v>
      </c>
      <c r="AF113" s="27"/>
    </row>
    <row r="114" spans="1:32" ht="10.5" customHeight="1" x14ac:dyDescent="0.15">
      <c r="A114" s="23" t="s">
        <v>110</v>
      </c>
      <c r="B114" s="54">
        <v>3</v>
      </c>
      <c r="C114" s="25">
        <v>1180113</v>
      </c>
      <c r="D114" s="25">
        <v>5814809</v>
      </c>
      <c r="E114" s="25">
        <v>5707838</v>
      </c>
      <c r="F114" s="25">
        <v>5707838</v>
      </c>
      <c r="G114" s="25">
        <v>14751415</v>
      </c>
      <c r="H114" s="26">
        <v>0.38700000000000001</v>
      </c>
      <c r="I114" s="26">
        <v>0.38700000000000001</v>
      </c>
      <c r="J114" s="26">
        <v>0.39400000000000002</v>
      </c>
      <c r="K114" s="26"/>
      <c r="L114" s="26">
        <v>7.8E-2</v>
      </c>
      <c r="M114" s="26">
        <v>9.6000000000000002E-2</v>
      </c>
      <c r="N114" s="26">
        <v>0.12</v>
      </c>
      <c r="O114" s="26">
        <v>0.121</v>
      </c>
      <c r="P114" s="25">
        <v>47238247</v>
      </c>
      <c r="Q114" s="24">
        <v>1.2</v>
      </c>
      <c r="R114" s="25">
        <v>12128782</v>
      </c>
      <c r="S114" s="25">
        <v>10091261</v>
      </c>
      <c r="T114" s="24">
        <v>1.22</v>
      </c>
      <c r="U114" s="25">
        <v>13109358</v>
      </c>
      <c r="V114" s="25">
        <v>10736014</v>
      </c>
      <c r="W114" s="24">
        <v>1.26</v>
      </c>
      <c r="X114" s="25">
        <v>13512701</v>
      </c>
      <c r="Y114" s="25">
        <v>10758459</v>
      </c>
      <c r="Z114" s="24">
        <v>1.3</v>
      </c>
      <c r="AA114" s="25">
        <v>13653015</v>
      </c>
      <c r="AB114" s="25">
        <v>10520922</v>
      </c>
      <c r="AC114" s="43">
        <v>1.35</v>
      </c>
      <c r="AD114" s="41">
        <v>26275009</v>
      </c>
      <c r="AE114" s="41">
        <v>19418222</v>
      </c>
      <c r="AF114" s="27"/>
    </row>
    <row r="115" spans="1:32" ht="10.5" customHeight="1" x14ac:dyDescent="0.15">
      <c r="A115" s="22" t="s">
        <v>45</v>
      </c>
      <c r="B115" s="50">
        <v>4</v>
      </c>
      <c r="C115" s="51">
        <v>379027</v>
      </c>
      <c r="D115" s="51">
        <v>1037987</v>
      </c>
      <c r="E115" s="51">
        <v>1037987</v>
      </c>
      <c r="F115" s="51">
        <v>1037987</v>
      </c>
      <c r="G115" s="51">
        <v>4737837</v>
      </c>
      <c r="H115" s="52">
        <v>0.219</v>
      </c>
      <c r="I115" s="52">
        <v>0.219</v>
      </c>
      <c r="J115" s="52">
        <v>0.219</v>
      </c>
      <c r="K115" s="52"/>
      <c r="L115" s="52">
        <v>7.3999999999999996E-2</v>
      </c>
      <c r="M115" s="52">
        <v>0.09</v>
      </c>
      <c r="N115" s="52">
        <v>0.112</v>
      </c>
      <c r="O115" s="52">
        <v>8.6999999999999994E-2</v>
      </c>
      <c r="P115" s="51">
        <v>11981553</v>
      </c>
      <c r="Q115" s="44">
        <v>2.25</v>
      </c>
      <c r="R115" s="51">
        <v>1535098</v>
      </c>
      <c r="S115" s="51">
        <v>681084</v>
      </c>
      <c r="T115" s="44">
        <v>2.69</v>
      </c>
      <c r="U115" s="51">
        <v>1596609</v>
      </c>
      <c r="V115" s="51">
        <v>594564</v>
      </c>
      <c r="W115" s="44">
        <v>2.62</v>
      </c>
      <c r="X115" s="51">
        <v>1606206</v>
      </c>
      <c r="Y115" s="51">
        <v>613473</v>
      </c>
      <c r="Z115" s="44">
        <v>2.5</v>
      </c>
      <c r="AA115" s="51">
        <v>1519669</v>
      </c>
      <c r="AB115" s="51">
        <v>607416</v>
      </c>
      <c r="AC115" s="43">
        <v>1.36</v>
      </c>
      <c r="AD115" s="53">
        <v>5669020</v>
      </c>
      <c r="AE115" s="53">
        <v>4161892</v>
      </c>
      <c r="AF115" s="27"/>
    </row>
    <row r="116" spans="1:32" ht="10.5" customHeight="1" x14ac:dyDescent="0.15">
      <c r="A116" s="23" t="s">
        <v>133</v>
      </c>
      <c r="B116" s="54">
        <v>3</v>
      </c>
      <c r="C116" s="25">
        <v>1621934</v>
      </c>
      <c r="D116" s="25">
        <v>4859188</v>
      </c>
      <c r="E116" s="25">
        <v>3315703</v>
      </c>
      <c r="F116" s="25">
        <v>4747740</v>
      </c>
      <c r="G116" s="25">
        <v>20274181</v>
      </c>
      <c r="H116" s="26">
        <v>0.16400000000000001</v>
      </c>
      <c r="I116" s="26">
        <v>0.23400000000000001</v>
      </c>
      <c r="J116" s="26">
        <v>0.24</v>
      </c>
      <c r="K116" s="26"/>
      <c r="L116" s="26">
        <v>7.8E-2</v>
      </c>
      <c r="M116" s="26">
        <v>9.6000000000000002E-2</v>
      </c>
      <c r="N116" s="26">
        <v>0.12</v>
      </c>
      <c r="O116" s="26">
        <v>0.04</v>
      </c>
      <c r="P116" s="25">
        <v>118273934</v>
      </c>
      <c r="Q116" s="24">
        <v>1.62</v>
      </c>
      <c r="R116" s="25">
        <v>22352484</v>
      </c>
      <c r="S116" s="25">
        <v>13822341</v>
      </c>
      <c r="T116" s="24">
        <v>1.89</v>
      </c>
      <c r="U116" s="25">
        <v>23536644</v>
      </c>
      <c r="V116" s="25">
        <v>12459740</v>
      </c>
      <c r="W116" s="24">
        <v>1.77</v>
      </c>
      <c r="X116" s="25">
        <v>23939819</v>
      </c>
      <c r="Y116" s="25">
        <v>13557482</v>
      </c>
      <c r="Z116" s="24">
        <v>1.85</v>
      </c>
      <c r="AA116" s="25">
        <v>25597847</v>
      </c>
      <c r="AB116" s="25">
        <v>13842908</v>
      </c>
      <c r="AC116" s="43">
        <v>1.34</v>
      </c>
      <c r="AD116" s="41">
        <v>70377081</v>
      </c>
      <c r="AE116" s="41">
        <v>52482549</v>
      </c>
      <c r="AF116" s="27"/>
    </row>
    <row r="117" spans="1:32" ht="10.5" customHeight="1" x14ac:dyDescent="0.15">
      <c r="A117" s="22" t="s">
        <v>213</v>
      </c>
      <c r="B117" s="50">
        <v>5</v>
      </c>
      <c r="C117" s="51">
        <v>6126</v>
      </c>
      <c r="D117" s="51">
        <v>16171</v>
      </c>
      <c r="E117" s="51">
        <v>16171</v>
      </c>
      <c r="F117" s="51">
        <v>16171</v>
      </c>
      <c r="G117" s="51">
        <v>76571</v>
      </c>
      <c r="H117" s="52">
        <v>0.21099999999999999</v>
      </c>
      <c r="I117" s="52">
        <v>0.21099999999999999</v>
      </c>
      <c r="J117" s="52">
        <v>0.21099999999999999</v>
      </c>
      <c r="K117" s="52"/>
      <c r="L117" s="52">
        <v>7.0000000000000007E-2</v>
      </c>
      <c r="M117" s="52">
        <v>8.5000000000000006E-2</v>
      </c>
      <c r="N117" s="52">
        <v>0.105</v>
      </c>
      <c r="O117" s="52">
        <v>0.106</v>
      </c>
      <c r="P117" s="51">
        <v>152781</v>
      </c>
      <c r="Q117" s="44">
        <v>2.06</v>
      </c>
      <c r="R117" s="51">
        <v>90845</v>
      </c>
      <c r="S117" s="51">
        <v>44089</v>
      </c>
      <c r="T117" s="44">
        <v>2.15</v>
      </c>
      <c r="U117" s="51">
        <v>79372</v>
      </c>
      <c r="V117" s="51">
        <v>36891</v>
      </c>
      <c r="W117" s="44">
        <v>1.92</v>
      </c>
      <c r="X117" s="51">
        <v>63948</v>
      </c>
      <c r="Y117" s="51">
        <v>33228</v>
      </c>
      <c r="Z117" s="44">
        <v>1.81</v>
      </c>
      <c r="AA117" s="51">
        <v>59506</v>
      </c>
      <c r="AB117" s="51">
        <v>32805</v>
      </c>
      <c r="AC117" s="43">
        <v>1.64</v>
      </c>
      <c r="AD117" s="53">
        <v>101881</v>
      </c>
      <c r="AE117" s="53">
        <v>61987</v>
      </c>
      <c r="AF117" s="27"/>
    </row>
    <row r="118" spans="1:32" ht="10.5" customHeight="1" x14ac:dyDescent="0.15">
      <c r="A118" s="23" t="s">
        <v>115</v>
      </c>
      <c r="B118" s="54">
        <v>4</v>
      </c>
      <c r="C118" s="25">
        <v>266787</v>
      </c>
      <c r="D118" s="25">
        <v>652389</v>
      </c>
      <c r="E118" s="25">
        <v>652389</v>
      </c>
      <c r="F118" s="25">
        <v>652389</v>
      </c>
      <c r="G118" s="25">
        <v>3334842</v>
      </c>
      <c r="H118" s="26">
        <v>0.19600000000000001</v>
      </c>
      <c r="I118" s="26">
        <v>0.19600000000000001</v>
      </c>
      <c r="J118" s="26">
        <v>0.19600000000000001</v>
      </c>
      <c r="K118" s="26"/>
      <c r="L118" s="26">
        <v>7.3999999999999996E-2</v>
      </c>
      <c r="M118" s="26">
        <v>0.09</v>
      </c>
      <c r="N118" s="26">
        <v>0.112</v>
      </c>
      <c r="O118" s="26">
        <v>5.2999999999999999E-2</v>
      </c>
      <c r="P118" s="25">
        <v>12395468</v>
      </c>
      <c r="Q118" s="24">
        <v>2.13</v>
      </c>
      <c r="R118" s="25">
        <v>1240302</v>
      </c>
      <c r="S118" s="25">
        <v>582016</v>
      </c>
      <c r="T118" s="24">
        <v>2.23</v>
      </c>
      <c r="U118" s="25">
        <v>1331766</v>
      </c>
      <c r="V118" s="25">
        <v>596161</v>
      </c>
      <c r="W118" s="24">
        <v>1.99</v>
      </c>
      <c r="X118" s="25">
        <v>1343754</v>
      </c>
      <c r="Y118" s="25">
        <v>673618</v>
      </c>
      <c r="Z118" s="24">
        <v>1.96</v>
      </c>
      <c r="AA118" s="25">
        <v>1327625</v>
      </c>
      <c r="AB118" s="25">
        <v>677552</v>
      </c>
      <c r="AC118" s="43">
        <v>3.12</v>
      </c>
      <c r="AD118" s="41">
        <v>7819801</v>
      </c>
      <c r="AE118" s="41">
        <v>2509849</v>
      </c>
      <c r="AF118" s="27"/>
    </row>
    <row r="119" spans="1:32" ht="10.5" customHeight="1" x14ac:dyDescent="0.15">
      <c r="A119" s="22" t="s">
        <v>38</v>
      </c>
      <c r="B119" s="50">
        <v>4</v>
      </c>
      <c r="C119" s="51">
        <v>48682</v>
      </c>
      <c r="D119" s="51">
        <v>140708</v>
      </c>
      <c r="E119" s="51">
        <v>135748</v>
      </c>
      <c r="F119" s="51">
        <v>135748</v>
      </c>
      <c r="G119" s="51">
        <v>608519</v>
      </c>
      <c r="H119" s="52">
        <v>0.223</v>
      </c>
      <c r="I119" s="52">
        <v>0.223</v>
      </c>
      <c r="J119" s="52">
        <v>0.23100000000000001</v>
      </c>
      <c r="K119" s="52"/>
      <c r="L119" s="52">
        <v>7.3999999999999996E-2</v>
      </c>
      <c r="M119" s="52">
        <v>0.09</v>
      </c>
      <c r="N119" s="52">
        <v>0.112</v>
      </c>
      <c r="O119" s="52">
        <v>0.109</v>
      </c>
      <c r="P119" s="51">
        <v>1249225</v>
      </c>
      <c r="Q119" s="44">
        <v>1.75</v>
      </c>
      <c r="R119" s="51">
        <v>173195</v>
      </c>
      <c r="S119" s="51">
        <v>98848</v>
      </c>
      <c r="T119" s="44">
        <v>1.9</v>
      </c>
      <c r="U119" s="51">
        <v>168883</v>
      </c>
      <c r="V119" s="51">
        <v>88939</v>
      </c>
      <c r="W119" s="44">
        <v>2.02</v>
      </c>
      <c r="X119" s="51">
        <v>209782</v>
      </c>
      <c r="Y119" s="51">
        <v>103986</v>
      </c>
      <c r="Z119" s="44">
        <v>1.84</v>
      </c>
      <c r="AA119" s="51">
        <v>232592</v>
      </c>
      <c r="AB119" s="51">
        <v>126537</v>
      </c>
      <c r="AC119" s="43">
        <v>1.39</v>
      </c>
      <c r="AD119" s="53">
        <v>1010119</v>
      </c>
      <c r="AE119" s="53">
        <v>724469</v>
      </c>
      <c r="AF119" s="27"/>
    </row>
    <row r="120" spans="1:32" ht="10.5" customHeight="1" x14ac:dyDescent="0.15">
      <c r="A120" s="23" t="s">
        <v>14</v>
      </c>
      <c r="B120" s="54">
        <v>3</v>
      </c>
      <c r="C120" s="25">
        <v>1915760</v>
      </c>
      <c r="D120" s="25">
        <v>4212797</v>
      </c>
      <c r="E120" s="25">
        <v>2941140</v>
      </c>
      <c r="F120" s="25">
        <v>3751140</v>
      </c>
      <c r="G120" s="25">
        <v>23947001</v>
      </c>
      <c r="H120" s="26">
        <v>0.123</v>
      </c>
      <c r="I120" s="26">
        <v>0.157</v>
      </c>
      <c r="J120" s="26">
        <v>0.17599999999999999</v>
      </c>
      <c r="K120" s="26"/>
      <c r="L120" s="26">
        <v>7.8E-2</v>
      </c>
      <c r="M120" s="26">
        <v>9.6000000000000002E-2</v>
      </c>
      <c r="N120" s="26">
        <v>0.12</v>
      </c>
      <c r="O120" s="26">
        <v>6.8000000000000005E-2</v>
      </c>
      <c r="P120" s="25">
        <v>54770749</v>
      </c>
      <c r="Q120" s="24">
        <v>1.66</v>
      </c>
      <c r="R120" s="25">
        <v>8395642</v>
      </c>
      <c r="S120" s="25">
        <v>5060811</v>
      </c>
      <c r="T120" s="24">
        <v>1.93</v>
      </c>
      <c r="U120" s="25">
        <v>9114570</v>
      </c>
      <c r="V120" s="25">
        <v>4726281</v>
      </c>
      <c r="W120" s="24">
        <v>2.06</v>
      </c>
      <c r="X120" s="25">
        <v>9877817</v>
      </c>
      <c r="Y120" s="25">
        <v>4787837</v>
      </c>
      <c r="Z120" s="24">
        <v>1.98</v>
      </c>
      <c r="AA120" s="25">
        <v>10437600</v>
      </c>
      <c r="AB120" s="25">
        <v>5260176</v>
      </c>
      <c r="AC120" s="43">
        <v>1.33</v>
      </c>
      <c r="AD120" s="41">
        <v>36709131</v>
      </c>
      <c r="AE120" s="41">
        <v>27619241</v>
      </c>
      <c r="AF120" s="27"/>
    </row>
    <row r="121" spans="1:32" ht="10.5" customHeight="1" x14ac:dyDescent="0.15">
      <c r="A121" s="22" t="s">
        <v>64</v>
      </c>
      <c r="B121" s="50">
        <v>5</v>
      </c>
      <c r="C121" s="51">
        <v>7158</v>
      </c>
      <c r="D121" s="51">
        <v>33182</v>
      </c>
      <c r="E121" s="51">
        <v>33182</v>
      </c>
      <c r="F121" s="51">
        <v>33182</v>
      </c>
      <c r="G121" s="51">
        <v>89475</v>
      </c>
      <c r="H121" s="52">
        <v>0.371</v>
      </c>
      <c r="I121" s="52">
        <v>0.371</v>
      </c>
      <c r="J121" s="52">
        <v>0.371</v>
      </c>
      <c r="K121" s="52"/>
      <c r="L121" s="52">
        <v>7.0000000000000007E-2</v>
      </c>
      <c r="M121" s="52">
        <v>8.5000000000000006E-2</v>
      </c>
      <c r="N121" s="52">
        <v>0.105</v>
      </c>
      <c r="O121" s="52">
        <v>0.17899999999999999</v>
      </c>
      <c r="P121" s="51">
        <v>185339</v>
      </c>
      <c r="Q121" s="44">
        <v>1.08</v>
      </c>
      <c r="R121" s="51">
        <v>21469</v>
      </c>
      <c r="S121" s="51">
        <v>19917</v>
      </c>
      <c r="T121" s="44">
        <v>1.0900000000000001</v>
      </c>
      <c r="U121" s="51">
        <v>20310</v>
      </c>
      <c r="V121" s="51">
        <v>18584</v>
      </c>
      <c r="W121" s="44">
        <v>1.05</v>
      </c>
      <c r="X121" s="51">
        <v>16427</v>
      </c>
      <c r="Y121" s="51">
        <v>15626</v>
      </c>
      <c r="Z121" s="44">
        <v>1.42</v>
      </c>
      <c r="AA121" s="51">
        <v>19880</v>
      </c>
      <c r="AB121" s="51">
        <v>13996</v>
      </c>
      <c r="AC121" s="43">
        <v>1.47</v>
      </c>
      <c r="AD121" s="53">
        <v>146612</v>
      </c>
      <c r="AE121" s="53">
        <v>99566</v>
      </c>
      <c r="AF121" s="27"/>
    </row>
    <row r="122" spans="1:32" ht="10.5" customHeight="1" x14ac:dyDescent="0.15">
      <c r="A122" s="23" t="s">
        <v>67</v>
      </c>
      <c r="B122" s="54">
        <v>3</v>
      </c>
      <c r="C122" s="25">
        <v>1658522</v>
      </c>
      <c r="D122" s="25">
        <v>4258826</v>
      </c>
      <c r="E122" s="25">
        <v>2981127</v>
      </c>
      <c r="F122" s="25">
        <v>2981127</v>
      </c>
      <c r="G122" s="25">
        <v>20731524</v>
      </c>
      <c r="H122" s="26">
        <v>0.14399999999999999</v>
      </c>
      <c r="I122" s="26">
        <v>0.14399999999999999</v>
      </c>
      <c r="J122" s="26">
        <v>0.20499999999999999</v>
      </c>
      <c r="K122" s="26"/>
      <c r="L122" s="26">
        <v>7.8E-2</v>
      </c>
      <c r="M122" s="26">
        <v>9.6000000000000002E-2</v>
      </c>
      <c r="N122" s="26">
        <v>0.12</v>
      </c>
      <c r="O122" s="26">
        <v>5.2999999999999999E-2</v>
      </c>
      <c r="P122" s="25">
        <v>55779724</v>
      </c>
      <c r="Q122" s="24">
        <v>1.45</v>
      </c>
      <c r="R122" s="25">
        <v>7209632</v>
      </c>
      <c r="S122" s="25">
        <v>4958930</v>
      </c>
      <c r="T122" s="24">
        <v>1.45</v>
      </c>
      <c r="U122" s="25">
        <v>7195211</v>
      </c>
      <c r="V122" s="25">
        <v>4973954</v>
      </c>
      <c r="W122" s="24">
        <v>1.77</v>
      </c>
      <c r="X122" s="25">
        <v>7524873</v>
      </c>
      <c r="Y122" s="25">
        <v>4249164</v>
      </c>
      <c r="Z122" s="24">
        <v>1.66</v>
      </c>
      <c r="AA122" s="25">
        <v>7846403</v>
      </c>
      <c r="AB122" s="25">
        <v>4733017</v>
      </c>
      <c r="AC122" s="43">
        <v>1.39</v>
      </c>
      <c r="AD122" s="41">
        <v>40584539</v>
      </c>
      <c r="AE122" s="41">
        <v>29280579</v>
      </c>
      <c r="AF122" s="27"/>
    </row>
    <row r="123" spans="1:32" ht="10.5" customHeight="1" x14ac:dyDescent="0.15">
      <c r="A123" s="22" t="s">
        <v>194</v>
      </c>
      <c r="B123" s="50">
        <v>5</v>
      </c>
      <c r="C123" s="51">
        <v>23467</v>
      </c>
      <c r="D123" s="51">
        <v>130214</v>
      </c>
      <c r="E123" s="51">
        <v>85214</v>
      </c>
      <c r="F123" s="51">
        <v>130214</v>
      </c>
      <c r="G123" s="51">
        <v>293340</v>
      </c>
      <c r="H123" s="52">
        <v>0.28999999999999998</v>
      </c>
      <c r="I123" s="52">
        <v>0.44400000000000001</v>
      </c>
      <c r="J123" s="52">
        <v>0.44400000000000001</v>
      </c>
      <c r="K123" s="52"/>
      <c r="L123" s="52">
        <v>7.0000000000000007E-2</v>
      </c>
      <c r="M123" s="52">
        <v>8.5000000000000006E-2</v>
      </c>
      <c r="N123" s="52">
        <v>0.105</v>
      </c>
      <c r="O123" s="52">
        <v>0.108</v>
      </c>
      <c r="P123" s="51">
        <v>1207889</v>
      </c>
      <c r="Q123" s="44">
        <v>3.9</v>
      </c>
      <c r="R123" s="51">
        <v>183209</v>
      </c>
      <c r="S123" s="51">
        <v>46983</v>
      </c>
      <c r="T123" s="44">
        <v>3.93</v>
      </c>
      <c r="U123" s="51">
        <v>189300</v>
      </c>
      <c r="V123" s="51">
        <v>48226</v>
      </c>
      <c r="W123" s="44">
        <v>4.07</v>
      </c>
      <c r="X123" s="51">
        <v>198043</v>
      </c>
      <c r="Y123" s="51">
        <v>48658</v>
      </c>
      <c r="Z123" s="44">
        <v>4.38</v>
      </c>
      <c r="AA123" s="51">
        <v>227650</v>
      </c>
      <c r="AB123" s="51">
        <v>51931</v>
      </c>
      <c r="AC123" s="43">
        <v>2.12</v>
      </c>
      <c r="AD123" s="53">
        <v>682834</v>
      </c>
      <c r="AE123" s="53">
        <v>322817</v>
      </c>
      <c r="AF123" s="27"/>
    </row>
    <row r="124" spans="1:32" ht="10.5" customHeight="1" x14ac:dyDescent="0.15">
      <c r="A124" s="23" t="s">
        <v>214</v>
      </c>
      <c r="B124" s="54">
        <v>5</v>
      </c>
      <c r="C124" s="25">
        <v>24135</v>
      </c>
      <c r="D124" s="25">
        <v>71973</v>
      </c>
      <c r="E124" s="25">
        <v>71973</v>
      </c>
      <c r="F124" s="25">
        <v>71973</v>
      </c>
      <c r="G124" s="25">
        <v>301682</v>
      </c>
      <c r="H124" s="26">
        <v>0.23899999999999999</v>
      </c>
      <c r="I124" s="26">
        <v>0.23899999999999999</v>
      </c>
      <c r="J124" s="26">
        <v>0.23899999999999999</v>
      </c>
      <c r="K124" s="26"/>
      <c r="L124" s="26">
        <v>7.0000000000000007E-2</v>
      </c>
      <c r="M124" s="26">
        <v>8.5000000000000006E-2</v>
      </c>
      <c r="N124" s="26">
        <v>0.105</v>
      </c>
      <c r="O124" s="26">
        <v>0.12</v>
      </c>
      <c r="P124" s="25">
        <v>600756</v>
      </c>
      <c r="Q124" s="24">
        <v>1.5</v>
      </c>
      <c r="R124" s="25">
        <v>68046</v>
      </c>
      <c r="S124" s="25">
        <v>45467</v>
      </c>
      <c r="T124" s="24">
        <v>1.41</v>
      </c>
      <c r="U124" s="25">
        <v>67889</v>
      </c>
      <c r="V124" s="25">
        <v>48222</v>
      </c>
      <c r="W124" s="24">
        <v>1.46</v>
      </c>
      <c r="X124" s="25">
        <v>74530</v>
      </c>
      <c r="Y124" s="25">
        <v>51133</v>
      </c>
      <c r="Z124" s="24">
        <v>1.4</v>
      </c>
      <c r="AA124" s="25">
        <v>69299</v>
      </c>
      <c r="AB124" s="25">
        <v>49425</v>
      </c>
      <c r="AC124" s="43">
        <v>1.9</v>
      </c>
      <c r="AD124" s="41">
        <v>373903</v>
      </c>
      <c r="AE124" s="41">
        <v>197023</v>
      </c>
      <c r="AF124" s="27"/>
    </row>
    <row r="125" spans="1:32" ht="10.5" customHeight="1" x14ac:dyDescent="0.15">
      <c r="A125" s="22" t="s">
        <v>114</v>
      </c>
      <c r="B125" s="50">
        <v>5</v>
      </c>
      <c r="C125" s="51">
        <v>6198</v>
      </c>
      <c r="D125" s="51">
        <v>27418</v>
      </c>
      <c r="E125" s="51">
        <v>27418</v>
      </c>
      <c r="F125" s="51">
        <v>27418</v>
      </c>
      <c r="G125" s="51">
        <v>77476</v>
      </c>
      <c r="H125" s="52">
        <v>0.35399999999999998</v>
      </c>
      <c r="I125" s="52">
        <v>0.35399999999999998</v>
      </c>
      <c r="J125" s="52">
        <v>0.35399999999999998</v>
      </c>
      <c r="K125" s="52"/>
      <c r="L125" s="52">
        <v>7.0000000000000007E-2</v>
      </c>
      <c r="M125" s="52">
        <v>8.5000000000000006E-2</v>
      </c>
      <c r="N125" s="52">
        <v>0.105</v>
      </c>
      <c r="O125" s="52">
        <v>0.127</v>
      </c>
      <c r="P125" s="51">
        <v>215530</v>
      </c>
      <c r="Q125" s="44">
        <v>3.89</v>
      </c>
      <c r="R125" s="51">
        <v>75066</v>
      </c>
      <c r="S125" s="51">
        <v>19278</v>
      </c>
      <c r="T125" s="44">
        <v>2.89</v>
      </c>
      <c r="U125" s="51">
        <v>53688</v>
      </c>
      <c r="V125" s="51">
        <v>18566</v>
      </c>
      <c r="W125" s="44">
        <v>2.97</v>
      </c>
      <c r="X125" s="51">
        <v>72380</v>
      </c>
      <c r="Y125" s="51">
        <v>24378</v>
      </c>
      <c r="Z125" s="44">
        <v>3.44</v>
      </c>
      <c r="AA125" s="51">
        <v>81813</v>
      </c>
      <c r="AB125" s="51">
        <v>23787</v>
      </c>
      <c r="AC125" s="43">
        <v>3</v>
      </c>
      <c r="AD125" s="53">
        <v>152749</v>
      </c>
      <c r="AE125" s="53">
        <v>50862</v>
      </c>
      <c r="AF125" s="27"/>
    </row>
    <row r="126" spans="1:32" ht="10.5" customHeight="1" x14ac:dyDescent="0.15">
      <c r="A126" s="23" t="s">
        <v>215</v>
      </c>
      <c r="B126" s="54">
        <v>4</v>
      </c>
      <c r="C126" s="25">
        <v>209690</v>
      </c>
      <c r="D126" s="25">
        <v>513067</v>
      </c>
      <c r="E126" s="25">
        <v>504008</v>
      </c>
      <c r="F126" s="25">
        <v>504008</v>
      </c>
      <c r="G126" s="25">
        <v>2621124</v>
      </c>
      <c r="H126" s="26">
        <v>0.192</v>
      </c>
      <c r="I126" s="26">
        <v>0.192</v>
      </c>
      <c r="J126" s="26">
        <v>0.19600000000000001</v>
      </c>
      <c r="K126" s="26"/>
      <c r="L126" s="26">
        <v>7.3999999999999996E-2</v>
      </c>
      <c r="M126" s="26">
        <v>0.09</v>
      </c>
      <c r="N126" s="26">
        <v>0.112</v>
      </c>
      <c r="O126" s="26">
        <v>8.2000000000000003E-2</v>
      </c>
      <c r="P126" s="25">
        <v>6134652</v>
      </c>
      <c r="Q126" s="24">
        <v>2.38</v>
      </c>
      <c r="R126" s="25">
        <v>1261665</v>
      </c>
      <c r="S126" s="25">
        <v>530479</v>
      </c>
      <c r="T126" s="24">
        <v>2.2000000000000002</v>
      </c>
      <c r="U126" s="25">
        <v>1294143</v>
      </c>
      <c r="V126" s="25">
        <v>588132</v>
      </c>
      <c r="W126" s="24">
        <v>2.2599999999999998</v>
      </c>
      <c r="X126" s="25">
        <v>1303660</v>
      </c>
      <c r="Y126" s="25">
        <v>576002</v>
      </c>
      <c r="Z126" s="24">
        <v>2.06</v>
      </c>
      <c r="AA126" s="25">
        <v>1325974</v>
      </c>
      <c r="AB126" s="25">
        <v>642675</v>
      </c>
      <c r="AC126" s="43">
        <v>1.37</v>
      </c>
      <c r="AD126" s="41">
        <v>4598712</v>
      </c>
      <c r="AE126" s="41">
        <v>3347683</v>
      </c>
      <c r="AF126" s="27"/>
    </row>
    <row r="127" spans="1:32" ht="10.5" customHeight="1" x14ac:dyDescent="0.15">
      <c r="A127" s="22" t="s">
        <v>48</v>
      </c>
      <c r="B127" s="50">
        <v>5</v>
      </c>
      <c r="C127" s="51">
        <v>23542</v>
      </c>
      <c r="D127" s="51">
        <v>61258</v>
      </c>
      <c r="E127" s="51">
        <v>61258</v>
      </c>
      <c r="F127" s="51">
        <v>61258</v>
      </c>
      <c r="G127" s="51">
        <v>294271</v>
      </c>
      <c r="H127" s="52">
        <v>0.20799999999999999</v>
      </c>
      <c r="I127" s="52">
        <v>0.20799999999999999</v>
      </c>
      <c r="J127" s="52">
        <v>0.20799999999999999</v>
      </c>
      <c r="K127" s="52"/>
      <c r="L127" s="52">
        <v>7.0000000000000007E-2</v>
      </c>
      <c r="M127" s="52">
        <v>8.5000000000000006E-2</v>
      </c>
      <c r="N127" s="52">
        <v>0.105</v>
      </c>
      <c r="O127" s="52">
        <v>6.5000000000000002E-2</v>
      </c>
      <c r="P127" s="51">
        <v>943682</v>
      </c>
      <c r="Q127" s="44">
        <v>1.42</v>
      </c>
      <c r="R127" s="51">
        <v>46131</v>
      </c>
      <c r="S127" s="51">
        <v>32501</v>
      </c>
      <c r="T127" s="44">
        <v>1.67</v>
      </c>
      <c r="U127" s="51">
        <v>79021</v>
      </c>
      <c r="V127" s="51">
        <v>47276</v>
      </c>
      <c r="W127" s="44">
        <v>1.83</v>
      </c>
      <c r="X127" s="51">
        <v>144577</v>
      </c>
      <c r="Y127" s="51">
        <v>79170</v>
      </c>
      <c r="Z127" s="44">
        <v>1.93</v>
      </c>
      <c r="AA127" s="51">
        <v>146487</v>
      </c>
      <c r="AB127" s="51">
        <v>75989</v>
      </c>
      <c r="AC127" s="43">
        <v>3.29</v>
      </c>
      <c r="AD127" s="53">
        <v>588354</v>
      </c>
      <c r="AE127" s="53">
        <v>179015</v>
      </c>
      <c r="AF127" s="27"/>
    </row>
    <row r="128" spans="1:32" ht="10.5" customHeight="1" x14ac:dyDescent="0.15">
      <c r="A128" s="23" t="s">
        <v>216</v>
      </c>
      <c r="B128" s="54">
        <v>5</v>
      </c>
      <c r="C128" s="25">
        <v>14700</v>
      </c>
      <c r="D128" s="25">
        <v>31151</v>
      </c>
      <c r="E128" s="25">
        <v>29595</v>
      </c>
      <c r="F128" s="25">
        <v>29595</v>
      </c>
      <c r="G128" s="25">
        <v>183747</v>
      </c>
      <c r="H128" s="26">
        <v>0.161</v>
      </c>
      <c r="I128" s="26">
        <v>0.161</v>
      </c>
      <c r="J128" s="26">
        <v>0.17</v>
      </c>
      <c r="K128" s="26"/>
      <c r="L128" s="26">
        <v>7.0000000000000007E-2</v>
      </c>
      <c r="M128" s="26">
        <v>8.5000000000000006E-2</v>
      </c>
      <c r="N128" s="26">
        <v>0.105</v>
      </c>
      <c r="O128" s="26">
        <v>3.4000000000000002E-2</v>
      </c>
      <c r="P128" s="25">
        <v>871783</v>
      </c>
      <c r="Q128" s="24">
        <v>1.34</v>
      </c>
      <c r="R128" s="25">
        <v>55202</v>
      </c>
      <c r="S128" s="25">
        <v>41231</v>
      </c>
      <c r="T128" s="24">
        <v>2.39</v>
      </c>
      <c r="U128" s="25">
        <v>152589</v>
      </c>
      <c r="V128" s="25">
        <v>63967</v>
      </c>
      <c r="W128" s="24">
        <v>5.48</v>
      </c>
      <c r="X128" s="25">
        <v>367184</v>
      </c>
      <c r="Y128" s="25">
        <v>66963</v>
      </c>
      <c r="Z128" s="24">
        <v>5.22</v>
      </c>
      <c r="AA128" s="25">
        <v>338079</v>
      </c>
      <c r="AB128" s="25">
        <v>64759</v>
      </c>
      <c r="AC128" s="43">
        <v>2.81</v>
      </c>
      <c r="AD128" s="41">
        <v>601581</v>
      </c>
      <c r="AE128" s="41">
        <v>213889</v>
      </c>
      <c r="AF128" s="27"/>
    </row>
    <row r="129" spans="1:32" ht="10.5" customHeight="1" x14ac:dyDescent="0.15">
      <c r="A129" s="22" t="s">
        <v>137</v>
      </c>
      <c r="B129" s="50">
        <v>5</v>
      </c>
      <c r="C129" s="51">
        <v>2309</v>
      </c>
      <c r="D129" s="51">
        <v>17824</v>
      </c>
      <c r="E129" s="51">
        <v>17824</v>
      </c>
      <c r="F129" s="51">
        <v>17824</v>
      </c>
      <c r="G129" s="51">
        <v>28861</v>
      </c>
      <c r="H129" s="52">
        <v>0.61799999999999999</v>
      </c>
      <c r="I129" s="52">
        <v>0.61799999999999999</v>
      </c>
      <c r="J129" s="52">
        <v>0.61799999999999999</v>
      </c>
      <c r="K129" s="52"/>
      <c r="L129" s="52">
        <v>7.0000000000000007E-2</v>
      </c>
      <c r="M129" s="52">
        <v>8.5000000000000006E-2</v>
      </c>
      <c r="N129" s="52">
        <v>0.105</v>
      </c>
      <c r="O129" s="52">
        <v>0.93799999999999994</v>
      </c>
      <c r="P129" s="51">
        <v>18999</v>
      </c>
      <c r="Q129" s="30" t="s">
        <v>204</v>
      </c>
      <c r="R129" s="55" t="s">
        <v>204</v>
      </c>
      <c r="S129" s="55" t="s">
        <v>204</v>
      </c>
      <c r="T129" s="30" t="s">
        <v>204</v>
      </c>
      <c r="U129" s="55" t="s">
        <v>204</v>
      </c>
      <c r="V129" s="55" t="s">
        <v>204</v>
      </c>
      <c r="W129" s="30" t="s">
        <v>204</v>
      </c>
      <c r="X129" s="55" t="s">
        <v>204</v>
      </c>
      <c r="Y129" s="55" t="s">
        <v>204</v>
      </c>
      <c r="Z129" s="30" t="s">
        <v>204</v>
      </c>
      <c r="AA129" s="55" t="s">
        <v>204</v>
      </c>
      <c r="AB129" s="55" t="s">
        <v>204</v>
      </c>
      <c r="AC129" s="45" t="s">
        <v>204</v>
      </c>
      <c r="AD129" s="56" t="s">
        <v>204</v>
      </c>
      <c r="AE129" s="56" t="s">
        <v>204</v>
      </c>
      <c r="AF129" s="27"/>
    </row>
    <row r="130" spans="1:32" ht="10.5" customHeight="1" x14ac:dyDescent="0.15">
      <c r="A130" s="23" t="s">
        <v>50</v>
      </c>
      <c r="B130" s="54">
        <v>4</v>
      </c>
      <c r="C130" s="25">
        <v>33778</v>
      </c>
      <c r="D130" s="25">
        <v>67856</v>
      </c>
      <c r="E130" s="25">
        <v>67856</v>
      </c>
      <c r="F130" s="25">
        <v>67856</v>
      </c>
      <c r="G130" s="25">
        <v>422223</v>
      </c>
      <c r="H130" s="26">
        <v>0.161</v>
      </c>
      <c r="I130" s="26">
        <v>0.161</v>
      </c>
      <c r="J130" s="26">
        <v>0.161</v>
      </c>
      <c r="K130" s="26"/>
      <c r="L130" s="26">
        <v>7.3999999999999996E-2</v>
      </c>
      <c r="M130" s="26">
        <v>0.09</v>
      </c>
      <c r="N130" s="26">
        <v>0.112</v>
      </c>
      <c r="O130" s="26">
        <v>5.0999999999999997E-2</v>
      </c>
      <c r="P130" s="25">
        <v>1326946</v>
      </c>
      <c r="Q130" s="24">
        <v>1.87</v>
      </c>
      <c r="R130" s="25">
        <v>312538</v>
      </c>
      <c r="S130" s="25">
        <v>167098</v>
      </c>
      <c r="T130" s="24">
        <v>1.68</v>
      </c>
      <c r="U130" s="25">
        <v>318809</v>
      </c>
      <c r="V130" s="25">
        <v>189942</v>
      </c>
      <c r="W130" s="24">
        <v>2.0499999999999998</v>
      </c>
      <c r="X130" s="25">
        <v>318027</v>
      </c>
      <c r="Y130" s="25">
        <v>155233</v>
      </c>
      <c r="Z130" s="24">
        <v>1.6</v>
      </c>
      <c r="AA130" s="25">
        <v>333188</v>
      </c>
      <c r="AB130" s="25">
        <v>207732</v>
      </c>
      <c r="AC130" s="43">
        <v>1.8</v>
      </c>
      <c r="AD130" s="41">
        <v>940465</v>
      </c>
      <c r="AE130" s="41">
        <v>522674</v>
      </c>
      <c r="AF130" s="27"/>
    </row>
    <row r="131" spans="1:32" ht="10.5" customHeight="1" x14ac:dyDescent="0.15">
      <c r="A131" s="22" t="s">
        <v>52</v>
      </c>
      <c r="B131" s="50">
        <v>4</v>
      </c>
      <c r="C131" s="51">
        <v>116927</v>
      </c>
      <c r="D131" s="51">
        <v>393581</v>
      </c>
      <c r="E131" s="51">
        <v>393581</v>
      </c>
      <c r="F131" s="51">
        <v>393581</v>
      </c>
      <c r="G131" s="51">
        <v>1461586</v>
      </c>
      <c r="H131" s="52">
        <v>0.26900000000000002</v>
      </c>
      <c r="I131" s="52">
        <v>0.26900000000000002</v>
      </c>
      <c r="J131" s="52">
        <v>0.26900000000000002</v>
      </c>
      <c r="K131" s="52"/>
      <c r="L131" s="52">
        <v>7.3999999999999996E-2</v>
      </c>
      <c r="M131" s="52">
        <v>0.09</v>
      </c>
      <c r="N131" s="52">
        <v>0.112</v>
      </c>
      <c r="O131" s="52">
        <v>0.112</v>
      </c>
      <c r="P131" s="51">
        <v>3524123</v>
      </c>
      <c r="Q131" s="44">
        <v>1.76</v>
      </c>
      <c r="R131" s="51">
        <v>794624</v>
      </c>
      <c r="S131" s="51">
        <v>450451</v>
      </c>
      <c r="T131" s="44">
        <v>1.76</v>
      </c>
      <c r="U131" s="51">
        <v>838177</v>
      </c>
      <c r="V131" s="51">
        <v>475360</v>
      </c>
      <c r="W131" s="44">
        <v>1.81</v>
      </c>
      <c r="X131" s="51">
        <v>869825</v>
      </c>
      <c r="Y131" s="51">
        <v>479838</v>
      </c>
      <c r="Z131" s="44">
        <v>1.79</v>
      </c>
      <c r="AA131" s="51">
        <v>855563</v>
      </c>
      <c r="AB131" s="51">
        <v>477961</v>
      </c>
      <c r="AC131" s="43">
        <v>1.68</v>
      </c>
      <c r="AD131" s="53">
        <v>2556128</v>
      </c>
      <c r="AE131" s="53">
        <v>1517723</v>
      </c>
      <c r="AF131" s="27"/>
    </row>
    <row r="132" spans="1:32" ht="10.5" customHeight="1" x14ac:dyDescent="0.15">
      <c r="A132" s="23" t="s">
        <v>63</v>
      </c>
      <c r="B132" s="54">
        <v>5</v>
      </c>
      <c r="C132" s="25">
        <v>10063</v>
      </c>
      <c r="D132" s="25">
        <v>51480</v>
      </c>
      <c r="E132" s="25">
        <v>51480</v>
      </c>
      <c r="F132" s="25">
        <v>51480</v>
      </c>
      <c r="G132" s="25">
        <v>125784</v>
      </c>
      <c r="H132" s="26">
        <v>0.40899999999999997</v>
      </c>
      <c r="I132" s="26">
        <v>0.40899999999999997</v>
      </c>
      <c r="J132" s="26">
        <v>0.40899999999999997</v>
      </c>
      <c r="K132" s="26"/>
      <c r="L132" s="26">
        <v>7.0000000000000007E-2</v>
      </c>
      <c r="M132" s="26">
        <v>8.5000000000000006E-2</v>
      </c>
      <c r="N132" s="26">
        <v>0.105</v>
      </c>
      <c r="O132" s="26">
        <v>0.11</v>
      </c>
      <c r="P132" s="25">
        <v>469041</v>
      </c>
      <c r="Q132" s="24">
        <v>7.52</v>
      </c>
      <c r="R132" s="25">
        <v>188163</v>
      </c>
      <c r="S132" s="25">
        <v>25006</v>
      </c>
      <c r="T132" s="24">
        <v>7.85</v>
      </c>
      <c r="U132" s="25">
        <v>183496</v>
      </c>
      <c r="V132" s="25">
        <v>23374</v>
      </c>
      <c r="W132" s="24">
        <v>7.33</v>
      </c>
      <c r="X132" s="25">
        <v>188218</v>
      </c>
      <c r="Y132" s="25">
        <v>25688</v>
      </c>
      <c r="Z132" s="24">
        <v>5.75</v>
      </c>
      <c r="AA132" s="25">
        <v>184159</v>
      </c>
      <c r="AB132" s="25">
        <v>32050</v>
      </c>
      <c r="AC132" s="43">
        <v>4.8</v>
      </c>
      <c r="AD132" s="41">
        <v>338023</v>
      </c>
      <c r="AE132" s="41">
        <v>70380</v>
      </c>
      <c r="AF132" s="27"/>
    </row>
    <row r="133" spans="1:32" ht="10.5" customHeight="1" x14ac:dyDescent="0.15">
      <c r="A133" s="22" t="s">
        <v>36</v>
      </c>
      <c r="B133" s="50">
        <v>5</v>
      </c>
      <c r="C133" s="51">
        <v>43057</v>
      </c>
      <c r="D133" s="51">
        <v>132471</v>
      </c>
      <c r="E133" s="51">
        <v>131538</v>
      </c>
      <c r="F133" s="51">
        <v>131538</v>
      </c>
      <c r="G133" s="51">
        <v>538217</v>
      </c>
      <c r="H133" s="52">
        <v>0.24399999999999999</v>
      </c>
      <c r="I133" s="52">
        <v>0.24399999999999999</v>
      </c>
      <c r="J133" s="52">
        <v>0.246</v>
      </c>
      <c r="K133" s="52"/>
      <c r="L133" s="52">
        <v>7.0000000000000007E-2</v>
      </c>
      <c r="M133" s="52">
        <v>8.5000000000000006E-2</v>
      </c>
      <c r="N133" s="52">
        <v>0.105</v>
      </c>
      <c r="O133" s="52">
        <v>8.2000000000000003E-2</v>
      </c>
      <c r="P133" s="51">
        <v>1612426</v>
      </c>
      <c r="Q133" s="44">
        <v>1.48</v>
      </c>
      <c r="R133" s="51">
        <v>481972</v>
      </c>
      <c r="S133" s="51">
        <v>326453</v>
      </c>
      <c r="T133" s="44">
        <v>1.65</v>
      </c>
      <c r="U133" s="51">
        <v>526755</v>
      </c>
      <c r="V133" s="51">
        <v>318412</v>
      </c>
      <c r="W133" s="44">
        <v>1.46</v>
      </c>
      <c r="X133" s="51">
        <v>506978</v>
      </c>
      <c r="Y133" s="51">
        <v>347905</v>
      </c>
      <c r="Z133" s="44">
        <v>1.56</v>
      </c>
      <c r="AA133" s="51">
        <v>590827</v>
      </c>
      <c r="AB133" s="51">
        <v>379532</v>
      </c>
      <c r="AC133" s="43">
        <v>1.67</v>
      </c>
      <c r="AD133" s="53">
        <v>975035</v>
      </c>
      <c r="AE133" s="53">
        <v>583532</v>
      </c>
      <c r="AF133" s="27"/>
    </row>
    <row r="134" spans="1:32" ht="10.5" customHeight="1" x14ac:dyDescent="0.15">
      <c r="A134" s="23" t="s">
        <v>129</v>
      </c>
      <c r="B134" s="54">
        <v>5</v>
      </c>
      <c r="C134" s="25">
        <v>39780</v>
      </c>
      <c r="D134" s="25">
        <v>172199</v>
      </c>
      <c r="E134" s="25">
        <v>147199</v>
      </c>
      <c r="F134" s="25">
        <v>147199</v>
      </c>
      <c r="G134" s="25">
        <v>497253</v>
      </c>
      <c r="H134" s="26">
        <v>0.29599999999999999</v>
      </c>
      <c r="I134" s="26">
        <v>0.29599999999999999</v>
      </c>
      <c r="J134" s="26">
        <v>0.34599999999999997</v>
      </c>
      <c r="K134" s="26"/>
      <c r="L134" s="26">
        <v>7.0000000000000007E-2</v>
      </c>
      <c r="M134" s="26">
        <v>8.5000000000000006E-2</v>
      </c>
      <c r="N134" s="26">
        <v>0.105</v>
      </c>
      <c r="O134" s="26">
        <v>0.13300000000000001</v>
      </c>
      <c r="P134" s="25">
        <v>1109823</v>
      </c>
      <c r="Q134" s="24">
        <v>4.26</v>
      </c>
      <c r="R134" s="25">
        <v>56225</v>
      </c>
      <c r="S134" s="25">
        <v>13200</v>
      </c>
      <c r="T134" s="24">
        <v>4.41</v>
      </c>
      <c r="U134" s="25">
        <v>54489</v>
      </c>
      <c r="V134" s="25">
        <v>12344</v>
      </c>
      <c r="W134" s="24">
        <v>4.24</v>
      </c>
      <c r="X134" s="25">
        <v>56653</v>
      </c>
      <c r="Y134" s="25">
        <v>13373</v>
      </c>
      <c r="Z134" s="24">
        <v>4.74</v>
      </c>
      <c r="AA134" s="25">
        <v>62502</v>
      </c>
      <c r="AB134" s="25">
        <v>13182</v>
      </c>
      <c r="AC134" s="43">
        <v>1.23</v>
      </c>
      <c r="AD134" s="41">
        <v>716346</v>
      </c>
      <c r="AE134" s="41">
        <v>581336</v>
      </c>
      <c r="AF134" s="27"/>
    </row>
    <row r="135" spans="1:32" ht="10.5" customHeight="1" x14ac:dyDescent="0.15">
      <c r="A135" s="22" t="s">
        <v>97</v>
      </c>
      <c r="B135" s="50">
        <v>5</v>
      </c>
      <c r="C135" s="51">
        <v>1461</v>
      </c>
      <c r="D135" s="51">
        <v>3250</v>
      </c>
      <c r="E135" s="51">
        <v>3250</v>
      </c>
      <c r="F135" s="51">
        <v>3250</v>
      </c>
      <c r="G135" s="51">
        <v>18260</v>
      </c>
      <c r="H135" s="52">
        <v>0.17799999999999999</v>
      </c>
      <c r="I135" s="52">
        <v>0.17799999999999999</v>
      </c>
      <c r="J135" s="52">
        <v>0.17799999999999999</v>
      </c>
      <c r="K135" s="52"/>
      <c r="L135" s="52">
        <v>7.0000000000000007E-2</v>
      </c>
      <c r="M135" s="52">
        <v>8.5000000000000006E-2</v>
      </c>
      <c r="N135" s="52">
        <v>0.105</v>
      </c>
      <c r="O135" s="52">
        <v>0.44600000000000001</v>
      </c>
      <c r="P135" s="51">
        <v>7287</v>
      </c>
      <c r="Q135" s="44">
        <v>39.35</v>
      </c>
      <c r="R135" s="51">
        <v>4431</v>
      </c>
      <c r="S135" s="51">
        <v>113</v>
      </c>
      <c r="T135" s="44">
        <v>7.53</v>
      </c>
      <c r="U135" s="51">
        <v>402</v>
      </c>
      <c r="V135" s="51">
        <v>53</v>
      </c>
      <c r="W135" s="44">
        <v>12.72</v>
      </c>
      <c r="X135" s="51">
        <v>602</v>
      </c>
      <c r="Y135" s="51">
        <v>47</v>
      </c>
      <c r="Z135" s="44">
        <v>12.48</v>
      </c>
      <c r="AA135" s="51">
        <v>603</v>
      </c>
      <c r="AB135" s="51">
        <v>48</v>
      </c>
      <c r="AC135" s="43">
        <v>1.68</v>
      </c>
      <c r="AD135" s="53">
        <v>5003</v>
      </c>
      <c r="AE135" s="53">
        <v>2980</v>
      </c>
      <c r="AF135" s="27"/>
    </row>
    <row r="136" spans="1:32" ht="10.5" customHeight="1" x14ac:dyDescent="0.15">
      <c r="A136" s="23" t="s">
        <v>100</v>
      </c>
      <c r="B136" s="54">
        <v>5</v>
      </c>
      <c r="C136" s="25">
        <v>8820</v>
      </c>
      <c r="D136" s="25">
        <v>55733</v>
      </c>
      <c r="E136" s="25">
        <v>55733</v>
      </c>
      <c r="F136" s="25">
        <v>55733</v>
      </c>
      <c r="G136" s="25">
        <v>110252</v>
      </c>
      <c r="H136" s="26">
        <v>0.50600000000000001</v>
      </c>
      <c r="I136" s="26">
        <v>0.50600000000000001</v>
      </c>
      <c r="J136" s="26">
        <v>0.50600000000000001</v>
      </c>
      <c r="K136" s="26"/>
      <c r="L136" s="26">
        <v>7.0000000000000007E-2</v>
      </c>
      <c r="M136" s="26">
        <v>8.5000000000000006E-2</v>
      </c>
      <c r="N136" s="26">
        <v>0.105</v>
      </c>
      <c r="O136" s="26">
        <v>0.157</v>
      </c>
      <c r="P136" s="25">
        <v>354652</v>
      </c>
      <c r="Q136" s="24">
        <v>4.24</v>
      </c>
      <c r="R136" s="25">
        <v>104160</v>
      </c>
      <c r="S136" s="25">
        <v>24571</v>
      </c>
      <c r="T136" s="24">
        <v>4.25</v>
      </c>
      <c r="U136" s="25">
        <v>106755</v>
      </c>
      <c r="V136" s="25">
        <v>25100</v>
      </c>
      <c r="W136" s="24">
        <v>2.4</v>
      </c>
      <c r="X136" s="25">
        <v>57240</v>
      </c>
      <c r="Y136" s="25">
        <v>23843</v>
      </c>
      <c r="Z136" s="24">
        <v>1.92</v>
      </c>
      <c r="AA136" s="25">
        <v>79143</v>
      </c>
      <c r="AB136" s="25">
        <v>41269</v>
      </c>
      <c r="AC136" s="43">
        <v>1.34</v>
      </c>
      <c r="AD136" s="41">
        <v>191660</v>
      </c>
      <c r="AE136" s="41">
        <v>143192</v>
      </c>
      <c r="AF136" s="27"/>
    </row>
    <row r="137" spans="1:32" ht="10.5" customHeight="1" x14ac:dyDescent="0.15">
      <c r="A137" s="22" t="s">
        <v>195</v>
      </c>
      <c r="B137" s="50">
        <v>5</v>
      </c>
      <c r="C137" s="51">
        <v>10000</v>
      </c>
      <c r="D137" s="51">
        <v>15786</v>
      </c>
      <c r="E137" s="51">
        <v>15786</v>
      </c>
      <c r="F137" s="51">
        <v>15786</v>
      </c>
      <c r="G137" s="51">
        <v>42147</v>
      </c>
      <c r="H137" s="52">
        <v>0.375</v>
      </c>
      <c r="I137" s="52">
        <v>0.375</v>
      </c>
      <c r="J137" s="52">
        <v>0.375</v>
      </c>
      <c r="K137" s="52"/>
      <c r="L137" s="52">
        <v>7.0000000000000007E-2</v>
      </c>
      <c r="M137" s="52">
        <v>8.5000000000000006E-2</v>
      </c>
      <c r="N137" s="52">
        <v>0.105</v>
      </c>
      <c r="O137" s="52">
        <v>5.0999999999999997E-2</v>
      </c>
      <c r="P137" s="51">
        <v>311725</v>
      </c>
      <c r="Q137" s="44">
        <v>3.22</v>
      </c>
      <c r="R137" s="51">
        <v>82419</v>
      </c>
      <c r="S137" s="51">
        <v>25560</v>
      </c>
      <c r="T137" s="44">
        <v>3.24</v>
      </c>
      <c r="U137" s="51">
        <v>207541</v>
      </c>
      <c r="V137" s="51">
        <v>64041</v>
      </c>
      <c r="W137" s="44">
        <v>3.15</v>
      </c>
      <c r="X137" s="51">
        <v>249898</v>
      </c>
      <c r="Y137" s="51">
        <v>79409</v>
      </c>
      <c r="Z137" s="44">
        <v>6.83</v>
      </c>
      <c r="AA137" s="51">
        <v>129577</v>
      </c>
      <c r="AB137" s="51">
        <v>18969</v>
      </c>
      <c r="AC137" s="43">
        <v>1.51</v>
      </c>
      <c r="AD137" s="53">
        <v>183479</v>
      </c>
      <c r="AE137" s="53">
        <v>121526</v>
      </c>
      <c r="AF137" s="27"/>
    </row>
    <row r="138" spans="1:32" ht="10.5" customHeight="1" x14ac:dyDescent="0.15">
      <c r="A138" s="23" t="s">
        <v>32</v>
      </c>
      <c r="B138" s="54">
        <v>4</v>
      </c>
      <c r="C138" s="25">
        <v>127827</v>
      </c>
      <c r="D138" s="25">
        <v>265479</v>
      </c>
      <c r="E138" s="25">
        <v>252861</v>
      </c>
      <c r="F138" s="25">
        <v>252861</v>
      </c>
      <c r="G138" s="25">
        <v>1597842</v>
      </c>
      <c r="H138" s="26">
        <v>0.158</v>
      </c>
      <c r="I138" s="26">
        <v>0.158</v>
      </c>
      <c r="J138" s="26">
        <v>0.16600000000000001</v>
      </c>
      <c r="K138" s="26"/>
      <c r="L138" s="26">
        <v>7.3999999999999996E-2</v>
      </c>
      <c r="M138" s="26">
        <v>0.09</v>
      </c>
      <c r="N138" s="26">
        <v>0.112</v>
      </c>
      <c r="O138" s="26">
        <v>7.5999999999999998E-2</v>
      </c>
      <c r="P138" s="25">
        <v>3327527</v>
      </c>
      <c r="Q138" s="24">
        <v>1.56</v>
      </c>
      <c r="R138" s="25">
        <v>441588</v>
      </c>
      <c r="S138" s="25">
        <v>282480</v>
      </c>
      <c r="T138" s="24">
        <v>1.7</v>
      </c>
      <c r="U138" s="25">
        <v>489079</v>
      </c>
      <c r="V138" s="25">
        <v>288333</v>
      </c>
      <c r="W138" s="24">
        <v>1.69</v>
      </c>
      <c r="X138" s="25">
        <v>530969</v>
      </c>
      <c r="Y138" s="25">
        <v>314995</v>
      </c>
      <c r="Z138" s="24">
        <v>1.56</v>
      </c>
      <c r="AA138" s="25">
        <v>500023</v>
      </c>
      <c r="AB138" s="25">
        <v>320830</v>
      </c>
      <c r="AC138" s="43">
        <v>1.25</v>
      </c>
      <c r="AD138" s="41">
        <v>2590314</v>
      </c>
      <c r="AE138" s="41">
        <v>2066167</v>
      </c>
      <c r="AF138" s="27"/>
    </row>
    <row r="139" spans="1:32" ht="10.5" customHeight="1" x14ac:dyDescent="0.15">
      <c r="A139" s="22" t="s">
        <v>145</v>
      </c>
      <c r="B139" s="50">
        <v>5</v>
      </c>
      <c r="C139" s="51">
        <v>948</v>
      </c>
      <c r="D139" s="51">
        <v>2978</v>
      </c>
      <c r="E139" s="51">
        <v>2978</v>
      </c>
      <c r="F139" s="51">
        <v>2978</v>
      </c>
      <c r="G139" s="51">
        <v>11853</v>
      </c>
      <c r="H139" s="52">
        <v>0.251</v>
      </c>
      <c r="I139" s="52">
        <v>0.251</v>
      </c>
      <c r="J139" s="52">
        <v>0.251</v>
      </c>
      <c r="K139" s="52"/>
      <c r="L139" s="52">
        <v>7.0000000000000007E-2</v>
      </c>
      <c r="M139" s="52">
        <v>8.5000000000000006E-2</v>
      </c>
      <c r="N139" s="52">
        <v>0.105</v>
      </c>
      <c r="O139" s="52">
        <v>0.109</v>
      </c>
      <c r="P139" s="51">
        <v>27203</v>
      </c>
      <c r="Q139" s="44">
        <v>2.08</v>
      </c>
      <c r="R139" s="51">
        <v>14105</v>
      </c>
      <c r="S139" s="51">
        <v>6781</v>
      </c>
      <c r="T139" s="44">
        <v>1.68</v>
      </c>
      <c r="U139" s="51">
        <v>15059</v>
      </c>
      <c r="V139" s="51">
        <v>8989</v>
      </c>
      <c r="W139" s="44">
        <v>2.08</v>
      </c>
      <c r="X139" s="51">
        <v>15131</v>
      </c>
      <c r="Y139" s="51">
        <v>7280</v>
      </c>
      <c r="Z139" s="44">
        <v>2.0299999999999998</v>
      </c>
      <c r="AA139" s="51">
        <v>16914</v>
      </c>
      <c r="AB139" s="51">
        <v>8346</v>
      </c>
      <c r="AC139" s="43">
        <v>2.36</v>
      </c>
      <c r="AD139" s="53">
        <v>14693</v>
      </c>
      <c r="AE139" s="53">
        <v>6235</v>
      </c>
      <c r="AF139" s="27"/>
    </row>
    <row r="140" spans="1:32" ht="10.5" customHeight="1" x14ac:dyDescent="0.15">
      <c r="A140" s="23" t="s">
        <v>58</v>
      </c>
      <c r="B140" s="54">
        <v>4</v>
      </c>
      <c r="C140" s="25">
        <v>77359</v>
      </c>
      <c r="D140" s="25">
        <v>121968</v>
      </c>
      <c r="E140" s="25">
        <v>96858</v>
      </c>
      <c r="F140" s="25">
        <v>121968</v>
      </c>
      <c r="G140" s="25">
        <v>966983</v>
      </c>
      <c r="H140" s="26">
        <v>0.1</v>
      </c>
      <c r="I140" s="26">
        <v>0.126</v>
      </c>
      <c r="J140" s="26">
        <v>0.126</v>
      </c>
      <c r="K140" s="26"/>
      <c r="L140" s="26">
        <v>7.3999999999999996E-2</v>
      </c>
      <c r="M140" s="26">
        <v>0.09</v>
      </c>
      <c r="N140" s="26">
        <v>0.112</v>
      </c>
      <c r="O140" s="26">
        <v>3.9E-2</v>
      </c>
      <c r="P140" s="25">
        <v>3132303</v>
      </c>
      <c r="Q140" s="24">
        <v>2.1</v>
      </c>
      <c r="R140" s="25">
        <v>438551</v>
      </c>
      <c r="S140" s="25">
        <v>208925</v>
      </c>
      <c r="T140" s="24">
        <v>2.19</v>
      </c>
      <c r="U140" s="25">
        <v>456125</v>
      </c>
      <c r="V140" s="25">
        <v>207933</v>
      </c>
      <c r="W140" s="24">
        <v>2.65</v>
      </c>
      <c r="X140" s="25">
        <v>489339</v>
      </c>
      <c r="Y140" s="25">
        <v>184862</v>
      </c>
      <c r="Z140" s="24">
        <v>2.79</v>
      </c>
      <c r="AA140" s="25">
        <v>543753</v>
      </c>
      <c r="AB140" s="25">
        <v>194858</v>
      </c>
      <c r="AC140" s="43">
        <v>1.59</v>
      </c>
      <c r="AD140" s="41">
        <v>1830173</v>
      </c>
      <c r="AE140" s="41">
        <v>1153518</v>
      </c>
      <c r="AF140" s="27"/>
    </row>
    <row r="141" spans="1:32" ht="10.5" customHeight="1" x14ac:dyDescent="0.15">
      <c r="A141" s="22" t="s">
        <v>53</v>
      </c>
      <c r="B141" s="50">
        <v>4</v>
      </c>
      <c r="C141" s="51">
        <v>103840</v>
      </c>
      <c r="D141" s="51">
        <v>247255</v>
      </c>
      <c r="E141" s="51">
        <v>247255</v>
      </c>
      <c r="F141" s="51">
        <v>247255</v>
      </c>
      <c r="G141" s="51">
        <v>1298006</v>
      </c>
      <c r="H141" s="52">
        <v>0.19</v>
      </c>
      <c r="I141" s="52">
        <v>0.19</v>
      </c>
      <c r="J141" s="52">
        <v>0.19</v>
      </c>
      <c r="K141" s="52"/>
      <c r="L141" s="52">
        <v>7.3999999999999996E-2</v>
      </c>
      <c r="M141" s="52">
        <v>0.09</v>
      </c>
      <c r="N141" s="52">
        <v>0.112</v>
      </c>
      <c r="O141" s="52">
        <v>4.2999999999999997E-2</v>
      </c>
      <c r="P141" s="51">
        <v>5730398</v>
      </c>
      <c r="Q141" s="44">
        <v>1.35</v>
      </c>
      <c r="R141" s="51">
        <v>2980061</v>
      </c>
      <c r="S141" s="51">
        <v>2212730</v>
      </c>
      <c r="T141" s="44">
        <v>1.27</v>
      </c>
      <c r="U141" s="51">
        <v>2502808</v>
      </c>
      <c r="V141" s="51">
        <v>1965189</v>
      </c>
      <c r="W141" s="44">
        <v>1.24</v>
      </c>
      <c r="X141" s="51">
        <v>2656431</v>
      </c>
      <c r="Y141" s="51">
        <v>2144009</v>
      </c>
      <c r="Z141" s="44">
        <v>1.26</v>
      </c>
      <c r="AA141" s="51">
        <v>2899732</v>
      </c>
      <c r="AB141" s="51">
        <v>2305999</v>
      </c>
      <c r="AC141" s="43">
        <v>2.21</v>
      </c>
      <c r="AD141" s="53">
        <v>2806533</v>
      </c>
      <c r="AE141" s="53">
        <v>1271088</v>
      </c>
      <c r="AF141" s="27"/>
    </row>
    <row r="142" spans="1:32" ht="10.5" customHeight="1" x14ac:dyDescent="0.15">
      <c r="A142" s="23" t="s">
        <v>196</v>
      </c>
      <c r="B142" s="54">
        <v>5</v>
      </c>
      <c r="C142" s="25">
        <v>17274</v>
      </c>
      <c r="D142" s="25">
        <v>81079</v>
      </c>
      <c r="E142" s="25">
        <v>81079</v>
      </c>
      <c r="F142" s="25">
        <v>81079</v>
      </c>
      <c r="G142" s="25">
        <v>215920</v>
      </c>
      <c r="H142" s="26">
        <v>0.376</v>
      </c>
      <c r="I142" s="26">
        <v>0.376</v>
      </c>
      <c r="J142" s="26">
        <v>0.376</v>
      </c>
      <c r="K142" s="26"/>
      <c r="L142" s="26">
        <v>7.0000000000000007E-2</v>
      </c>
      <c r="M142" s="26">
        <v>8.5000000000000006E-2</v>
      </c>
      <c r="N142" s="26">
        <v>0.105</v>
      </c>
      <c r="O142" s="26">
        <v>0.23100000000000001</v>
      </c>
      <c r="P142" s="25">
        <v>350329</v>
      </c>
      <c r="Q142" s="28" t="s">
        <v>204</v>
      </c>
      <c r="R142" s="29" t="s">
        <v>204</v>
      </c>
      <c r="S142" s="29" t="s">
        <v>204</v>
      </c>
      <c r="T142" s="28" t="s">
        <v>204</v>
      </c>
      <c r="U142" s="29" t="s">
        <v>204</v>
      </c>
      <c r="V142" s="29" t="s">
        <v>204</v>
      </c>
      <c r="W142" s="28" t="s">
        <v>204</v>
      </c>
      <c r="X142" s="29" t="s">
        <v>204</v>
      </c>
      <c r="Y142" s="29" t="s">
        <v>204</v>
      </c>
      <c r="Z142" s="28" t="s">
        <v>204</v>
      </c>
      <c r="AA142" s="29" t="s">
        <v>204</v>
      </c>
      <c r="AB142" s="29" t="s">
        <v>204</v>
      </c>
      <c r="AC142" s="45" t="s">
        <v>204</v>
      </c>
      <c r="AD142" s="40" t="s">
        <v>204</v>
      </c>
      <c r="AE142" s="40" t="s">
        <v>204</v>
      </c>
      <c r="AF142" s="27"/>
    </row>
    <row r="143" spans="1:32" ht="10.5" customHeight="1" x14ac:dyDescent="0.15">
      <c r="A143" s="22" t="s">
        <v>80</v>
      </c>
      <c r="B143" s="50">
        <v>5</v>
      </c>
      <c r="C143" s="51">
        <v>13223</v>
      </c>
      <c r="D143" s="51">
        <v>59272</v>
      </c>
      <c r="E143" s="51">
        <v>59272</v>
      </c>
      <c r="F143" s="51">
        <v>59272</v>
      </c>
      <c r="G143" s="51">
        <v>165285</v>
      </c>
      <c r="H143" s="52">
        <v>0.35899999999999999</v>
      </c>
      <c r="I143" s="52">
        <v>0.35899999999999999</v>
      </c>
      <c r="J143" s="52">
        <v>0.35899999999999999</v>
      </c>
      <c r="K143" s="52"/>
      <c r="L143" s="52">
        <v>7.0000000000000007E-2</v>
      </c>
      <c r="M143" s="52">
        <v>8.5000000000000006E-2</v>
      </c>
      <c r="N143" s="52">
        <v>0.105</v>
      </c>
      <c r="O143" s="52">
        <v>5.7000000000000002E-2</v>
      </c>
      <c r="P143" s="51">
        <v>1038467</v>
      </c>
      <c r="Q143" s="44">
        <v>1.85</v>
      </c>
      <c r="R143" s="51">
        <v>516696</v>
      </c>
      <c r="S143" s="51">
        <v>279040</v>
      </c>
      <c r="T143" s="44">
        <v>1.68</v>
      </c>
      <c r="U143" s="51">
        <v>544958</v>
      </c>
      <c r="V143" s="51">
        <v>324452</v>
      </c>
      <c r="W143" s="44">
        <v>1.59</v>
      </c>
      <c r="X143" s="51">
        <v>600068</v>
      </c>
      <c r="Y143" s="51">
        <v>377491</v>
      </c>
      <c r="Z143" s="44">
        <v>1.46</v>
      </c>
      <c r="AA143" s="51">
        <v>670192</v>
      </c>
      <c r="AB143" s="51">
        <v>460544</v>
      </c>
      <c r="AC143" s="43">
        <v>2.65</v>
      </c>
      <c r="AD143" s="53">
        <v>282988</v>
      </c>
      <c r="AE143" s="53">
        <v>106734</v>
      </c>
      <c r="AF143" s="27"/>
    </row>
    <row r="144" spans="1:32" ht="10.5" customHeight="1" x14ac:dyDescent="0.15">
      <c r="A144" s="23" t="s">
        <v>55</v>
      </c>
      <c r="B144" s="54">
        <v>5</v>
      </c>
      <c r="C144" s="25">
        <v>51696</v>
      </c>
      <c r="D144" s="25">
        <v>128751</v>
      </c>
      <c r="E144" s="25">
        <v>128751</v>
      </c>
      <c r="F144" s="25">
        <v>128751</v>
      </c>
      <c r="G144" s="25">
        <v>646203</v>
      </c>
      <c r="H144" s="26">
        <v>0.19900000000000001</v>
      </c>
      <c r="I144" s="26">
        <v>0.19900000000000001</v>
      </c>
      <c r="J144" s="26">
        <v>0.19900000000000001</v>
      </c>
      <c r="K144" s="26"/>
      <c r="L144" s="26">
        <v>7.0000000000000007E-2</v>
      </c>
      <c r="M144" s="26">
        <v>8.5000000000000006E-2</v>
      </c>
      <c r="N144" s="26">
        <v>0.105</v>
      </c>
      <c r="O144" s="26">
        <v>7.1999999999999995E-2</v>
      </c>
      <c r="P144" s="25">
        <v>1782061</v>
      </c>
      <c r="Q144" s="24">
        <v>1.59</v>
      </c>
      <c r="R144" s="25">
        <v>286467</v>
      </c>
      <c r="S144" s="25">
        <v>179632</v>
      </c>
      <c r="T144" s="24">
        <v>1.6</v>
      </c>
      <c r="U144" s="25">
        <v>297079</v>
      </c>
      <c r="V144" s="25">
        <v>185765</v>
      </c>
      <c r="W144" s="24">
        <v>1.68</v>
      </c>
      <c r="X144" s="25">
        <v>343594</v>
      </c>
      <c r="Y144" s="25">
        <v>204094</v>
      </c>
      <c r="Z144" s="24">
        <v>1.55</v>
      </c>
      <c r="AA144" s="25">
        <v>349583</v>
      </c>
      <c r="AB144" s="25">
        <v>226085</v>
      </c>
      <c r="AC144" s="43">
        <v>1.51</v>
      </c>
      <c r="AD144" s="41">
        <v>1480659</v>
      </c>
      <c r="AE144" s="41">
        <v>982160</v>
      </c>
      <c r="AF144" s="27"/>
    </row>
    <row r="145" spans="1:32" ht="10.5" customHeight="1" x14ac:dyDescent="0.15">
      <c r="A145" s="22" t="s">
        <v>93</v>
      </c>
      <c r="B145" s="50">
        <v>5</v>
      </c>
      <c r="C145" s="51">
        <v>203802</v>
      </c>
      <c r="D145" s="51">
        <v>573612</v>
      </c>
      <c r="E145" s="51">
        <v>573513</v>
      </c>
      <c r="F145" s="51">
        <v>573513</v>
      </c>
      <c r="G145" s="51">
        <v>2547530</v>
      </c>
      <c r="H145" s="52">
        <v>0.22500000000000001</v>
      </c>
      <c r="I145" s="52">
        <v>0.22500000000000001</v>
      </c>
      <c r="J145" s="52">
        <v>0.22500000000000001</v>
      </c>
      <c r="K145" s="52"/>
      <c r="L145" s="52">
        <v>7.0000000000000007E-2</v>
      </c>
      <c r="M145" s="52">
        <v>8.5000000000000006E-2</v>
      </c>
      <c r="N145" s="52">
        <v>0.105</v>
      </c>
      <c r="O145" s="52">
        <v>0.183</v>
      </c>
      <c r="P145" s="51">
        <v>3140123</v>
      </c>
      <c r="Q145" s="44">
        <v>1.39</v>
      </c>
      <c r="R145" s="51">
        <v>820016</v>
      </c>
      <c r="S145" s="51">
        <v>589630</v>
      </c>
      <c r="T145" s="44">
        <v>1.76</v>
      </c>
      <c r="U145" s="51">
        <v>677299</v>
      </c>
      <c r="V145" s="51">
        <v>384098</v>
      </c>
      <c r="W145" s="44">
        <v>1.63</v>
      </c>
      <c r="X145" s="51">
        <v>596440</v>
      </c>
      <c r="Y145" s="51">
        <v>365502</v>
      </c>
      <c r="Z145" s="44">
        <v>1.43</v>
      </c>
      <c r="AA145" s="51">
        <v>666243</v>
      </c>
      <c r="AB145" s="51">
        <v>465657</v>
      </c>
      <c r="AC145" s="43">
        <v>1.28</v>
      </c>
      <c r="AD145" s="53">
        <v>1431847</v>
      </c>
      <c r="AE145" s="53">
        <v>1121304</v>
      </c>
      <c r="AF145" s="27"/>
    </row>
    <row r="146" spans="1:32" ht="10.5" customHeight="1" x14ac:dyDescent="0.15">
      <c r="A146" s="23" t="s">
        <v>28</v>
      </c>
      <c r="B146" s="54">
        <v>4</v>
      </c>
      <c r="C146" s="25">
        <v>312200</v>
      </c>
      <c r="D146" s="25">
        <v>1087700</v>
      </c>
      <c r="E146" s="25">
        <v>1072029</v>
      </c>
      <c r="F146" s="25">
        <v>1072029</v>
      </c>
      <c r="G146" s="25">
        <v>3902500</v>
      </c>
      <c r="H146" s="26">
        <v>0.27500000000000002</v>
      </c>
      <c r="I146" s="26">
        <v>0.27500000000000002</v>
      </c>
      <c r="J146" s="26">
        <v>0.27900000000000003</v>
      </c>
      <c r="K146" s="26"/>
      <c r="L146" s="26">
        <v>7.3999999999999996E-2</v>
      </c>
      <c r="M146" s="26">
        <v>0.09</v>
      </c>
      <c r="N146" s="26">
        <v>0.112</v>
      </c>
      <c r="O146" s="26">
        <v>0.114</v>
      </c>
      <c r="P146" s="25">
        <v>9426486</v>
      </c>
      <c r="Q146" s="24">
        <v>1.51</v>
      </c>
      <c r="R146" s="25">
        <v>1663133</v>
      </c>
      <c r="S146" s="25">
        <v>1099778</v>
      </c>
      <c r="T146" s="24">
        <v>1.55</v>
      </c>
      <c r="U146" s="25">
        <v>1637345</v>
      </c>
      <c r="V146" s="25">
        <v>1056968</v>
      </c>
      <c r="W146" s="24">
        <v>1.61</v>
      </c>
      <c r="X146" s="25">
        <v>1651990</v>
      </c>
      <c r="Y146" s="25">
        <v>1023944</v>
      </c>
      <c r="Z146" s="24">
        <v>1.36</v>
      </c>
      <c r="AA146" s="25">
        <v>1683202</v>
      </c>
      <c r="AB146" s="25">
        <v>1239078</v>
      </c>
      <c r="AC146" s="43">
        <v>1.3</v>
      </c>
      <c r="AD146" s="41">
        <v>6911572</v>
      </c>
      <c r="AE146" s="41">
        <v>5310717</v>
      </c>
      <c r="AF146" s="27"/>
    </row>
    <row r="147" spans="1:32" ht="10.5" customHeight="1" x14ac:dyDescent="0.15">
      <c r="A147" s="22" t="s">
        <v>76</v>
      </c>
      <c r="B147" s="50">
        <v>4</v>
      </c>
      <c r="C147" s="51">
        <v>43479</v>
      </c>
      <c r="D147" s="51">
        <v>151486</v>
      </c>
      <c r="E147" s="51">
        <v>151486</v>
      </c>
      <c r="F147" s="51">
        <v>151486</v>
      </c>
      <c r="G147" s="51">
        <v>543484</v>
      </c>
      <c r="H147" s="52">
        <v>0.27900000000000003</v>
      </c>
      <c r="I147" s="52">
        <v>0.27900000000000003</v>
      </c>
      <c r="J147" s="52">
        <v>0.27900000000000003</v>
      </c>
      <c r="K147" s="52"/>
      <c r="L147" s="52">
        <v>7.3999999999999996E-2</v>
      </c>
      <c r="M147" s="52">
        <v>0.09</v>
      </c>
      <c r="N147" s="52">
        <v>0.112</v>
      </c>
      <c r="O147" s="52">
        <v>0.13600000000000001</v>
      </c>
      <c r="P147" s="51">
        <v>1115044</v>
      </c>
      <c r="Q147" s="44">
        <v>3.75</v>
      </c>
      <c r="R147" s="51">
        <v>480822</v>
      </c>
      <c r="S147" s="51">
        <v>128217</v>
      </c>
      <c r="T147" s="44">
        <v>4.55</v>
      </c>
      <c r="U147" s="51">
        <v>446569</v>
      </c>
      <c r="V147" s="51">
        <v>98253</v>
      </c>
      <c r="W147" s="44">
        <v>4.9800000000000004</v>
      </c>
      <c r="X147" s="51">
        <v>389572</v>
      </c>
      <c r="Y147" s="51">
        <v>78156</v>
      </c>
      <c r="Z147" s="44">
        <v>5.0599999999999996</v>
      </c>
      <c r="AA147" s="51">
        <v>427531</v>
      </c>
      <c r="AB147" s="51">
        <v>84503</v>
      </c>
      <c r="AC147" s="43">
        <v>2.4500000000000002</v>
      </c>
      <c r="AD147" s="53">
        <v>835547</v>
      </c>
      <c r="AE147" s="53">
        <v>341344</v>
      </c>
      <c r="AF147" s="27"/>
    </row>
    <row r="148" spans="1:32" ht="10.5" customHeight="1" x14ac:dyDescent="0.15">
      <c r="A148" s="23" t="s">
        <v>29</v>
      </c>
      <c r="B148" s="54">
        <v>3</v>
      </c>
      <c r="C148" s="25">
        <v>727422</v>
      </c>
      <c r="D148" s="25">
        <v>2087329</v>
      </c>
      <c r="E148" s="25">
        <v>1981433</v>
      </c>
      <c r="F148" s="25">
        <v>1981433</v>
      </c>
      <c r="G148" s="25">
        <v>9092771</v>
      </c>
      <c r="H148" s="26">
        <v>0.218</v>
      </c>
      <c r="I148" s="26">
        <v>0.218</v>
      </c>
      <c r="J148" s="26">
        <v>0.23</v>
      </c>
      <c r="K148" s="26"/>
      <c r="L148" s="26">
        <v>7.8E-2</v>
      </c>
      <c r="M148" s="26">
        <v>9.6000000000000002E-2</v>
      </c>
      <c r="N148" s="26">
        <v>0.12</v>
      </c>
      <c r="O148" s="26">
        <v>8.5999999999999993E-2</v>
      </c>
      <c r="P148" s="25">
        <v>23003319</v>
      </c>
      <c r="Q148" s="24">
        <v>1.64</v>
      </c>
      <c r="R148" s="25">
        <v>3642558</v>
      </c>
      <c r="S148" s="25">
        <v>2220957</v>
      </c>
      <c r="T148" s="24">
        <v>1.59</v>
      </c>
      <c r="U148" s="25">
        <v>3733278</v>
      </c>
      <c r="V148" s="25">
        <v>2349733</v>
      </c>
      <c r="W148" s="24">
        <v>1.37</v>
      </c>
      <c r="X148" s="25">
        <v>3804390</v>
      </c>
      <c r="Y148" s="25">
        <v>2778448</v>
      </c>
      <c r="Z148" s="24">
        <v>1.47</v>
      </c>
      <c r="AA148" s="25">
        <v>4160373</v>
      </c>
      <c r="AB148" s="25">
        <v>2820967</v>
      </c>
      <c r="AC148" s="43">
        <v>1.52</v>
      </c>
      <c r="AD148" s="41">
        <v>16864977</v>
      </c>
      <c r="AE148" s="41">
        <v>11075246</v>
      </c>
      <c r="AF148" s="27"/>
    </row>
    <row r="149" spans="1:32" ht="10.5" customHeight="1" x14ac:dyDescent="0.15">
      <c r="A149" s="22" t="s">
        <v>89</v>
      </c>
      <c r="B149" s="50">
        <v>5</v>
      </c>
      <c r="C149" s="51">
        <v>10534</v>
      </c>
      <c r="D149" s="51">
        <v>98388</v>
      </c>
      <c r="E149" s="51">
        <v>90038</v>
      </c>
      <c r="F149" s="51">
        <v>90038</v>
      </c>
      <c r="G149" s="51">
        <v>131676</v>
      </c>
      <c r="H149" s="52">
        <v>0.68400000000000005</v>
      </c>
      <c r="I149" s="52">
        <v>0.68400000000000005</v>
      </c>
      <c r="J149" s="52">
        <v>0.747</v>
      </c>
      <c r="K149" s="52"/>
      <c r="L149" s="52">
        <v>7.0000000000000007E-2</v>
      </c>
      <c r="M149" s="52">
        <v>8.5000000000000006E-2</v>
      </c>
      <c r="N149" s="52">
        <v>0.105</v>
      </c>
      <c r="O149" s="52">
        <v>0.1</v>
      </c>
      <c r="P149" s="51">
        <v>901931</v>
      </c>
      <c r="Q149" s="44">
        <v>9.84</v>
      </c>
      <c r="R149" s="51">
        <v>673035</v>
      </c>
      <c r="S149" s="51">
        <v>68372</v>
      </c>
      <c r="T149" s="44">
        <v>10.199999999999999</v>
      </c>
      <c r="U149" s="51">
        <v>860471</v>
      </c>
      <c r="V149" s="51">
        <v>84361</v>
      </c>
      <c r="W149" s="44">
        <v>12.65</v>
      </c>
      <c r="X149" s="51">
        <v>756478</v>
      </c>
      <c r="Y149" s="51">
        <v>59780</v>
      </c>
      <c r="Z149" s="44">
        <v>15.51</v>
      </c>
      <c r="AA149" s="51">
        <v>705853</v>
      </c>
      <c r="AB149" s="51">
        <v>45520</v>
      </c>
      <c r="AC149" s="43">
        <v>7.09</v>
      </c>
      <c r="AD149" s="53">
        <v>728753</v>
      </c>
      <c r="AE149" s="53">
        <v>102833</v>
      </c>
      <c r="AF149" s="27"/>
    </row>
    <row r="150" spans="1:32" ht="10.5" customHeight="1" x14ac:dyDescent="0.15">
      <c r="A150" s="23" t="s">
        <v>146</v>
      </c>
      <c r="B150" s="54">
        <v>5</v>
      </c>
      <c r="C150" s="25">
        <v>15131</v>
      </c>
      <c r="D150" s="25">
        <v>33544</v>
      </c>
      <c r="E150" s="25">
        <v>33544</v>
      </c>
      <c r="F150" s="25">
        <v>33544</v>
      </c>
      <c r="G150" s="25">
        <v>189143</v>
      </c>
      <c r="H150" s="26">
        <v>0.17699999999999999</v>
      </c>
      <c r="I150" s="26">
        <v>0.17699999999999999</v>
      </c>
      <c r="J150" s="26">
        <v>0.17699999999999999</v>
      </c>
      <c r="K150" s="26"/>
      <c r="L150" s="26">
        <v>7.0000000000000007E-2</v>
      </c>
      <c r="M150" s="26">
        <v>8.5000000000000006E-2</v>
      </c>
      <c r="N150" s="26">
        <v>0.105</v>
      </c>
      <c r="O150" s="26">
        <v>8.6999999999999994E-2</v>
      </c>
      <c r="P150" s="25">
        <v>385751</v>
      </c>
      <c r="Q150" s="24">
        <v>1.41</v>
      </c>
      <c r="R150" s="25">
        <v>39042</v>
      </c>
      <c r="S150" s="25">
        <v>27615</v>
      </c>
      <c r="T150" s="24">
        <v>1.35</v>
      </c>
      <c r="U150" s="25">
        <v>53702</v>
      </c>
      <c r="V150" s="25">
        <v>39813</v>
      </c>
      <c r="W150" s="24">
        <v>1.56</v>
      </c>
      <c r="X150" s="25">
        <v>57323</v>
      </c>
      <c r="Y150" s="25">
        <v>36729</v>
      </c>
      <c r="Z150" s="24">
        <v>1.77</v>
      </c>
      <c r="AA150" s="25">
        <v>153225</v>
      </c>
      <c r="AB150" s="25">
        <v>86754</v>
      </c>
      <c r="AC150" s="43">
        <v>2.0099999999999998</v>
      </c>
      <c r="AD150" s="41">
        <v>231365</v>
      </c>
      <c r="AE150" s="41">
        <v>114946</v>
      </c>
      <c r="AF150" s="27"/>
    </row>
    <row r="151" spans="1:32" ht="10.5" customHeight="1" x14ac:dyDescent="0.15">
      <c r="A151" s="22" t="s">
        <v>112</v>
      </c>
      <c r="B151" s="50">
        <v>5</v>
      </c>
      <c r="C151" s="51">
        <v>43569</v>
      </c>
      <c r="D151" s="51">
        <v>97414</v>
      </c>
      <c r="E151" s="51">
        <v>96255</v>
      </c>
      <c r="F151" s="51">
        <v>96255</v>
      </c>
      <c r="G151" s="51">
        <v>544616</v>
      </c>
      <c r="H151" s="52">
        <v>0.17699999999999999</v>
      </c>
      <c r="I151" s="52">
        <v>0.17699999999999999</v>
      </c>
      <c r="J151" s="52">
        <v>0.17899999999999999</v>
      </c>
      <c r="K151" s="52"/>
      <c r="L151" s="52">
        <v>7.0000000000000007E-2</v>
      </c>
      <c r="M151" s="52">
        <v>8.5000000000000006E-2</v>
      </c>
      <c r="N151" s="52">
        <v>0.105</v>
      </c>
      <c r="O151" s="52">
        <v>6.5000000000000002E-2</v>
      </c>
      <c r="P151" s="51">
        <v>1485632</v>
      </c>
      <c r="Q151" s="30" t="s">
        <v>204</v>
      </c>
      <c r="R151" s="55" t="s">
        <v>204</v>
      </c>
      <c r="S151" s="55" t="s">
        <v>204</v>
      </c>
      <c r="T151" s="30" t="s">
        <v>204</v>
      </c>
      <c r="U151" s="55" t="s">
        <v>204</v>
      </c>
      <c r="V151" s="55" t="s">
        <v>204</v>
      </c>
      <c r="W151" s="30" t="s">
        <v>204</v>
      </c>
      <c r="X151" s="55" t="s">
        <v>204</v>
      </c>
      <c r="Y151" s="55" t="s">
        <v>204</v>
      </c>
      <c r="Z151" s="30" t="s">
        <v>204</v>
      </c>
      <c r="AA151" s="55" t="s">
        <v>204</v>
      </c>
      <c r="AB151" s="55" t="s">
        <v>204</v>
      </c>
      <c r="AC151" s="45" t="s">
        <v>204</v>
      </c>
      <c r="AD151" s="56" t="s">
        <v>204</v>
      </c>
      <c r="AE151" s="56" t="s">
        <v>204</v>
      </c>
      <c r="AF151" s="27"/>
    </row>
    <row r="152" spans="1:32" ht="10.5" customHeight="1" x14ac:dyDescent="0.15">
      <c r="A152" s="23" t="s">
        <v>57</v>
      </c>
      <c r="B152" s="54">
        <v>5</v>
      </c>
      <c r="C152" s="25">
        <v>778</v>
      </c>
      <c r="D152" s="25">
        <v>2670</v>
      </c>
      <c r="E152" s="25">
        <v>2640</v>
      </c>
      <c r="F152" s="25">
        <v>2640</v>
      </c>
      <c r="G152" s="25">
        <v>9727</v>
      </c>
      <c r="H152" s="26">
        <v>0.27100000000000002</v>
      </c>
      <c r="I152" s="26">
        <v>0.27100000000000002</v>
      </c>
      <c r="J152" s="26">
        <v>0.27400000000000002</v>
      </c>
      <c r="K152" s="26"/>
      <c r="L152" s="26">
        <v>7.0000000000000007E-2</v>
      </c>
      <c r="M152" s="26">
        <v>8.5000000000000006E-2</v>
      </c>
      <c r="N152" s="26">
        <v>0.105</v>
      </c>
      <c r="O152" s="26">
        <v>4.2000000000000003E-2</v>
      </c>
      <c r="P152" s="25">
        <v>62309</v>
      </c>
      <c r="Q152" s="24">
        <v>3.55</v>
      </c>
      <c r="R152" s="25">
        <v>10947</v>
      </c>
      <c r="S152" s="25">
        <v>3083</v>
      </c>
      <c r="T152" s="24">
        <v>3.37</v>
      </c>
      <c r="U152" s="25">
        <v>8216</v>
      </c>
      <c r="V152" s="25">
        <v>2438</v>
      </c>
      <c r="W152" s="24">
        <v>2.99</v>
      </c>
      <c r="X152" s="25">
        <v>8253</v>
      </c>
      <c r="Y152" s="25">
        <v>2759</v>
      </c>
      <c r="Z152" s="24">
        <v>2.61</v>
      </c>
      <c r="AA152" s="25">
        <v>21791</v>
      </c>
      <c r="AB152" s="25">
        <v>8347</v>
      </c>
      <c r="AC152" s="43">
        <v>3.05</v>
      </c>
      <c r="AD152" s="41">
        <v>30622</v>
      </c>
      <c r="AE152" s="41">
        <v>10025</v>
      </c>
      <c r="AF152" s="27"/>
    </row>
    <row r="153" spans="1:32" ht="10.5" customHeight="1" x14ac:dyDescent="0.15">
      <c r="A153" s="22" t="s">
        <v>217</v>
      </c>
      <c r="B153" s="50">
        <v>5</v>
      </c>
      <c r="C153" s="51">
        <v>7547</v>
      </c>
      <c r="D153" s="51">
        <v>16743</v>
      </c>
      <c r="E153" s="51">
        <v>16743</v>
      </c>
      <c r="F153" s="51">
        <v>16743</v>
      </c>
      <c r="G153" s="51">
        <v>94339</v>
      </c>
      <c r="H153" s="52">
        <v>0.17699999999999999</v>
      </c>
      <c r="I153" s="52">
        <v>0.17699999999999999</v>
      </c>
      <c r="J153" s="52">
        <v>0.17699999999999999</v>
      </c>
      <c r="K153" s="52"/>
      <c r="L153" s="52">
        <v>7.0000000000000007E-2</v>
      </c>
      <c r="M153" s="52">
        <v>8.5000000000000006E-2</v>
      </c>
      <c r="N153" s="52">
        <v>0.105</v>
      </c>
      <c r="O153" s="52">
        <v>4.5999999999999999E-2</v>
      </c>
      <c r="P153" s="51">
        <v>363105</v>
      </c>
      <c r="Q153" s="30" t="s">
        <v>204</v>
      </c>
      <c r="R153" s="55" t="s">
        <v>204</v>
      </c>
      <c r="S153" s="55" t="s">
        <v>204</v>
      </c>
      <c r="T153" s="30" t="s">
        <v>204</v>
      </c>
      <c r="U153" s="55" t="s">
        <v>204</v>
      </c>
      <c r="V153" s="55" t="s">
        <v>204</v>
      </c>
      <c r="W153" s="30" t="s">
        <v>204</v>
      </c>
      <c r="X153" s="55" t="s">
        <v>204</v>
      </c>
      <c r="Y153" s="55" t="s">
        <v>204</v>
      </c>
      <c r="Z153" s="30" t="s">
        <v>204</v>
      </c>
      <c r="AA153" s="55" t="s">
        <v>204</v>
      </c>
      <c r="AB153" s="55" t="s">
        <v>204</v>
      </c>
      <c r="AC153" s="45" t="s">
        <v>204</v>
      </c>
      <c r="AD153" s="56" t="s">
        <v>204</v>
      </c>
      <c r="AE153" s="56" t="s">
        <v>204</v>
      </c>
      <c r="AF153" s="27"/>
    </row>
    <row r="154" spans="1:32" ht="10.5" customHeight="1" x14ac:dyDescent="0.15">
      <c r="A154" s="23" t="s">
        <v>90</v>
      </c>
      <c r="B154" s="54">
        <v>4</v>
      </c>
      <c r="C154" s="25">
        <v>163726</v>
      </c>
      <c r="D154" s="25">
        <v>446413</v>
      </c>
      <c r="E154" s="25">
        <v>446413</v>
      </c>
      <c r="F154" s="25">
        <v>446413</v>
      </c>
      <c r="G154" s="25">
        <v>2046569</v>
      </c>
      <c r="H154" s="26">
        <v>0.218</v>
      </c>
      <c r="I154" s="26">
        <v>0.218</v>
      </c>
      <c r="J154" s="26">
        <v>0.218</v>
      </c>
      <c r="K154" s="26"/>
      <c r="L154" s="26">
        <v>7.3999999999999996E-2</v>
      </c>
      <c r="M154" s="26">
        <v>0.09</v>
      </c>
      <c r="N154" s="26">
        <v>0.112</v>
      </c>
      <c r="O154" s="26">
        <v>5.8999999999999997E-2</v>
      </c>
      <c r="P154" s="25">
        <v>7612451</v>
      </c>
      <c r="Q154" s="24">
        <v>1.59</v>
      </c>
      <c r="R154" s="25">
        <v>886828</v>
      </c>
      <c r="S154" s="25">
        <v>556679</v>
      </c>
      <c r="T154" s="24">
        <v>1.6</v>
      </c>
      <c r="U154" s="25">
        <v>945510</v>
      </c>
      <c r="V154" s="25">
        <v>590667</v>
      </c>
      <c r="W154" s="24">
        <v>1.64</v>
      </c>
      <c r="X154" s="25">
        <v>978794</v>
      </c>
      <c r="Y154" s="25">
        <v>596982</v>
      </c>
      <c r="Z154" s="24">
        <v>1.55</v>
      </c>
      <c r="AA154" s="25">
        <v>976325</v>
      </c>
      <c r="AB154" s="25">
        <v>628578</v>
      </c>
      <c r="AC154" s="43">
        <v>1.44</v>
      </c>
      <c r="AD154" s="41">
        <v>3563105</v>
      </c>
      <c r="AE154" s="41">
        <v>2470593</v>
      </c>
      <c r="AF154" s="27"/>
    </row>
    <row r="155" spans="1:32" ht="10.5" customHeight="1" x14ac:dyDescent="0.15">
      <c r="A155" s="22" t="s">
        <v>21</v>
      </c>
      <c r="B155" s="50">
        <v>5</v>
      </c>
      <c r="C155" s="51">
        <v>23134</v>
      </c>
      <c r="D155" s="51">
        <v>68015</v>
      </c>
      <c r="E155" s="51">
        <v>68015</v>
      </c>
      <c r="F155" s="51">
        <v>68015</v>
      </c>
      <c r="G155" s="51">
        <v>289176</v>
      </c>
      <c r="H155" s="52">
        <v>0.23499999999999999</v>
      </c>
      <c r="I155" s="52">
        <v>0.23499999999999999</v>
      </c>
      <c r="J155" s="52">
        <v>0.23499999999999999</v>
      </c>
      <c r="K155" s="52"/>
      <c r="L155" s="52">
        <v>7.0000000000000007E-2</v>
      </c>
      <c r="M155" s="52">
        <v>8.5000000000000006E-2</v>
      </c>
      <c r="N155" s="52">
        <v>0.105</v>
      </c>
      <c r="O155" s="52">
        <v>0.109</v>
      </c>
      <c r="P155" s="51">
        <v>626540</v>
      </c>
      <c r="Q155" s="44">
        <v>2.2400000000000002</v>
      </c>
      <c r="R155" s="51">
        <v>73173</v>
      </c>
      <c r="S155" s="51">
        <v>32598</v>
      </c>
      <c r="T155" s="44">
        <v>2.2599999999999998</v>
      </c>
      <c r="U155" s="51">
        <v>78879</v>
      </c>
      <c r="V155" s="51">
        <v>34946</v>
      </c>
      <c r="W155" s="44">
        <v>2.2599999999999998</v>
      </c>
      <c r="X155" s="51">
        <v>80717</v>
      </c>
      <c r="Y155" s="51">
        <v>35707</v>
      </c>
      <c r="Z155" s="44">
        <v>2.19</v>
      </c>
      <c r="AA155" s="51">
        <v>84355</v>
      </c>
      <c r="AB155" s="51">
        <v>38517</v>
      </c>
      <c r="AC155" s="43">
        <v>1.35</v>
      </c>
      <c r="AD155" s="53">
        <v>538278</v>
      </c>
      <c r="AE155" s="53">
        <v>398341</v>
      </c>
      <c r="AF155" s="27"/>
    </row>
    <row r="156" spans="1:32" ht="10.5" customHeight="1" x14ac:dyDescent="0.15">
      <c r="A156" s="23" t="s">
        <v>27</v>
      </c>
      <c r="B156" s="54">
        <v>3</v>
      </c>
      <c r="C156" s="25">
        <v>1291440</v>
      </c>
      <c r="D156" s="25">
        <v>2817454</v>
      </c>
      <c r="E156" s="25">
        <v>2580645</v>
      </c>
      <c r="F156" s="25">
        <v>2680645</v>
      </c>
      <c r="G156" s="25">
        <v>16142996</v>
      </c>
      <c r="H156" s="26">
        <v>0.16</v>
      </c>
      <c r="I156" s="26">
        <v>0.16600000000000001</v>
      </c>
      <c r="J156" s="26">
        <v>0.17499999999999999</v>
      </c>
      <c r="K156" s="26"/>
      <c r="L156" s="26">
        <v>7.8E-2</v>
      </c>
      <c r="M156" s="26">
        <v>9.6000000000000002E-2</v>
      </c>
      <c r="N156" s="26">
        <v>0.12</v>
      </c>
      <c r="O156" s="26">
        <v>6.6000000000000003E-2</v>
      </c>
      <c r="P156" s="25">
        <v>40561826</v>
      </c>
      <c r="Q156" s="24">
        <v>1.42</v>
      </c>
      <c r="R156" s="25">
        <v>7584238</v>
      </c>
      <c r="S156" s="25">
        <v>5349587</v>
      </c>
      <c r="T156" s="24">
        <v>1.54</v>
      </c>
      <c r="U156" s="25">
        <v>7787318</v>
      </c>
      <c r="V156" s="25">
        <v>5058695</v>
      </c>
      <c r="W156" s="24">
        <v>1.59</v>
      </c>
      <c r="X156" s="25">
        <v>8550522</v>
      </c>
      <c r="Y156" s="25">
        <v>5367964</v>
      </c>
      <c r="Z156" s="24">
        <v>1.37</v>
      </c>
      <c r="AA156" s="25">
        <v>8123282</v>
      </c>
      <c r="AB156" s="25">
        <v>5937036</v>
      </c>
      <c r="AC156" s="43">
        <v>1.34</v>
      </c>
      <c r="AD156" s="41">
        <v>29399094</v>
      </c>
      <c r="AE156" s="41">
        <v>21858669</v>
      </c>
      <c r="AF156" s="27"/>
    </row>
    <row r="157" spans="1:32" ht="10.5" customHeight="1" x14ac:dyDescent="0.15">
      <c r="A157" s="22" t="s">
        <v>132</v>
      </c>
      <c r="B157" s="50">
        <v>5</v>
      </c>
      <c r="C157" s="51">
        <v>17618</v>
      </c>
      <c r="D157" s="51">
        <v>49935</v>
      </c>
      <c r="E157" s="51">
        <v>49935</v>
      </c>
      <c r="F157" s="51">
        <v>49935</v>
      </c>
      <c r="G157" s="51">
        <v>220228</v>
      </c>
      <c r="H157" s="52">
        <v>0.22700000000000001</v>
      </c>
      <c r="I157" s="52">
        <v>0.22700000000000001</v>
      </c>
      <c r="J157" s="52">
        <v>0.22700000000000001</v>
      </c>
      <c r="K157" s="52"/>
      <c r="L157" s="52">
        <v>7.0000000000000007E-2</v>
      </c>
      <c r="M157" s="52">
        <v>8.5000000000000006E-2</v>
      </c>
      <c r="N157" s="52">
        <v>0.105</v>
      </c>
      <c r="O157" s="52">
        <v>0.124</v>
      </c>
      <c r="P157" s="51">
        <v>403560</v>
      </c>
      <c r="Q157" s="44">
        <v>3.01</v>
      </c>
      <c r="R157" s="51">
        <v>134279</v>
      </c>
      <c r="S157" s="51">
        <v>44537</v>
      </c>
      <c r="T157" s="44">
        <v>3.05</v>
      </c>
      <c r="U157" s="51">
        <v>127519</v>
      </c>
      <c r="V157" s="51">
        <v>41855</v>
      </c>
      <c r="W157" s="44">
        <v>2.91</v>
      </c>
      <c r="X157" s="51">
        <v>121819</v>
      </c>
      <c r="Y157" s="51">
        <v>41924</v>
      </c>
      <c r="Z157" s="44">
        <v>2.16</v>
      </c>
      <c r="AA157" s="51">
        <v>108224</v>
      </c>
      <c r="AB157" s="51">
        <v>50110</v>
      </c>
      <c r="AC157" s="43">
        <v>1.53</v>
      </c>
      <c r="AD157" s="53">
        <v>358793</v>
      </c>
      <c r="AE157" s="53">
        <v>235224</v>
      </c>
      <c r="AF157" s="27"/>
    </row>
    <row r="158" spans="1:32" ht="10.5" customHeight="1" x14ac:dyDescent="0.15">
      <c r="A158" s="23" t="s">
        <v>108</v>
      </c>
      <c r="B158" s="54">
        <v>4</v>
      </c>
      <c r="C158" s="25">
        <v>141726</v>
      </c>
      <c r="D158" s="25">
        <v>445073</v>
      </c>
      <c r="E158" s="25">
        <v>443764</v>
      </c>
      <c r="F158" s="25">
        <v>443764</v>
      </c>
      <c r="G158" s="25">
        <v>1771575</v>
      </c>
      <c r="H158" s="26">
        <v>0.25</v>
      </c>
      <c r="I158" s="26">
        <v>0.25</v>
      </c>
      <c r="J158" s="26">
        <v>0.251</v>
      </c>
      <c r="K158" s="26"/>
      <c r="L158" s="26">
        <v>7.3999999999999996E-2</v>
      </c>
      <c r="M158" s="26">
        <v>0.09</v>
      </c>
      <c r="N158" s="26">
        <v>0.112</v>
      </c>
      <c r="O158" s="26">
        <v>5.0999999999999997E-2</v>
      </c>
      <c r="P158" s="25">
        <v>8740371</v>
      </c>
      <c r="Q158" s="24">
        <v>3.63</v>
      </c>
      <c r="R158" s="25">
        <v>4244330</v>
      </c>
      <c r="S158" s="25">
        <v>1168146</v>
      </c>
      <c r="T158" s="24">
        <v>3.42</v>
      </c>
      <c r="U158" s="25">
        <v>4455601</v>
      </c>
      <c r="V158" s="25">
        <v>1303290</v>
      </c>
      <c r="W158" s="24">
        <v>3.42</v>
      </c>
      <c r="X158" s="25">
        <v>4775565</v>
      </c>
      <c r="Y158" s="25">
        <v>1397300</v>
      </c>
      <c r="Z158" s="24">
        <v>2.93</v>
      </c>
      <c r="AA158" s="25">
        <v>5205264</v>
      </c>
      <c r="AB158" s="25">
        <v>1778104</v>
      </c>
      <c r="AC158" s="43">
        <v>3.3</v>
      </c>
      <c r="AD158" s="41">
        <v>6162667</v>
      </c>
      <c r="AE158" s="41">
        <v>1869198</v>
      </c>
      <c r="AF158" s="27"/>
    </row>
    <row r="159" spans="1:32" ht="10.5" customHeight="1" x14ac:dyDescent="0.15">
      <c r="A159" s="22" t="s">
        <v>111</v>
      </c>
      <c r="B159" s="50">
        <v>4</v>
      </c>
      <c r="C159" s="51">
        <v>162091</v>
      </c>
      <c r="D159" s="51">
        <v>531794</v>
      </c>
      <c r="E159" s="51">
        <v>530486</v>
      </c>
      <c r="F159" s="51">
        <v>530486</v>
      </c>
      <c r="G159" s="51">
        <v>2026141</v>
      </c>
      <c r="H159" s="52">
        <v>0.26200000000000001</v>
      </c>
      <c r="I159" s="52">
        <v>0.26200000000000001</v>
      </c>
      <c r="J159" s="52">
        <v>0.26200000000000001</v>
      </c>
      <c r="K159" s="52"/>
      <c r="L159" s="52">
        <v>7.3999999999999996E-2</v>
      </c>
      <c r="M159" s="52">
        <v>0.09</v>
      </c>
      <c r="N159" s="52">
        <v>0.112</v>
      </c>
      <c r="O159" s="52">
        <v>5.8000000000000003E-2</v>
      </c>
      <c r="P159" s="51">
        <v>9211292</v>
      </c>
      <c r="Q159" s="44">
        <v>3.89</v>
      </c>
      <c r="R159" s="51">
        <v>4286802</v>
      </c>
      <c r="S159" s="51">
        <v>1101438</v>
      </c>
      <c r="T159" s="44">
        <v>3.68</v>
      </c>
      <c r="U159" s="51">
        <v>4510353</v>
      </c>
      <c r="V159" s="51">
        <v>1226546</v>
      </c>
      <c r="W159" s="44">
        <v>3.88</v>
      </c>
      <c r="X159" s="51">
        <v>4826203</v>
      </c>
      <c r="Y159" s="51">
        <v>1243001</v>
      </c>
      <c r="Z159" s="44">
        <v>3.28</v>
      </c>
      <c r="AA159" s="51">
        <v>5248305</v>
      </c>
      <c r="AB159" s="51">
        <v>1600084</v>
      </c>
      <c r="AC159" s="43"/>
      <c r="AD159" s="53"/>
      <c r="AE159" s="53"/>
      <c r="AF159" s="27"/>
    </row>
    <row r="160" spans="1:32" ht="10.5" customHeight="1" x14ac:dyDescent="0.15">
      <c r="A160" s="23" t="s">
        <v>147</v>
      </c>
      <c r="B160" s="54">
        <v>5</v>
      </c>
      <c r="C160" s="25">
        <v>14757</v>
      </c>
      <c r="D160" s="25">
        <v>114379</v>
      </c>
      <c r="E160" s="25">
        <v>114379</v>
      </c>
      <c r="F160" s="25">
        <v>114379</v>
      </c>
      <c r="G160" s="25">
        <v>184459</v>
      </c>
      <c r="H160" s="26">
        <v>0.62</v>
      </c>
      <c r="I160" s="26">
        <v>0.62</v>
      </c>
      <c r="J160" s="26">
        <v>0.62</v>
      </c>
      <c r="K160" s="26"/>
      <c r="L160" s="26">
        <v>7.0000000000000007E-2</v>
      </c>
      <c r="M160" s="26">
        <v>8.5000000000000006E-2</v>
      </c>
      <c r="N160" s="26">
        <v>0.105</v>
      </c>
      <c r="O160" s="26">
        <v>0.20899999999999999</v>
      </c>
      <c r="P160" s="25">
        <v>547025</v>
      </c>
      <c r="Q160" s="24">
        <v>3.94</v>
      </c>
      <c r="R160" s="25">
        <v>25415</v>
      </c>
      <c r="S160" s="25">
        <v>6450</v>
      </c>
      <c r="T160" s="24">
        <v>2.92</v>
      </c>
      <c r="U160" s="25">
        <v>100805</v>
      </c>
      <c r="V160" s="25">
        <v>34519</v>
      </c>
      <c r="W160" s="24">
        <v>2.73</v>
      </c>
      <c r="X160" s="25">
        <v>112027</v>
      </c>
      <c r="Y160" s="25">
        <v>41059</v>
      </c>
      <c r="Z160" s="24">
        <v>2.83</v>
      </c>
      <c r="AA160" s="25">
        <v>224251</v>
      </c>
      <c r="AB160" s="25">
        <v>79193</v>
      </c>
      <c r="AC160" s="43">
        <v>2.66</v>
      </c>
      <c r="AD160" s="41">
        <v>347593</v>
      </c>
      <c r="AE160" s="41">
        <v>130580</v>
      </c>
      <c r="AF160" s="27"/>
    </row>
    <row r="161" spans="1:32" ht="10.5" customHeight="1" x14ac:dyDescent="0.15">
      <c r="A161" s="22" t="s">
        <v>218</v>
      </c>
      <c r="B161" s="50">
        <v>5</v>
      </c>
      <c r="C161" s="51">
        <v>1876</v>
      </c>
      <c r="D161" s="51">
        <v>13675</v>
      </c>
      <c r="E161" s="51">
        <v>13675</v>
      </c>
      <c r="F161" s="51">
        <v>13675</v>
      </c>
      <c r="G161" s="51">
        <v>23452</v>
      </c>
      <c r="H161" s="52">
        <v>0.58299999999999996</v>
      </c>
      <c r="I161" s="52">
        <v>0.58299999999999996</v>
      </c>
      <c r="J161" s="52">
        <v>0.58299999999999996</v>
      </c>
      <c r="K161" s="52"/>
      <c r="L161" s="52">
        <v>7.0000000000000007E-2</v>
      </c>
      <c r="M161" s="52">
        <v>8.5000000000000006E-2</v>
      </c>
      <c r="N161" s="52">
        <v>0.105</v>
      </c>
      <c r="O161" s="52">
        <v>0.85199999999999998</v>
      </c>
      <c r="P161" s="51">
        <v>16053</v>
      </c>
      <c r="Q161" s="44" t="s">
        <v>197</v>
      </c>
      <c r="R161" s="51" t="s">
        <v>197</v>
      </c>
      <c r="S161" s="51" t="s">
        <v>197</v>
      </c>
      <c r="T161" s="44" t="s">
        <v>197</v>
      </c>
      <c r="U161" s="51" t="s">
        <v>197</v>
      </c>
      <c r="V161" s="51" t="s">
        <v>197</v>
      </c>
      <c r="W161" s="44" t="s">
        <v>197</v>
      </c>
      <c r="X161" s="51" t="s">
        <v>197</v>
      </c>
      <c r="Y161" s="51" t="s">
        <v>197</v>
      </c>
      <c r="Z161" s="44" t="s">
        <v>197</v>
      </c>
      <c r="AA161" s="51" t="s">
        <v>197</v>
      </c>
      <c r="AB161" s="51" t="s">
        <v>197</v>
      </c>
      <c r="AC161" s="43">
        <v>3.47</v>
      </c>
      <c r="AD161" s="53">
        <v>14216</v>
      </c>
      <c r="AE161" s="53">
        <v>4098</v>
      </c>
      <c r="AF161" s="27"/>
    </row>
    <row r="162" spans="1:32" ht="10.5" customHeight="1" x14ac:dyDescent="0.15">
      <c r="A162" s="23" t="s">
        <v>99</v>
      </c>
      <c r="B162" s="54">
        <v>5</v>
      </c>
      <c r="C162" s="25">
        <v>14894</v>
      </c>
      <c r="D162" s="25">
        <v>30005</v>
      </c>
      <c r="E162" s="25">
        <v>30005</v>
      </c>
      <c r="F162" s="25">
        <v>30005</v>
      </c>
      <c r="G162" s="25">
        <v>186180</v>
      </c>
      <c r="H162" s="26">
        <v>0.161</v>
      </c>
      <c r="I162" s="26">
        <v>0.161</v>
      </c>
      <c r="J162" s="26">
        <v>0.161</v>
      </c>
      <c r="K162" s="26"/>
      <c r="L162" s="26">
        <v>7.0000000000000007E-2</v>
      </c>
      <c r="M162" s="26">
        <v>8.5000000000000006E-2</v>
      </c>
      <c r="N162" s="26">
        <v>0.105</v>
      </c>
      <c r="O162" s="26">
        <v>0.13600000000000001</v>
      </c>
      <c r="P162" s="25">
        <v>219904</v>
      </c>
      <c r="Q162" s="24">
        <v>2.2799999999999998</v>
      </c>
      <c r="R162" s="25">
        <v>25472</v>
      </c>
      <c r="S162" s="25">
        <v>11161</v>
      </c>
      <c r="T162" s="24">
        <v>2.92</v>
      </c>
      <c r="U162" s="25">
        <v>33303</v>
      </c>
      <c r="V162" s="25">
        <v>11416</v>
      </c>
      <c r="W162" s="24">
        <v>3.22</v>
      </c>
      <c r="X162" s="25">
        <v>37617</v>
      </c>
      <c r="Y162" s="25">
        <v>11691</v>
      </c>
      <c r="Z162" s="24">
        <v>3.04</v>
      </c>
      <c r="AA162" s="25">
        <v>36329</v>
      </c>
      <c r="AB162" s="25">
        <v>11937</v>
      </c>
      <c r="AC162" s="43">
        <v>1.49</v>
      </c>
      <c r="AD162" s="41">
        <v>124853</v>
      </c>
      <c r="AE162" s="41">
        <v>83953</v>
      </c>
      <c r="AF162" s="27"/>
    </row>
    <row r="163" spans="1:32" ht="10.5" customHeight="1" x14ac:dyDescent="0.15">
      <c r="A163" s="22" t="s">
        <v>18</v>
      </c>
      <c r="B163" s="50">
        <v>3</v>
      </c>
      <c r="C163" s="51">
        <v>1058112</v>
      </c>
      <c r="D163" s="51">
        <v>2438604</v>
      </c>
      <c r="E163" s="51">
        <v>2384753</v>
      </c>
      <c r="F163" s="51">
        <v>2384753</v>
      </c>
      <c r="G163" s="51">
        <v>13226405</v>
      </c>
      <c r="H163" s="52">
        <v>0.18</v>
      </c>
      <c r="I163" s="52">
        <v>0.18</v>
      </c>
      <c r="J163" s="52">
        <v>0.184</v>
      </c>
      <c r="K163" s="52"/>
      <c r="L163" s="52">
        <v>7.8E-2</v>
      </c>
      <c r="M163" s="52">
        <v>9.6000000000000002E-2</v>
      </c>
      <c r="N163" s="52">
        <v>0.12</v>
      </c>
      <c r="O163" s="52">
        <v>7.6999999999999999E-2</v>
      </c>
      <c r="P163" s="51">
        <v>31079119</v>
      </c>
      <c r="Q163" s="44">
        <v>1.7</v>
      </c>
      <c r="R163" s="51">
        <v>5823240</v>
      </c>
      <c r="S163" s="51">
        <v>3417141</v>
      </c>
      <c r="T163" s="44">
        <v>1.84</v>
      </c>
      <c r="U163" s="51">
        <v>6327666</v>
      </c>
      <c r="V163" s="51">
        <v>3436409</v>
      </c>
      <c r="W163" s="44">
        <v>1.86</v>
      </c>
      <c r="X163" s="51">
        <v>6577627</v>
      </c>
      <c r="Y163" s="51">
        <v>3536529</v>
      </c>
      <c r="Z163" s="44">
        <v>1.57</v>
      </c>
      <c r="AA163" s="51">
        <v>6561232</v>
      </c>
      <c r="AB163" s="51">
        <v>4175639</v>
      </c>
      <c r="AC163" s="43">
        <v>1.37</v>
      </c>
      <c r="AD163" s="53">
        <v>23692057</v>
      </c>
      <c r="AE163" s="53">
        <v>17298512</v>
      </c>
      <c r="AF163" s="27"/>
    </row>
    <row r="164" spans="1:32" ht="10.5" customHeight="1" x14ac:dyDescent="0.15">
      <c r="A164" s="23" t="s">
        <v>83</v>
      </c>
      <c r="B164" s="54">
        <v>3</v>
      </c>
      <c r="C164" s="25">
        <v>674487</v>
      </c>
      <c r="D164" s="25">
        <v>2127990</v>
      </c>
      <c r="E164" s="25">
        <v>2123990</v>
      </c>
      <c r="F164" s="25">
        <v>2123990</v>
      </c>
      <c r="G164" s="25">
        <v>8431085</v>
      </c>
      <c r="H164" s="26">
        <v>0.252</v>
      </c>
      <c r="I164" s="26">
        <v>0.252</v>
      </c>
      <c r="J164" s="26">
        <v>0.252</v>
      </c>
      <c r="K164" s="26"/>
      <c r="L164" s="26">
        <v>7.8E-2</v>
      </c>
      <c r="M164" s="26">
        <v>9.6000000000000002E-2</v>
      </c>
      <c r="N164" s="26">
        <v>0.12</v>
      </c>
      <c r="O164" s="26">
        <v>5.3999999999999999E-2</v>
      </c>
      <c r="P164" s="25">
        <v>39281926</v>
      </c>
      <c r="Q164" s="24">
        <v>2.4</v>
      </c>
      <c r="R164" s="25">
        <v>10903515</v>
      </c>
      <c r="S164" s="25">
        <v>4536618</v>
      </c>
      <c r="T164" s="24">
        <v>2.29</v>
      </c>
      <c r="U164" s="25">
        <v>10269216</v>
      </c>
      <c r="V164" s="25">
        <v>4474673</v>
      </c>
      <c r="W164" s="24">
        <v>2.3199999999999998</v>
      </c>
      <c r="X164" s="25">
        <v>10823333</v>
      </c>
      <c r="Y164" s="25">
        <v>4662219</v>
      </c>
      <c r="Z164" s="24">
        <v>2.1800000000000002</v>
      </c>
      <c r="AA164" s="25">
        <v>10274605</v>
      </c>
      <c r="AB164" s="25">
        <v>4710136</v>
      </c>
      <c r="AC164" s="43">
        <v>1.63</v>
      </c>
      <c r="AD164" s="41">
        <v>23026858</v>
      </c>
      <c r="AE164" s="41">
        <v>14160512</v>
      </c>
      <c r="AF164" s="27"/>
    </row>
    <row r="165" spans="1:32" ht="10.5" customHeight="1" x14ac:dyDescent="0.15">
      <c r="A165" s="22" t="s">
        <v>7</v>
      </c>
      <c r="B165" s="50">
        <v>4</v>
      </c>
      <c r="C165" s="51">
        <v>131783</v>
      </c>
      <c r="D165" s="51">
        <v>327274</v>
      </c>
      <c r="E165" s="51">
        <v>318269</v>
      </c>
      <c r="F165" s="51">
        <v>318269</v>
      </c>
      <c r="G165" s="51">
        <v>1647290</v>
      </c>
      <c r="H165" s="52">
        <v>0.193</v>
      </c>
      <c r="I165" s="52">
        <v>0.193</v>
      </c>
      <c r="J165" s="52">
        <v>0.19900000000000001</v>
      </c>
      <c r="K165" s="52"/>
      <c r="L165" s="52">
        <v>7.3999999999999996E-2</v>
      </c>
      <c r="M165" s="52">
        <v>0.09</v>
      </c>
      <c r="N165" s="52">
        <v>0.112</v>
      </c>
      <c r="O165" s="52">
        <v>8.6999999999999994E-2</v>
      </c>
      <c r="P165" s="51">
        <v>3647777</v>
      </c>
      <c r="Q165" s="44">
        <v>1.9</v>
      </c>
      <c r="R165" s="51">
        <v>547734</v>
      </c>
      <c r="S165" s="51">
        <v>288766</v>
      </c>
      <c r="T165" s="44">
        <v>1.71</v>
      </c>
      <c r="U165" s="51">
        <v>580400</v>
      </c>
      <c r="V165" s="51">
        <v>340347</v>
      </c>
      <c r="W165" s="44">
        <v>1.82</v>
      </c>
      <c r="X165" s="51">
        <v>546124</v>
      </c>
      <c r="Y165" s="51">
        <v>299286</v>
      </c>
      <c r="Z165" s="44">
        <v>1.7</v>
      </c>
      <c r="AA165" s="51">
        <v>519293</v>
      </c>
      <c r="AB165" s="51">
        <v>306220</v>
      </c>
      <c r="AC165" s="43">
        <v>1.26</v>
      </c>
      <c r="AD165" s="53">
        <v>2995187</v>
      </c>
      <c r="AE165" s="53">
        <v>2376346</v>
      </c>
      <c r="AF165" s="27"/>
    </row>
    <row r="166" spans="1:32" ht="10.5" customHeight="1" x14ac:dyDescent="0.15">
      <c r="A166" s="23" t="s">
        <v>2</v>
      </c>
      <c r="B166" s="54">
        <v>3</v>
      </c>
      <c r="C166" s="25">
        <v>1142193</v>
      </c>
      <c r="D166" s="25">
        <v>2359886</v>
      </c>
      <c r="E166" s="25">
        <v>2355294</v>
      </c>
      <c r="F166" s="25">
        <v>2355294</v>
      </c>
      <c r="G166" s="25">
        <v>14277415</v>
      </c>
      <c r="H166" s="26">
        <v>0.16500000000000001</v>
      </c>
      <c r="I166" s="26">
        <v>0.16500000000000001</v>
      </c>
      <c r="J166" s="26">
        <v>0.16500000000000001</v>
      </c>
      <c r="K166" s="26"/>
      <c r="L166" s="26">
        <v>7.8E-2</v>
      </c>
      <c r="M166" s="26">
        <v>9.6000000000000002E-2</v>
      </c>
      <c r="N166" s="26">
        <v>0.12</v>
      </c>
      <c r="O166" s="26">
        <v>6.5000000000000002E-2</v>
      </c>
      <c r="P166" s="25">
        <v>36170880</v>
      </c>
      <c r="Q166" s="24">
        <v>1.66</v>
      </c>
      <c r="R166" s="25">
        <v>7267961</v>
      </c>
      <c r="S166" s="25">
        <v>4373581</v>
      </c>
      <c r="T166" s="24">
        <v>1.56</v>
      </c>
      <c r="U166" s="25">
        <v>7415341</v>
      </c>
      <c r="V166" s="25">
        <v>4746799</v>
      </c>
      <c r="W166" s="24">
        <v>1.61</v>
      </c>
      <c r="X166" s="25">
        <v>7945253</v>
      </c>
      <c r="Y166" s="25">
        <v>4929390</v>
      </c>
      <c r="Z166" s="24">
        <v>1.52</v>
      </c>
      <c r="AA166" s="25">
        <v>7722898</v>
      </c>
      <c r="AB166" s="25">
        <v>5093739</v>
      </c>
      <c r="AC166" s="43">
        <v>1.19</v>
      </c>
      <c r="AD166" s="41">
        <v>27575196</v>
      </c>
      <c r="AE166" s="41">
        <v>23091259</v>
      </c>
      <c r="AF166" s="27"/>
    </row>
    <row r="167" spans="1:32" ht="10.5" customHeight="1" x14ac:dyDescent="0.15">
      <c r="A167" s="22" t="s">
        <v>103</v>
      </c>
      <c r="B167" s="50">
        <v>3</v>
      </c>
      <c r="C167" s="51">
        <v>1152665</v>
      </c>
      <c r="D167" s="51">
        <v>2307811</v>
      </c>
      <c r="E167" s="51">
        <v>2303219</v>
      </c>
      <c r="F167" s="51">
        <v>2303219</v>
      </c>
      <c r="G167" s="51">
        <v>14408311</v>
      </c>
      <c r="H167" s="52">
        <v>0.16</v>
      </c>
      <c r="I167" s="52">
        <v>0.16</v>
      </c>
      <c r="J167" s="52">
        <v>0.16</v>
      </c>
      <c r="K167" s="52"/>
      <c r="L167" s="52">
        <v>7.8E-2</v>
      </c>
      <c r="M167" s="52">
        <v>9.6000000000000002E-2</v>
      </c>
      <c r="N167" s="52">
        <v>0.12</v>
      </c>
      <c r="O167" s="52">
        <v>6.0999999999999999E-2</v>
      </c>
      <c r="P167" s="51">
        <v>37861935</v>
      </c>
      <c r="Q167" s="30" t="s">
        <v>204</v>
      </c>
      <c r="R167" s="55" t="s">
        <v>204</v>
      </c>
      <c r="S167" s="55" t="s">
        <v>204</v>
      </c>
      <c r="T167" s="30" t="s">
        <v>204</v>
      </c>
      <c r="U167" s="55" t="s">
        <v>204</v>
      </c>
      <c r="V167" s="55" t="s">
        <v>204</v>
      </c>
      <c r="W167" s="30" t="s">
        <v>204</v>
      </c>
      <c r="X167" s="55" t="s">
        <v>204</v>
      </c>
      <c r="Y167" s="55" t="s">
        <v>204</v>
      </c>
      <c r="Z167" s="30" t="s">
        <v>204</v>
      </c>
      <c r="AA167" s="55" t="s">
        <v>204</v>
      </c>
      <c r="AB167" s="55" t="s">
        <v>204</v>
      </c>
      <c r="AC167" s="45" t="s">
        <v>204</v>
      </c>
      <c r="AD167" s="56" t="s">
        <v>204</v>
      </c>
      <c r="AE167" s="56" t="s">
        <v>204</v>
      </c>
      <c r="AF167" s="27"/>
    </row>
    <row r="168" spans="1:32" ht="10.5" customHeight="1" x14ac:dyDescent="0.15">
      <c r="A168" s="23" t="s">
        <v>102</v>
      </c>
      <c r="B168" s="54">
        <v>3</v>
      </c>
      <c r="C168" s="25">
        <v>529384</v>
      </c>
      <c r="D168" s="25">
        <v>1549823</v>
      </c>
      <c r="E168" s="25">
        <v>1100730</v>
      </c>
      <c r="F168" s="25">
        <v>1549823</v>
      </c>
      <c r="G168" s="25">
        <v>6617303</v>
      </c>
      <c r="H168" s="26">
        <v>0.16600000000000001</v>
      </c>
      <c r="I168" s="26">
        <v>0.23400000000000001</v>
      </c>
      <c r="J168" s="26">
        <v>0.23400000000000001</v>
      </c>
      <c r="K168" s="26"/>
      <c r="L168" s="26">
        <v>7.8E-2</v>
      </c>
      <c r="M168" s="26">
        <v>9.6000000000000002E-2</v>
      </c>
      <c r="N168" s="26">
        <v>0.12</v>
      </c>
      <c r="O168" s="26">
        <v>4.9000000000000002E-2</v>
      </c>
      <c r="P168" s="25">
        <v>31935628</v>
      </c>
      <c r="Q168" s="24">
        <v>1.41</v>
      </c>
      <c r="R168" s="25">
        <v>8378541</v>
      </c>
      <c r="S168" s="25">
        <v>5932110</v>
      </c>
      <c r="T168" s="24">
        <v>1.35</v>
      </c>
      <c r="U168" s="25">
        <v>8749075</v>
      </c>
      <c r="V168" s="25">
        <v>6459337</v>
      </c>
      <c r="W168" s="24">
        <v>1.42</v>
      </c>
      <c r="X168" s="25">
        <v>8985612</v>
      </c>
      <c r="Y168" s="25">
        <v>6338578</v>
      </c>
      <c r="Z168" s="24">
        <v>1.4</v>
      </c>
      <c r="AA168" s="25">
        <v>9562662</v>
      </c>
      <c r="AB168" s="25">
        <v>6834563</v>
      </c>
      <c r="AC168" s="43">
        <v>1.1399999999999999</v>
      </c>
      <c r="AD168" s="41">
        <v>14003917</v>
      </c>
      <c r="AE168" s="41">
        <v>12276790</v>
      </c>
      <c r="AF168" s="27"/>
    </row>
    <row r="169" spans="1:32" ht="10.5" customHeight="1" x14ac:dyDescent="0.15">
      <c r="A169" s="22" t="s">
        <v>42</v>
      </c>
      <c r="B169" s="50">
        <v>4</v>
      </c>
      <c r="C169" s="51">
        <v>49518</v>
      </c>
      <c r="D169" s="51">
        <v>110707</v>
      </c>
      <c r="E169" s="51">
        <v>102907</v>
      </c>
      <c r="F169" s="51">
        <v>102907</v>
      </c>
      <c r="G169" s="51">
        <v>618980</v>
      </c>
      <c r="H169" s="52">
        <v>0.16600000000000001</v>
      </c>
      <c r="I169" s="52">
        <v>0.16600000000000001</v>
      </c>
      <c r="J169" s="52">
        <v>0.17899999999999999</v>
      </c>
      <c r="K169" s="52"/>
      <c r="L169" s="52">
        <v>7.3999999999999996E-2</v>
      </c>
      <c r="M169" s="52">
        <v>0.09</v>
      </c>
      <c r="N169" s="52">
        <v>0.112</v>
      </c>
      <c r="O169" s="52">
        <v>4.3999999999999997E-2</v>
      </c>
      <c r="P169" s="51">
        <v>2326133</v>
      </c>
      <c r="Q169" s="44">
        <v>1.52</v>
      </c>
      <c r="R169" s="51">
        <v>315874</v>
      </c>
      <c r="S169" s="51">
        <v>207861</v>
      </c>
      <c r="T169" s="44">
        <v>1.39</v>
      </c>
      <c r="U169" s="51">
        <v>312549</v>
      </c>
      <c r="V169" s="51">
        <v>224858</v>
      </c>
      <c r="W169" s="44">
        <v>1.5</v>
      </c>
      <c r="X169" s="51">
        <v>319894</v>
      </c>
      <c r="Y169" s="51">
        <v>212566</v>
      </c>
      <c r="Z169" s="44">
        <v>1.48</v>
      </c>
      <c r="AA169" s="51">
        <v>321777</v>
      </c>
      <c r="AB169" s="51">
        <v>216747</v>
      </c>
      <c r="AC169" s="43">
        <v>2.56</v>
      </c>
      <c r="AD169" s="53">
        <v>1593955</v>
      </c>
      <c r="AE169" s="53">
        <v>623798</v>
      </c>
      <c r="AF169" s="27"/>
    </row>
    <row r="170" spans="1:32" ht="10.5" customHeight="1" x14ac:dyDescent="0.15">
      <c r="A170" s="23" t="s">
        <v>124</v>
      </c>
      <c r="B170" s="54">
        <v>4</v>
      </c>
      <c r="C170" s="25">
        <v>146993</v>
      </c>
      <c r="D170" s="25">
        <v>461982</v>
      </c>
      <c r="E170" s="25">
        <v>461982</v>
      </c>
      <c r="F170" s="25">
        <v>461982</v>
      </c>
      <c r="G170" s="25">
        <v>1837408</v>
      </c>
      <c r="H170" s="26">
        <v>0.251</v>
      </c>
      <c r="I170" s="26">
        <v>0.251</v>
      </c>
      <c r="J170" s="26">
        <v>0.251</v>
      </c>
      <c r="K170" s="26"/>
      <c r="L170" s="26">
        <v>7.3999999999999996E-2</v>
      </c>
      <c r="M170" s="26">
        <v>0.09</v>
      </c>
      <c r="N170" s="26">
        <v>0.112</v>
      </c>
      <c r="O170" s="26">
        <v>8.4000000000000005E-2</v>
      </c>
      <c r="P170" s="25">
        <v>5526197</v>
      </c>
      <c r="Q170" s="24">
        <v>2.14</v>
      </c>
      <c r="R170" s="25">
        <v>1511303</v>
      </c>
      <c r="S170" s="25">
        <v>706821</v>
      </c>
      <c r="T170" s="24">
        <v>2.0499999999999998</v>
      </c>
      <c r="U170" s="25">
        <v>1574594</v>
      </c>
      <c r="V170" s="25">
        <v>767164</v>
      </c>
      <c r="W170" s="24">
        <v>2.12</v>
      </c>
      <c r="X170" s="25">
        <v>1613678</v>
      </c>
      <c r="Y170" s="25">
        <v>760232</v>
      </c>
      <c r="Z170" s="24">
        <v>1.87</v>
      </c>
      <c r="AA170" s="25">
        <v>1605575</v>
      </c>
      <c r="AB170" s="25">
        <v>857934</v>
      </c>
      <c r="AC170" s="43">
        <v>1.66</v>
      </c>
      <c r="AD170" s="41">
        <v>4046974</v>
      </c>
      <c r="AE170" s="41">
        <v>2434837</v>
      </c>
      <c r="AF170" s="27"/>
    </row>
    <row r="171" spans="1:32" ht="10.5" customHeight="1" x14ac:dyDescent="0.15">
      <c r="A171" s="22" t="s">
        <v>127</v>
      </c>
      <c r="B171" s="50">
        <v>4</v>
      </c>
      <c r="C171" s="51">
        <v>188094</v>
      </c>
      <c r="D171" s="51">
        <v>520544</v>
      </c>
      <c r="E171" s="51">
        <v>520544</v>
      </c>
      <c r="F171" s="51">
        <v>520544</v>
      </c>
      <c r="G171" s="51">
        <v>2351180</v>
      </c>
      <c r="H171" s="52">
        <v>0.221</v>
      </c>
      <c r="I171" s="52">
        <v>0.221</v>
      </c>
      <c r="J171" s="52">
        <v>0.221</v>
      </c>
      <c r="K171" s="52"/>
      <c r="L171" s="52">
        <v>7.3999999999999996E-2</v>
      </c>
      <c r="M171" s="52">
        <v>0.09</v>
      </c>
      <c r="N171" s="52">
        <v>0.112</v>
      </c>
      <c r="O171" s="52">
        <v>0.09</v>
      </c>
      <c r="P171" s="51">
        <v>5773916</v>
      </c>
      <c r="Q171" s="30" t="s">
        <v>204</v>
      </c>
      <c r="R171" s="55" t="s">
        <v>204</v>
      </c>
      <c r="S171" s="55" t="s">
        <v>204</v>
      </c>
      <c r="T171" s="30" t="s">
        <v>204</v>
      </c>
      <c r="U171" s="55" t="s">
        <v>204</v>
      </c>
      <c r="V171" s="55" t="s">
        <v>204</v>
      </c>
      <c r="W171" s="30" t="s">
        <v>204</v>
      </c>
      <c r="X171" s="55" t="s">
        <v>204</v>
      </c>
      <c r="Y171" s="55" t="s">
        <v>204</v>
      </c>
      <c r="Z171" s="30" t="s">
        <v>204</v>
      </c>
      <c r="AA171" s="55" t="s">
        <v>204</v>
      </c>
      <c r="AB171" s="55" t="s">
        <v>204</v>
      </c>
      <c r="AC171" s="45" t="s">
        <v>204</v>
      </c>
      <c r="AD171" s="56" t="s">
        <v>204</v>
      </c>
      <c r="AE171" s="56" t="s">
        <v>204</v>
      </c>
      <c r="AF171" s="27"/>
    </row>
    <row r="172" spans="1:32" ht="10.5" customHeight="1" x14ac:dyDescent="0.15">
      <c r="A172" s="23" t="s">
        <v>70</v>
      </c>
      <c r="B172" s="54">
        <v>4</v>
      </c>
      <c r="C172" s="25">
        <v>271559</v>
      </c>
      <c r="D172" s="25">
        <v>569331</v>
      </c>
      <c r="E172" s="25">
        <v>480136</v>
      </c>
      <c r="F172" s="25">
        <v>480136</v>
      </c>
      <c r="G172" s="25">
        <v>3394487</v>
      </c>
      <c r="H172" s="26">
        <v>0.14099999999999999</v>
      </c>
      <c r="I172" s="26">
        <v>0.14099999999999999</v>
      </c>
      <c r="J172" s="26">
        <v>0.16800000000000001</v>
      </c>
      <c r="K172" s="26"/>
      <c r="L172" s="26">
        <v>7.3999999999999996E-2</v>
      </c>
      <c r="M172" s="26">
        <v>0.09</v>
      </c>
      <c r="N172" s="26">
        <v>0.112</v>
      </c>
      <c r="O172" s="26">
        <v>0.08</v>
      </c>
      <c r="P172" s="25">
        <v>6008979</v>
      </c>
      <c r="Q172" s="24">
        <v>1.8</v>
      </c>
      <c r="R172" s="25">
        <v>498197</v>
      </c>
      <c r="S172" s="25">
        <v>276322</v>
      </c>
      <c r="T172" s="24">
        <v>2.0099999999999998</v>
      </c>
      <c r="U172" s="25">
        <v>481429</v>
      </c>
      <c r="V172" s="25">
        <v>239810</v>
      </c>
      <c r="W172" s="24">
        <v>1.87</v>
      </c>
      <c r="X172" s="25">
        <v>564362</v>
      </c>
      <c r="Y172" s="25">
        <v>301728</v>
      </c>
      <c r="Z172" s="24">
        <v>1.91</v>
      </c>
      <c r="AA172" s="25">
        <v>555298</v>
      </c>
      <c r="AB172" s="25">
        <v>290763</v>
      </c>
      <c r="AC172" s="43">
        <v>1.24</v>
      </c>
      <c r="AD172" s="41">
        <v>4441276</v>
      </c>
      <c r="AE172" s="41">
        <v>3584920</v>
      </c>
      <c r="AF172" s="27"/>
    </row>
    <row r="173" spans="1:32" ht="10.5" customHeight="1" x14ac:dyDescent="0.15">
      <c r="A173" s="22" t="s">
        <v>30</v>
      </c>
      <c r="B173" s="50">
        <v>3</v>
      </c>
      <c r="C173" s="51">
        <v>594742</v>
      </c>
      <c r="D173" s="51">
        <v>1333460</v>
      </c>
      <c r="E173" s="51">
        <v>1333460</v>
      </c>
      <c r="F173" s="51">
        <v>1333460</v>
      </c>
      <c r="G173" s="51">
        <v>7434275</v>
      </c>
      <c r="H173" s="52">
        <v>0.17899999999999999</v>
      </c>
      <c r="I173" s="52">
        <v>0.17899999999999999</v>
      </c>
      <c r="J173" s="52">
        <v>0.17899999999999999</v>
      </c>
      <c r="K173" s="52"/>
      <c r="L173" s="52">
        <v>7.8E-2</v>
      </c>
      <c r="M173" s="52">
        <v>9.6000000000000002E-2</v>
      </c>
      <c r="N173" s="52">
        <v>0.12</v>
      </c>
      <c r="O173" s="52">
        <v>7.1999999999999995E-2</v>
      </c>
      <c r="P173" s="51">
        <v>18463017</v>
      </c>
      <c r="Q173" s="44">
        <v>1.59</v>
      </c>
      <c r="R173" s="51">
        <v>2999711</v>
      </c>
      <c r="S173" s="51">
        <v>1886727</v>
      </c>
      <c r="T173" s="44">
        <v>1.53</v>
      </c>
      <c r="U173" s="51">
        <v>3204404</v>
      </c>
      <c r="V173" s="51">
        <v>2099535</v>
      </c>
      <c r="W173" s="44">
        <v>1.55</v>
      </c>
      <c r="X173" s="51">
        <v>3440803</v>
      </c>
      <c r="Y173" s="51">
        <v>2216705</v>
      </c>
      <c r="Z173" s="44">
        <v>1.4</v>
      </c>
      <c r="AA173" s="51">
        <v>3523806</v>
      </c>
      <c r="AB173" s="51">
        <v>2515950</v>
      </c>
      <c r="AC173" s="43">
        <v>1.37</v>
      </c>
      <c r="AD173" s="53">
        <v>13782636</v>
      </c>
      <c r="AE173" s="53">
        <v>10050963</v>
      </c>
      <c r="AF173" s="27"/>
    </row>
    <row r="174" spans="1:32" ht="10.5" customHeight="1" x14ac:dyDescent="0.15">
      <c r="A174" s="23" t="s">
        <v>31</v>
      </c>
      <c r="B174" s="54">
        <v>5</v>
      </c>
      <c r="C174" s="25">
        <v>32611</v>
      </c>
      <c r="D174" s="25">
        <v>72488</v>
      </c>
      <c r="E174" s="25">
        <v>53255</v>
      </c>
      <c r="F174" s="25">
        <v>53255</v>
      </c>
      <c r="G174" s="25">
        <v>407642</v>
      </c>
      <c r="H174" s="26">
        <v>0.13100000000000001</v>
      </c>
      <c r="I174" s="26">
        <v>0.13100000000000001</v>
      </c>
      <c r="J174" s="26">
        <v>0.17799999999999999</v>
      </c>
      <c r="K174" s="26"/>
      <c r="L174" s="26">
        <v>7.0000000000000007E-2</v>
      </c>
      <c r="M174" s="26">
        <v>8.5000000000000006E-2</v>
      </c>
      <c r="N174" s="26">
        <v>0.105</v>
      </c>
      <c r="O174" s="26">
        <v>5.3999999999999999E-2</v>
      </c>
      <c r="P174" s="25">
        <v>979336</v>
      </c>
      <c r="Q174" s="24">
        <v>1.81</v>
      </c>
      <c r="R174" s="25">
        <v>101851</v>
      </c>
      <c r="S174" s="25">
        <v>56413</v>
      </c>
      <c r="T174" s="24">
        <v>2.17</v>
      </c>
      <c r="U174" s="25">
        <v>112533</v>
      </c>
      <c r="V174" s="25">
        <v>51890</v>
      </c>
      <c r="W174" s="24">
        <v>2.1</v>
      </c>
      <c r="X174" s="25">
        <v>117922</v>
      </c>
      <c r="Y174" s="25">
        <v>56186</v>
      </c>
      <c r="Z174" s="24">
        <v>2.11</v>
      </c>
      <c r="AA174" s="25">
        <v>122477</v>
      </c>
      <c r="AB174" s="25">
        <v>58152</v>
      </c>
      <c r="AC174" s="43">
        <v>1.39</v>
      </c>
      <c r="AD174" s="41">
        <v>888548</v>
      </c>
      <c r="AE174" s="41">
        <v>639603</v>
      </c>
      <c r="AF174" s="27"/>
    </row>
    <row r="175" spans="1:32" s="35" customFormat="1" ht="12.75" customHeight="1" x14ac:dyDescent="0.15">
      <c r="A175" s="46"/>
      <c r="B175" s="46"/>
      <c r="C175" s="39"/>
      <c r="D175" s="39"/>
      <c r="E175" s="39"/>
      <c r="F175" s="39"/>
      <c r="G175" s="39"/>
      <c r="H175" s="47"/>
      <c r="I175" s="47"/>
      <c r="J175" s="47"/>
      <c r="K175" s="47"/>
      <c r="L175" s="47"/>
      <c r="M175" s="47"/>
      <c r="N175" s="47"/>
      <c r="O175" s="47"/>
      <c r="P175" s="39"/>
      <c r="Q175" s="48"/>
      <c r="R175" s="49"/>
      <c r="S175" s="49"/>
      <c r="T175" s="48"/>
      <c r="U175" s="49"/>
      <c r="V175" s="49"/>
      <c r="W175" s="48"/>
      <c r="X175" s="49"/>
      <c r="Y175" s="49"/>
      <c r="Z175" s="48"/>
      <c r="AA175" s="49"/>
      <c r="AB175" s="49"/>
      <c r="AC175" s="42"/>
      <c r="AD175" s="41"/>
      <c r="AE175" s="41"/>
    </row>
    <row r="176" spans="1:32" s="38" customFormat="1" ht="12.75" customHeight="1" x14ac:dyDescent="0.15">
      <c r="A176" s="33" t="s">
        <v>201</v>
      </c>
      <c r="B176" s="34"/>
      <c r="C176" s="34"/>
      <c r="D176" s="34"/>
      <c r="E176" s="34"/>
      <c r="F176" s="34"/>
      <c r="G176" s="34"/>
      <c r="H176" s="34"/>
      <c r="I176" s="34"/>
      <c r="J176" s="34"/>
      <c r="K176" s="35"/>
      <c r="L176" s="35"/>
      <c r="M176" s="35"/>
      <c r="N176" s="35"/>
      <c r="O176" s="35"/>
      <c r="P176" s="36"/>
      <c r="Q176" s="37"/>
      <c r="R176" s="36"/>
      <c r="S176" s="36"/>
      <c r="T176" s="37"/>
      <c r="U176" s="36"/>
      <c r="V176" s="36"/>
      <c r="W176" s="37"/>
      <c r="X176" s="36"/>
      <c r="Y176" s="36"/>
      <c r="Z176" s="37"/>
      <c r="AA176" s="36"/>
      <c r="AB176" s="36"/>
      <c r="AC176" s="36"/>
      <c r="AD176" s="36"/>
      <c r="AE176" s="36"/>
    </row>
    <row r="177" spans="1:30" ht="13" x14ac:dyDescent="0.15">
      <c r="A177" s="34" t="s">
        <v>229</v>
      </c>
      <c r="B177" s="34"/>
      <c r="C177" s="34"/>
      <c r="D177" s="34"/>
      <c r="E177" s="34"/>
      <c r="F177" s="34"/>
      <c r="G177" s="34"/>
      <c r="H177" s="34"/>
      <c r="I177" s="34"/>
      <c r="J177" s="34"/>
      <c r="K177" s="31"/>
      <c r="L177" s="35"/>
      <c r="M177" s="35"/>
      <c r="N177" s="35"/>
      <c r="O177" s="35"/>
      <c r="P177" s="36"/>
      <c r="Q177" s="32"/>
      <c r="R177" s="36"/>
      <c r="S177" s="36"/>
      <c r="T177" s="37"/>
      <c r="U177" s="36"/>
      <c r="V177" s="36"/>
      <c r="W177" s="37"/>
      <c r="X177" s="36"/>
      <c r="Y177" s="36"/>
      <c r="Z177" s="32"/>
      <c r="AA177" s="36"/>
      <c r="AB177" s="36"/>
      <c r="AC177" s="36"/>
      <c r="AD177" s="36"/>
    </row>
    <row r="178" spans="1:30" ht="13" x14ac:dyDescent="0.15">
      <c r="A178" s="34" t="s">
        <v>205</v>
      </c>
      <c r="B178" s="34"/>
      <c r="C178" s="34"/>
      <c r="D178" s="34"/>
      <c r="E178" s="34"/>
      <c r="F178" s="34"/>
      <c r="G178" s="34"/>
      <c r="H178" s="34"/>
      <c r="I178" s="34"/>
      <c r="J178" s="34"/>
      <c r="K178" s="31"/>
      <c r="L178" s="34"/>
      <c r="M178" s="34"/>
      <c r="N178" s="34"/>
      <c r="O178" s="35"/>
      <c r="P178" s="36"/>
      <c r="Q178" s="37"/>
      <c r="R178" s="36"/>
      <c r="S178" s="36"/>
      <c r="T178" s="37"/>
      <c r="U178" s="36"/>
      <c r="V178" s="36"/>
      <c r="W178" s="37"/>
      <c r="X178" s="36"/>
      <c r="Y178" s="36"/>
      <c r="Z178" s="37"/>
      <c r="AA178" s="36"/>
      <c r="AB178" s="36"/>
      <c r="AC178" s="36"/>
      <c r="AD178" s="36"/>
    </row>
  </sheetData>
  <mergeCells count="5">
    <mergeCell ref="Q5:S5"/>
    <mergeCell ref="T5:V5"/>
    <mergeCell ref="W5:Y5"/>
    <mergeCell ref="Z5:AB5"/>
    <mergeCell ref="AC5:AE5"/>
  </mergeCells>
  <phoneticPr fontId="9" type="noConversion"/>
  <pageMargins left="0.70866141732283472" right="0.70866141732283472" top="0.78740157480314965" bottom="0.78740157480314965" header="0.31496062992125984" footer="0.31496062992125984"/>
  <pageSetup paperSize="9" scale="75" fitToWidth="2" fitToHeight="0" orientation="landscape" r:id="rId1"/>
  <headerFooter>
    <oddFooter>&amp;LFINMA Key Metrics 2020&amp;R&amp;P/&amp;N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daca9e2-62d2-4fc8-b54e-0f104a8f1842">G01397326-000047</_dlc_DocId>
    <_dlc_DocIdUrl xmlns="2daca9e2-62d2-4fc8-b54e-0f104a8f1842">
      <Url>https://gdok.finma.ch/container/1781/_layouts/15/DocIdRedir.aspx?ID=G01397326-000047</Url>
      <Description>G01397326-000047</Description>
    </_dlc_DocIdUrl>
    <FinmaDocumentDate xmlns="2daca9e2-62d2-4fc8-b54e-0f104a8f1842">2021-05-15T22:00:00+00:00</FinmaDocumentDate>
    <f6ac7f7711e24d149a1ab98f6cfad432 xmlns="2daca9e2-62d2-4fc8-b54e-0f104a8f1842">
      <Terms xmlns="http://schemas.microsoft.com/office/infopath/2007/PartnerControls">
        <TermInfo xmlns="http://schemas.microsoft.com/office/infopath/2007/PartnerControls">
          <TermName xmlns="http://schemas.microsoft.com/office/infopath/2007/PartnerControls">Aktiv</TermName>
          <TermId xmlns="http://schemas.microsoft.com/office/infopath/2007/PartnerControls">7439e81f-a110-4e88-a7af-acf8d4806223</TermId>
        </TermInfo>
      </Terms>
    </f6ac7f7711e24d149a1ab98f6cfad432>
    <FinmaValidationDate xmlns="2daca9e2-62d2-4fc8-b54e-0f104a8f1842">2023-06-20T15:22:53+00:00</FinmaValidationDate>
    <FinmaCaseDescription xmlns="2daca9e2-62d2-4fc8-b54e-0f104a8f1842">Publikation Key Metrics 2022 (G01397326)</FinmaCaseDescription>
    <FinmaCaseID xmlns="2daca9e2-62d2-4fc8-b54e-0f104a8f1842">G01397326</FinmaCaseID>
    <n1f5c6536ac648a38ad663cdf8bd44e6 xmlns="2daca9e2-62d2-4fc8-b54e-0f104a8f1842">
      <Terms xmlns="http://schemas.microsoft.com/office/infopath/2007/PartnerControls"/>
    </n1f5c6536ac648a38ad663cdf8bd44e6>
    <FinmaValidationResult xmlns="2daca9e2-62d2-4fc8-b54e-0f104a8f1842" xsi:nil="true"/>
    <g1c9cab47ab34847b4ac830bba5063b0 xmlns="2daca9e2-62d2-4fc8-b54e-0f104a8f1842">
      <Terms xmlns="http://schemas.microsoft.com/office/infopath/2007/PartnerControls"/>
    </g1c9cab47ab34847b4ac830bba5063b0>
    <Aktionswert xmlns="2daca9e2-62d2-4fc8-b54e-0f104a8f1842" xsi:nil="true"/>
    <h5452bf913d342ef967d06fb0970c0a5 xmlns="2daca9e2-62d2-4fc8-b54e-0f104a8f1842">
      <Terms xmlns="http://schemas.microsoft.com/office/infopath/2007/PartnerControls"/>
    </h5452bf913d342ef967d06fb0970c0a5>
    <FinmaObjectId xmlns="2daca9e2-62d2-4fc8-b54e-0f104a8f1842">F00164912</FinmaObjectId>
    <FinmaObjectName xmlns="2daca9e2-62d2-4fc8-b54e-0f104a8f1842">Eidgenössische Finanzmarktaufsicht FINMA (F00164912)</FinmaObjectName>
    <TaxCatchAll xmlns="2daca9e2-62d2-4fc8-b54e-0f104a8f1842">
      <Value>1</Value>
    </TaxCatchAll>
    <FinmaPasswordProtected xmlns="2daca9e2-62d2-4fc8-b54e-0f104a8f1842">false</FinmaPasswordProtecte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GDok Document" ma:contentTypeID="0x0101003A499141982C43AFAF241BDE541C18D5007941A2D58D6EB14083E0CE963AFF742E" ma:contentTypeVersion="31" ma:contentTypeDescription="Create a new document." ma:contentTypeScope="" ma:versionID="879f1e6e08b4e29fc46f3aa6b15efd1d">
  <xsd:schema xmlns:xsd="http://www.w3.org/2001/XMLSchema" xmlns:xs="http://www.w3.org/2001/XMLSchema" xmlns:p="http://schemas.microsoft.com/office/2006/metadata/properties" xmlns:ns2="2daca9e2-62d2-4fc8-b54e-0f104a8f1842" targetNamespace="http://schemas.microsoft.com/office/2006/metadata/properties" ma:root="true" ma:fieldsID="f18c683c875dad907562bb19974081e9" ns2:_="">
    <xsd:import namespace="2daca9e2-62d2-4fc8-b54e-0f104a8f184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FinmaDocumentDate" minOccurs="0"/>
                <xsd:element ref="ns2:FinmaCaseDescription" minOccurs="0"/>
                <xsd:element ref="ns2:f6ac7f7711e24d149a1ab98f6cfad432" minOccurs="0"/>
                <xsd:element ref="ns2:TaxCatchAll" minOccurs="0"/>
                <xsd:element ref="ns2:TaxCatchAllLabel" minOccurs="0"/>
                <xsd:element ref="ns2:FinmaCaseID" minOccurs="0"/>
                <xsd:element ref="ns2:g1c9cab47ab34847b4ac830bba5063b0" minOccurs="0"/>
                <xsd:element ref="ns2:h5452bf913d342ef967d06fb0970c0a5" minOccurs="0"/>
                <xsd:element ref="ns2:n1f5c6536ac648a38ad663cdf8bd44e6" minOccurs="0"/>
                <xsd:element ref="ns2:FinmaPasswordProtected" minOccurs="0"/>
                <xsd:element ref="ns2:FinmaValidationDate" minOccurs="0"/>
                <xsd:element ref="ns2:FinmaValidationResult" minOccurs="0"/>
                <xsd:element ref="ns2:FinmaObjectId" minOccurs="0"/>
                <xsd:element ref="ns2:FinmaObjectName" minOccurs="0"/>
                <xsd:element ref="ns2:Aktionswer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aca9e2-62d2-4fc8-b54e-0f104a8f184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FinmaDocumentDate" ma:index="11" nillable="true" ma:displayName="Dokument Datum" ma:format="DateOnly" ma:internalName="FinmaDocumentDate" ma:readOnly="false">
      <xsd:simpleType>
        <xsd:restriction base="dms:DateTime"/>
      </xsd:simpleType>
    </xsd:element>
    <xsd:element name="FinmaCaseDescription" ma:index="12" nillable="true" ma:displayName="Geschäfts Bezeichnung" ma:default="Publikation Key Metrics 2022 (G01397326)" ma:internalName="FinmaCaseDescription" ma:readOnly="false">
      <xsd:simpleType>
        <xsd:restriction base="dms:Text">
          <xsd:maxLength value="255"/>
        </xsd:restriction>
      </xsd:simpleType>
    </xsd:element>
    <xsd:element name="f6ac7f7711e24d149a1ab98f6cfad432" ma:index="13" nillable="true" ma:taxonomy="true" ma:internalName="f6ac7f7711e24d149a1ab98f6cfad432" ma:taxonomyFieldName="FinmaCaseStatus" ma:displayName="Geschäfts Status" ma:readOnly="false" ma:default="1;#Aktiv|7439e81f-a110-4e88-a7af-acf8d4806223" ma:fieldId="{f6ac7f77-11e2-4d14-9a1a-b98f6cfad432}" ma:sspId="1614e331-078d-4830-aac2-889f77d1de05" ma:termSetId="fbd22871-fe11-4cfd-b99d-0f5fc7eae3c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152a7f3-00e5-430e-b9ea-a40b69966d02}" ma:internalName="TaxCatchAll" ma:showField="CatchAllData" ma:web="2daca9e2-62d2-4fc8-b54e-0f104a8f18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0152a7f3-00e5-430e-b9ea-a40b69966d02}" ma:internalName="TaxCatchAllLabel" ma:readOnly="true" ma:showField="CatchAllDataLabel" ma:web="2daca9e2-62d2-4fc8-b54e-0f104a8f18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FinmaCaseID" ma:index="17" nillable="true" ma:displayName="Geschäfts ID" ma:default="G01397326" ma:internalName="FinmaCaseID" ma:readOnly="false">
      <xsd:simpleType>
        <xsd:restriction base="dms:Text">
          <xsd:maxLength value="255"/>
        </xsd:restriction>
      </xsd:simpleType>
    </xsd:element>
    <xsd:element name="g1c9cab47ab34847b4ac830bba5063b0" ma:index="18" nillable="true" ma:taxonomy="true" ma:internalName="g1c9cab47ab34847b4ac830bba5063b0" ma:taxonomyFieldName="FinmaCatchphrases" ma:displayName="Schlagwort" ma:readOnly="false" ma:fieldId="{01c9cab4-7ab3-4847-b4ac-830bba5063b0}" ma:taxonomyMulti="true" ma:sspId="1614e331-078d-4830-aac2-889f77d1de05" ma:termSetId="35ed469d-bfb4-4e58-83fd-01918edae14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5452bf913d342ef967d06fb0970c0a5" ma:index="20" nillable="true" ma:taxonomy="true" ma:internalName="h5452bf913d342ef967d06fb0970c0a5" ma:taxonomyFieldName="FinmaCategory" ma:displayName="Kategorie" ma:readOnly="false" ma:fieldId="{15452bf9-13d3-42ef-967d-06fb0970c0a5}" ma:sspId="1614e331-078d-4830-aac2-889f77d1de05" ma:termSetId="76a2fa96-3e9b-4d62-901d-d1895154867f" ma:anchorId="de8e377e-5092-4bcb-9739-6ef0d154a6b9" ma:open="false" ma:isKeyword="false">
      <xsd:complexType>
        <xsd:sequence>
          <xsd:element ref="pc:Terms" minOccurs="0" maxOccurs="1"/>
        </xsd:sequence>
      </xsd:complexType>
    </xsd:element>
    <xsd:element name="n1f5c6536ac648a38ad663cdf8bd44e6" ma:index="22" nillable="true" ma:taxonomy="true" ma:internalName="n1f5c6536ac648a38ad663cdf8bd44e6" ma:taxonomyFieldName="FinmaCrmEntityIDs" ma:displayName="CRM Verknüpfung IDs" ma:readOnly="false" ma:fieldId="{71f5c653-6ac6-48a3-8ad6-63cdf8bd44e6}" ma:taxonomyMulti="true" ma:sspId="1614e331-078d-4830-aac2-889f77d1de05" ma:termSetId="b8ff6f80-b66e-4c5c-b8ee-5c3414270aa3" ma:anchorId="cad5c00f-911e-4a8d-a375-8eb29955d74e" ma:open="false" ma:isKeyword="false">
      <xsd:complexType>
        <xsd:sequence>
          <xsd:element ref="pc:Terms" minOccurs="0" maxOccurs="1"/>
        </xsd:sequence>
      </xsd:complexType>
    </xsd:element>
    <xsd:element name="FinmaPasswordProtected" ma:index="24" nillable="true" ma:displayName="Passwortgeschützt" ma:internalName="FinmaPasswordProtected" ma:readOnly="false">
      <xsd:simpleType>
        <xsd:restriction base="dms:Boolean"/>
      </xsd:simpleType>
    </xsd:element>
    <xsd:element name="FinmaValidationDate" ma:index="25" nillable="true" ma:displayName="Prüfzeitpunkt" ma:format="DateTime" ma:internalName="FinmaValidationDate" ma:readOnly="false">
      <xsd:simpleType>
        <xsd:restriction base="dms:DateTime"/>
      </xsd:simpleType>
    </xsd:element>
    <xsd:element name="FinmaValidationResult" ma:index="27" nillable="true" ma:displayName="ValidationResults" ma:internalName="FinmaValidationResult" ma:readOnly="false">
      <xsd:simpleType>
        <xsd:restriction base="dms:Note">
          <xsd:maxLength value="255"/>
        </xsd:restriction>
      </xsd:simpleType>
    </xsd:element>
    <xsd:element name="FinmaObjectId" ma:index="28" nillable="true" ma:displayName="Finma Objekt ID" ma:default="F00164912" ma:internalName="FinmaObjectId" ma:readOnly="false">
      <xsd:simpleType>
        <xsd:restriction base="dms:Text">
          <xsd:maxLength value="255"/>
        </xsd:restriction>
      </xsd:simpleType>
    </xsd:element>
    <xsd:element name="FinmaObjectName" ma:index="29" nillable="true" ma:displayName="Finma Objekt Bezeichnung" ma:default="Eidgenössische Finanzmarktaufsicht FINMA (F00164912)" ma:internalName="FinmaObjectName" ma:readOnly="false">
      <xsd:simpleType>
        <xsd:restriction base="dms:Text">
          <xsd:maxLength value="255"/>
        </xsd:restriction>
      </xsd:simpleType>
    </xsd:element>
    <xsd:element name="Aktionswert" ma:index="30" nillable="true" ma:displayName="Aktionswert" ma:hidden="true" ma:internalName="Aktionswert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A10B86C-2A10-423F-9755-80DC4238C1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070294-8B0D-40E4-80A7-F0FFB86F597C}">
  <ds:schemaRefs>
    <ds:schemaRef ds:uri="http://schemas.microsoft.com/office/2006/metadata/properties"/>
    <ds:schemaRef ds:uri="http://schemas.microsoft.com/office/infopath/2007/PartnerControls"/>
    <ds:schemaRef ds:uri="2daca9e2-62d2-4fc8-b54e-0f104a8f1842"/>
  </ds:schemaRefs>
</ds:datastoreItem>
</file>

<file path=customXml/itemProps3.xml><?xml version="1.0" encoding="utf-8"?>
<ds:datastoreItem xmlns:ds="http://schemas.openxmlformats.org/officeDocument/2006/customXml" ds:itemID="{47F4FF63-AA82-4155-A784-3863C3CF1E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aca9e2-62d2-4fc8-b54e-0f104a8f18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870F95E-C7DB-4DDA-9C52-EC36BBAF9295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Tabelle1</vt:lpstr>
      <vt:lpstr>KeyMetrics2021</vt:lpstr>
      <vt:lpstr>KeyMetrics2021!Druckbereich</vt:lpstr>
      <vt:lpstr>KeyMetrics2021!Drucktitel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/>
  <cp:keywords/>
  <dc:description/>
  <cp:lastModifiedBy>Natalia Alessia Jacob</cp:lastModifiedBy>
  <cp:revision/>
  <dcterms:created xsi:type="dcterms:W3CDTF">2019-06-03T15:39:55Z</dcterms:created>
  <dcterms:modified xsi:type="dcterms:W3CDTF">2026-03-07T13:01:11Z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SP">
    <vt:lpwstr>11;#4-01.9 Verschiedenes|e6fcb4e3-30b0-4407-a767-d767f5fd947e</vt:lpwstr>
  </property>
  <property fmtid="{D5CDD505-2E9C-101B-9397-08002B2CF9AE}" pid="3" name="OU">
    <vt:lpwstr>2;#B-ANI|72e08c1a-6daa-4ddd-9fb5-697ff07cf528</vt:lpwstr>
  </property>
  <property fmtid="{D5CDD505-2E9C-101B-9397-08002B2CF9AE}" pid="4" name="ContentTypeId">
    <vt:lpwstr>0x0101003A499141982C43AFAF241BDE541C18D5007941A2D58D6EB14083E0CE963AFF742E</vt:lpwstr>
  </property>
  <property fmtid="{D5CDD505-2E9C-101B-9397-08002B2CF9AE}" pid="5" name="_dlc_DocIdItemGuid">
    <vt:lpwstr>6bdaa762-859d-4cbf-afa3-b366ccfcb2f0</vt:lpwstr>
  </property>
  <property fmtid="{D5CDD505-2E9C-101B-9397-08002B2CF9AE}" pid="6" name="FinmaCaseStatus">
    <vt:lpwstr>1;#Aktiv|7439e81f-a110-4e88-a7af-acf8d4806223</vt:lpwstr>
  </property>
  <property fmtid="{D5CDD505-2E9C-101B-9397-08002B2CF9AE}" pid="7" name="FinmaCrmEntityIDs">
    <vt:lpwstr/>
  </property>
  <property fmtid="{D5CDD505-2E9C-101B-9397-08002B2CF9AE}" pid="8" name="FinmaCatchphrases">
    <vt:lpwstr/>
  </property>
  <property fmtid="{D5CDD505-2E9C-101B-9397-08002B2CF9AE}" pid="9" name="FinmaCategory">
    <vt:lpwstr/>
  </property>
</Properties>
</file>