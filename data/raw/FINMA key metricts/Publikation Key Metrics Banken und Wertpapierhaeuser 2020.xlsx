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natalialessia/Desktop/RAW_Data_Banks/"/>
    </mc:Choice>
  </mc:AlternateContent>
  <xr:revisionPtr revIDLastSave="0" documentId="8_{B6C114FD-EE97-A942-AC6A-6D5AA4B8C9CE}" xr6:coauthVersionLast="47" xr6:coauthVersionMax="47" xr10:uidLastSave="{00000000-0000-0000-0000-000000000000}"/>
  <bookViews>
    <workbookView xWindow="12020" yWindow="500" windowWidth="16780" windowHeight="16300" xr2:uid="{00000000-000D-0000-FFFF-FFFF00000000}"/>
  </bookViews>
  <sheets>
    <sheet name="Tabelle1" sheetId="17" r:id="rId1"/>
    <sheet name="KeyMetrics2020" sheetId="16" r:id="rId2"/>
  </sheets>
  <definedNames>
    <definedName name="_xlnm.Print_Area" localSheetId="1">KeyMetrics2020!$A$1:$AB$176</definedName>
    <definedName name="_xlnm.Print_Titles" localSheetId="1">KeyMetrics2020!$6:$7</definedName>
  </definedNames>
  <calcPr calcId="191029"/>
  <pivotCaches>
    <pivotCache cacheId="1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<sst xmlns="http://schemas.openxmlformats.org/spreadsheetml/2006/main" count="437" uniqueCount="227">
  <si>
    <t>Name</t>
  </si>
  <si>
    <t>Entris Banking AG</t>
  </si>
  <si>
    <t>Valiant Bank AG</t>
  </si>
  <si>
    <t>Alpha RHEINTAL Bank AG</t>
  </si>
  <si>
    <t>Caisse d'Epargne et de Crédit Mutuel de Chermignon société coopérative</t>
  </si>
  <si>
    <t>Bezirks-Sparkasse Dielsdorf Genossenschaft</t>
  </si>
  <si>
    <t>GRB Glarner Regionalbank Genossenschaft</t>
  </si>
  <si>
    <t>Urner Kantonalbank</t>
  </si>
  <si>
    <t>Appenzeller Kantonalbank</t>
  </si>
  <si>
    <t>Basler Kantonalbank</t>
  </si>
  <si>
    <t>Banque Cantonale de Fribourg</t>
  </si>
  <si>
    <t>Banque Cantonale de Genève</t>
  </si>
  <si>
    <t>Glarner Kantonalbank</t>
  </si>
  <si>
    <t>Basellandschaftliche Kantonalbank</t>
  </si>
  <si>
    <t>Luzerner Kantonalbank AG</t>
  </si>
  <si>
    <t>Banque cantonale neuchâteloise</t>
  </si>
  <si>
    <t>Banque Cantonale du Jura SA</t>
  </si>
  <si>
    <t>Banque Cantonale du Valais</t>
  </si>
  <si>
    <t>Thurgauer Kantonalbank</t>
  </si>
  <si>
    <t>BANK ZIMMERBERG AG</t>
  </si>
  <si>
    <t>Bank EKI Genossenschaft</t>
  </si>
  <si>
    <t>Spar+Leihkasse Riggisberg AG</t>
  </si>
  <si>
    <t>Hypothekarbank Lenzburg AG</t>
  </si>
  <si>
    <t>Banca dello Stato del Cantone Ticino</t>
  </si>
  <si>
    <t>Berner Kantonalbank AG</t>
  </si>
  <si>
    <t>Graubündner Kantonalbank</t>
  </si>
  <si>
    <t>Banque Cantonale Vaudoise</t>
  </si>
  <si>
    <t>St. Galler Kantonalbank AG</t>
  </si>
  <si>
    <t>Schaffhauser Kantonalbank</t>
  </si>
  <si>
    <t>Schwyzer Kantonalbank</t>
  </si>
  <si>
    <t>Zuger Kantonalbank</t>
  </si>
  <si>
    <t>Zürcher Landbank AG</t>
  </si>
  <si>
    <t>Regiobank Solothurn AG</t>
  </si>
  <si>
    <t>Caisse d'Epargne Riviera, société coopérative</t>
  </si>
  <si>
    <t>Cornèr Banca SA</t>
  </si>
  <si>
    <t>Bank Julius Bär &amp; Co. AG</t>
  </si>
  <si>
    <t>Privatbank IHAG Zürich AG</t>
  </si>
  <si>
    <t>BSZ Genossenschaft</t>
  </si>
  <si>
    <t>Lienhardt &amp; Partner Privatbank Zürich AG</t>
  </si>
  <si>
    <t>Baloise Bank SoBa AG</t>
  </si>
  <si>
    <t>EFG Bank European Financial Group SA</t>
  </si>
  <si>
    <t>Bank Vontobel AG</t>
  </si>
  <si>
    <t>VP Bank (Schweiz) AG</t>
  </si>
  <si>
    <t>Bank J. Safra Sarasin AG</t>
  </si>
  <si>
    <t>Deutsche Bank (Suisse) SA</t>
  </si>
  <si>
    <t>J.P. Morgan (Suisse) SA</t>
  </si>
  <si>
    <t>BANCA DEL SEMPIONE SA</t>
  </si>
  <si>
    <t>DZ PRIVATBANK (Schweiz) AG</t>
  </si>
  <si>
    <t>ODDO BHF (Schweiz) AG</t>
  </si>
  <si>
    <t>Habib Bank AG Zürich</t>
  </si>
  <si>
    <t>Piguet Galland &amp; Cie SA</t>
  </si>
  <si>
    <t>BLOM BANK (Switzerland) SA</t>
  </si>
  <si>
    <t>PKB PRIVATBANK SA</t>
  </si>
  <si>
    <t>Rothschild &amp; Co Bank AG</t>
  </si>
  <si>
    <t>Ersparniskasse Rüeggisberg Genossenschaft</t>
  </si>
  <si>
    <t>SB Saanen Bank AG</t>
  </si>
  <si>
    <t>Bank Cler AG</t>
  </si>
  <si>
    <t>SELVI &amp; Cie SA</t>
  </si>
  <si>
    <t>REYL &amp; Cie SA</t>
  </si>
  <si>
    <t>BANQUE PROFIL DE GESTION SA</t>
  </si>
  <si>
    <t>Gonet &amp; Cie SA</t>
  </si>
  <si>
    <t>Banque Lombard Odier &amp; Cie SA</t>
  </si>
  <si>
    <t>Credit Europe Bank (Suisse) SA</t>
  </si>
  <si>
    <t>Banque Thaler SA</t>
  </si>
  <si>
    <t>Privatbank Bellerive AG</t>
  </si>
  <si>
    <t>Mercantil Bank (Schweiz) AG</t>
  </si>
  <si>
    <t>Bank BSU Genossenschaft</t>
  </si>
  <si>
    <t>Bank Linth LLB AG</t>
  </si>
  <si>
    <t>Migros Bank AG</t>
  </si>
  <si>
    <t>Dreyfus Söhne &amp; Cie. Aktiengesellschaft, Banquiers</t>
  </si>
  <si>
    <t>Edmond de Rothschild (Suisse) S.A.</t>
  </si>
  <si>
    <t>WIR Bank Genossenschaft</t>
  </si>
  <si>
    <t>Freie Gemeinschaftsbank Genossenschaft</t>
  </si>
  <si>
    <t>LANDOLT &amp; CIE SA</t>
  </si>
  <si>
    <t>CBH Compagnie Bancaire Helvétique SA</t>
  </si>
  <si>
    <t>Bank CIC (Schweiz) AG</t>
  </si>
  <si>
    <t>Banque de Commerce et de Placements SA</t>
  </si>
  <si>
    <t>Barclays Bank (Suisse) SA</t>
  </si>
  <si>
    <t>Schroder &amp; Co Bank AG</t>
  </si>
  <si>
    <t>EFG Bank AG</t>
  </si>
  <si>
    <t>UBL (Switzerland) AG</t>
  </si>
  <si>
    <t>UNITED MIZRAHI BANK (Switzerland) Ltd.</t>
  </si>
  <si>
    <t>Hyposwiss Private Bank Genève SA</t>
  </si>
  <si>
    <t>F. van Lanschot Bankiers (Schweiz) AG</t>
  </si>
  <si>
    <t>SAXO BANK (SCHWEIZ) AG</t>
  </si>
  <si>
    <t>CA Indosuez (Switzerland) SA</t>
  </si>
  <si>
    <t>Gazprombank (Schweiz) AG</t>
  </si>
  <si>
    <t>UNION BANCAIRE PRIVEE, UBP SA</t>
  </si>
  <si>
    <t>Frankfurter Bankgesellschaft (Schweiz) AG</t>
  </si>
  <si>
    <t>Aargauische Kantonalbank</t>
  </si>
  <si>
    <t>Banque Degroof Petercam (Suisse) SA</t>
  </si>
  <si>
    <t>Fidurhône SA</t>
  </si>
  <si>
    <t>Delen (Suisse) SA</t>
  </si>
  <si>
    <t>Scobag Privatbank AG</t>
  </si>
  <si>
    <t>SOCIETE GENERALE Private Banking (Suisse) SA</t>
  </si>
  <si>
    <t>CIM BANQUE SA</t>
  </si>
  <si>
    <t>Banque SYZ SA</t>
  </si>
  <si>
    <t>BERGOS BERENBERG AG</t>
  </si>
  <si>
    <t>Sberbank (Switzerland) AG</t>
  </si>
  <si>
    <t>Banca Popolare di Sondrio (Suisse) SA</t>
  </si>
  <si>
    <t>AP ANLAGE &amp; PRIVATBANK AG</t>
  </si>
  <si>
    <t>AXION SWISS BANK SA</t>
  </si>
  <si>
    <t>Banca Aletti &amp; C. (Suisse) SA</t>
  </si>
  <si>
    <t>Quantus AG</t>
  </si>
  <si>
    <t>BANQUE HERITAGE SA</t>
  </si>
  <si>
    <t>Tellco AG</t>
  </si>
  <si>
    <t>Quilvest (Switzerland) Ltd.</t>
  </si>
  <si>
    <t>BNP Paribas (Suisse) SA</t>
  </si>
  <si>
    <t>Vontobel Holding AG</t>
  </si>
  <si>
    <t>Valiant Holding AG</t>
  </si>
  <si>
    <t>Edmond de Rothschild Holding SA</t>
  </si>
  <si>
    <t>ISP Securities AG</t>
  </si>
  <si>
    <t>HSBC Private Bank (Suisse) SA</t>
  </si>
  <si>
    <t>Crédit Agricole next bank (Suisse) SA</t>
  </si>
  <si>
    <t>Swissquote Bank SA</t>
  </si>
  <si>
    <t>BANCA ZARATTINI &amp; CO. SA</t>
  </si>
  <si>
    <t>J. Safra Sarasin Holding AG</t>
  </si>
  <si>
    <t>Swissquote Group Holding SA</t>
  </si>
  <si>
    <t>SeeBeteiligungs AG</t>
  </si>
  <si>
    <t>Financière SYZ SA</t>
  </si>
  <si>
    <t>NPB Neue Privat Bank AG</t>
  </si>
  <si>
    <t>LGT Bank (Schweiz) AG</t>
  </si>
  <si>
    <t>Neutral Holding S.p.f. SA</t>
  </si>
  <si>
    <t>Banque Cramer &amp; Cie SA</t>
  </si>
  <si>
    <t>BANQUE PRIVEE BCP (SUISSE) SA</t>
  </si>
  <si>
    <t>Gonet SA</t>
  </si>
  <si>
    <t>Clientis AG</t>
  </si>
  <si>
    <t>Bank Sparhafen Zürich AG</t>
  </si>
  <si>
    <t>BANCA CREDINVEST SA</t>
  </si>
  <si>
    <t>FAB Private Bank (Suisse) SA</t>
  </si>
  <si>
    <t>EFG International AG</t>
  </si>
  <si>
    <t>Dukascopy Bank SA</t>
  </si>
  <si>
    <t>VZ Depotbank AG</t>
  </si>
  <si>
    <t>Bank-now AG</t>
  </si>
  <si>
    <t>HINDUJA SUISSE HOLDING SA</t>
  </si>
  <si>
    <t>VZ Holding AG</t>
  </si>
  <si>
    <t>bank zweiplus ag</t>
  </si>
  <si>
    <t>QNB (Suisse) SA</t>
  </si>
  <si>
    <t>Bank von Roll AG</t>
  </si>
  <si>
    <t>Banco Itaú (Suisse) SA</t>
  </si>
  <si>
    <t>Swiss Bankers Prepaid Services AG</t>
  </si>
  <si>
    <t>Julius Bär Gruppe AG</t>
  </si>
  <si>
    <t>Cité Gestion SA</t>
  </si>
  <si>
    <t>Helvetische Bank AG</t>
  </si>
  <si>
    <t>Cembra Money Bank AG</t>
  </si>
  <si>
    <t>PATRIMONY 1873 SA</t>
  </si>
  <si>
    <t>Banque du Léman SA</t>
  </si>
  <si>
    <t>Banque Internationale de Commerce - BRED (Suisse) SA</t>
  </si>
  <si>
    <t>ISP Group AG</t>
  </si>
  <si>
    <t>Groupe Mirabaud</t>
  </si>
  <si>
    <t>Banco Santander International SA</t>
  </si>
  <si>
    <t>Bank Avera Genossenschaft</t>
  </si>
  <si>
    <t>Intesa Sanpaolo Private Bank (Suisse) Morval SA</t>
  </si>
  <si>
    <t>One Swiss Bank SA</t>
  </si>
  <si>
    <t>Remaco Asset Management AG</t>
  </si>
  <si>
    <t>SEBA Bank AG</t>
  </si>
  <si>
    <t>Sygnum Bank AG</t>
  </si>
  <si>
    <t>1. Quartal</t>
  </si>
  <si>
    <t>2. Quartal</t>
  </si>
  <si>
    <t>3. Quartal</t>
  </si>
  <si>
    <t>4. Quartal</t>
  </si>
  <si>
    <r>
      <t xml:space="preserve">Kategorie </t>
    </r>
    <r>
      <rPr>
        <b/>
        <vertAlign val="superscript"/>
        <sz val="8"/>
        <color theme="1"/>
        <rFont val="Arial"/>
        <family val="2"/>
      </rPr>
      <t>1)</t>
    </r>
  </si>
  <si>
    <t>Anrechenbare Eigenmittel</t>
  </si>
  <si>
    <t>davon hartes Kernkapital (CET1)</t>
  </si>
  <si>
    <t>davon Kernkapital (T1)</t>
  </si>
  <si>
    <t>Risiko-gewichtete Positionen (RWA)</t>
  </si>
  <si>
    <t>CET1-Quote (CET1 in % der RWA)</t>
  </si>
  <si>
    <t>Kernkapital-quote (T1 in % der RWA)</t>
  </si>
  <si>
    <t>Gesamtkapital-
quote (in % 
der RWA)</t>
  </si>
  <si>
    <t>LCR</t>
  </si>
  <si>
    <t>Zähler der LCR (HQLA)</t>
  </si>
  <si>
    <t>Nenner der LCR (Net Outflow)</t>
  </si>
  <si>
    <t>in TCHF</t>
  </si>
  <si>
    <t>Spalte1</t>
  </si>
  <si>
    <t>Spalte2</t>
  </si>
  <si>
    <t>Spalte3</t>
  </si>
  <si>
    <t>Spalte4</t>
  </si>
  <si>
    <t>Spalte5</t>
  </si>
  <si>
    <t>Spalte6</t>
  </si>
  <si>
    <t>Spalte7</t>
  </si>
  <si>
    <t>Spalte8</t>
  </si>
  <si>
    <t>Spalte9</t>
  </si>
  <si>
    <t>Spalte10</t>
  </si>
  <si>
    <t>Spalte11</t>
  </si>
  <si>
    <t>Spalte12</t>
  </si>
  <si>
    <t>Spalte13</t>
  </si>
  <si>
    <t>Spalte14</t>
  </si>
  <si>
    <t>Spalte15</t>
  </si>
  <si>
    <t>Spalte16</t>
  </si>
  <si>
    <t>Spalte17</t>
  </si>
  <si>
    <t>Spalte18</t>
  </si>
  <si>
    <t>Spalte19</t>
  </si>
  <si>
    <t>Spalte20</t>
  </si>
  <si>
    <t>Spalte21</t>
  </si>
  <si>
    <t>Spalte22</t>
  </si>
  <si>
    <t>Spalte23</t>
  </si>
  <si>
    <t>Spalte24</t>
  </si>
  <si>
    <t>Spalte25</t>
  </si>
  <si>
    <t>Spalte26</t>
  </si>
  <si>
    <t>Spalte27</t>
  </si>
  <si>
    <t>Spalte28</t>
  </si>
  <si>
    <t>4)</t>
  </si>
  <si>
    <t>BANQUE AUDI (SUISSE) SA</t>
  </si>
  <si>
    <t>FlowBank SA</t>
  </si>
  <si>
    <t>NBK Private Bank (Switzerland) Ltd</t>
  </si>
  <si>
    <t>Quintet Private Bank (Schweiz) AG</t>
  </si>
  <si>
    <t>S.P. Hinduja Banque Privée SA</t>
  </si>
  <si>
    <t>n/a</t>
  </si>
  <si>
    <r>
      <t>1)</t>
    </r>
    <r>
      <rPr>
        <sz val="7"/>
        <rFont val="Arial"/>
        <family val="2"/>
      </rPr>
      <t xml:space="preserve"> Die Kategorie nach BankV Art. 2 Abs. 2 bezieht sich auf den Stichtag 31.12.2020.</t>
    </r>
  </si>
  <si>
    <t>FINMA-Publikation von Key Metrics 2020</t>
  </si>
  <si>
    <t>Offenlegung gemäss Rundschreiben "Offenlegung - Banken" per 31.12.2020</t>
  </si>
  <si>
    <r>
      <t>Gesamt-
engagement</t>
    </r>
    <r>
      <rPr>
        <b/>
        <vertAlign val="superscript"/>
        <sz val="8"/>
        <rFont val="Arial"/>
        <family val="2"/>
      </rPr>
      <t xml:space="preserve"> 2)</t>
    </r>
  </si>
  <si>
    <r>
      <t xml:space="preserve">Basel III Leverage
Ratio </t>
    </r>
    <r>
      <rPr>
        <b/>
        <vertAlign val="superscript"/>
        <sz val="8"/>
        <rFont val="Arial"/>
        <family val="2"/>
      </rPr>
      <t>2)</t>
    </r>
  </si>
  <si>
    <r>
      <rPr>
        <vertAlign val="superscript"/>
        <sz val="7"/>
        <rFont val="Arial"/>
        <family val="2"/>
      </rPr>
      <t xml:space="preserve">5) </t>
    </r>
    <r>
      <rPr>
        <sz val="7"/>
        <rFont val="Arial"/>
        <family val="2"/>
      </rPr>
      <t>Wertpapierhäuser melden die LCR-Liquiditätskennzahlen erstmals ab dem Stichtag 31.12.2020.</t>
    </r>
  </si>
  <si>
    <t>5)</t>
  </si>
  <si>
    <r>
      <rPr>
        <vertAlign val="superscript"/>
        <sz val="7"/>
        <rFont val="Arial"/>
        <family val="2"/>
      </rPr>
      <t xml:space="preserve">4) </t>
    </r>
    <r>
      <rPr>
        <sz val="7"/>
        <rFont val="Arial"/>
        <family val="2"/>
      </rPr>
      <t>Holding- und Gruppengesellschaften sind unter bestimmten Voraussetzungen von der Offenlegung der LCR-Liquiditätskennzahlen befreit (Rz 8 Rundschreiben 2016/1 "Offenlegung - Banken" bzw. Art. 14 Liquiditätsverordnung (LiqV) bzw. Rz 104 ff. Rundschreiben 2015/2 "Liquiditätsrisiken - Banken").</t>
    </r>
  </si>
  <si>
    <r>
      <t xml:space="preserve">Antizyklischer Puffer (AZP; in % der RWA) </t>
    </r>
    <r>
      <rPr>
        <b/>
        <vertAlign val="superscript"/>
        <sz val="8"/>
        <rFont val="Arial"/>
        <family val="2"/>
      </rPr>
      <t>3)</t>
    </r>
  </si>
  <si>
    <r>
      <t xml:space="preserve">CET1-Zielquote
inkl. AZP </t>
    </r>
    <r>
      <rPr>
        <b/>
        <vertAlign val="superscript"/>
        <sz val="8"/>
        <rFont val="Arial"/>
        <family val="2"/>
      </rPr>
      <t>3)</t>
    </r>
  </si>
  <si>
    <r>
      <t xml:space="preserve">T1-Zielquote
inkl. AZP </t>
    </r>
    <r>
      <rPr>
        <b/>
        <vertAlign val="superscript"/>
        <sz val="8"/>
        <rFont val="Arial"/>
        <family val="2"/>
      </rPr>
      <t>3)</t>
    </r>
  </si>
  <si>
    <r>
      <t xml:space="preserve">Gesamtkapital-
Zielquote inkl. AZP </t>
    </r>
    <r>
      <rPr>
        <b/>
        <vertAlign val="superscript"/>
        <sz val="8"/>
        <rFont val="Arial"/>
        <family val="2"/>
      </rPr>
      <t>3)</t>
    </r>
  </si>
  <si>
    <r>
      <rPr>
        <vertAlign val="superscript"/>
        <sz val="7"/>
        <rFont val="Arial"/>
        <family val="2"/>
      </rPr>
      <t>3)</t>
    </r>
    <r>
      <rPr>
        <sz val="7"/>
        <rFont val="Arial"/>
        <family val="2"/>
      </rPr>
      <t xml:space="preserve"> Im Zuge der COVID-19-Krise hat der Bundesrat auf Antrag der Schweizerischen Nationalbank den nationalen antizyklischen Kapitalpuffer (AZP) per 27.03.2020 bis auf weiteres deaktiviert. </t>
    </r>
  </si>
  <si>
    <t>Mindest-
eigenmittel (RWA-basiert)</t>
  </si>
  <si>
    <r>
      <rPr>
        <vertAlign val="superscript"/>
        <sz val="7"/>
        <rFont val="Arial"/>
        <family val="2"/>
      </rPr>
      <t>2)</t>
    </r>
    <r>
      <rPr>
        <sz val="7"/>
        <rFont val="Arial"/>
        <family val="2"/>
      </rPr>
      <t xml:space="preserve"> Gemäss den FINMA-Aufsichtsmitteilungen 02/2020, 03/2020 und 06/2020 wurde den Banken infolge der COVID-19-Krise unter bestimmten Bedingungen gestattet, Einlagen bei Zentralbanken vorübergehend und bis inkl. 31.12.2020 aus der Berechnung der Leverage Ratio auszuschliessen. In Einzelfällen haben Banken auf diese Erleichterung verzichtet, vgl. hierzu die durch die Banken im Einzelfall publizierten Informationen.</t>
    </r>
  </si>
  <si>
    <t>Groupe Pictet</t>
  </si>
  <si>
    <t>Zeilenbeschriftungen</t>
  </si>
  <si>
    <t>Gesamtergebnis</t>
  </si>
  <si>
    <t>Summe von Risiko-gewichtete Positionen (RWA)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</si>
</sst>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0"/>
      <color theme="1"/>
      <name val="Arial"/>
      <family val="2"/>
    </font>
    <font>
      <sz val="10"/>
      <color theme="1"/>
      <name val="Arial"/>
      <family val="2"/>
    </font>
    <font>
      <b/>
      <sz val="12"/>
      <color theme="1"/>
      <name val="Arial"/>
      <family val="2"/>
    </font>
    <font>
      <sz val="8"/>
      <color theme="1"/>
      <name val="Arial"/>
      <family val="2"/>
    </font>
    <font>
      <b/>
      <sz val="10"/>
      <name val="Arial"/>
      <family val="2"/>
    </font>
    <font>
      <b/>
      <sz val="8"/>
      <color theme="1"/>
      <name val="Arial"/>
      <family val="2"/>
    </font>
    <font>
      <sz val="10"/>
      <color indexed="8"/>
      <name val="Arial"/>
      <family val="2"/>
    </font>
    <font>
      <b/>
      <sz val="8"/>
      <name val="Arial"/>
      <family val="2"/>
    </font>
    <font>
      <b/>
      <vertAlign val="superscript"/>
      <sz val="8"/>
      <color theme="1"/>
      <name val="Arial"/>
      <family val="2"/>
    </font>
    <font>
      <u/>
      <sz val="10"/>
      <color theme="10"/>
      <name val="Arial"/>
      <family val="2"/>
    </font>
    <font>
      <vertAlign val="superscript"/>
      <sz val="7"/>
      <name val="Arial"/>
      <family val="2"/>
    </font>
    <font>
      <sz val="7"/>
      <name val="Arial"/>
      <family val="2"/>
    </font>
    <font>
      <b/>
      <vertAlign val="superscript"/>
      <sz val="8"/>
      <name val="Arial"/>
      <family val="2"/>
    </font>
    <font>
      <vertAlign val="superscript"/>
      <sz val="8"/>
      <color theme="1"/>
      <name val="Arial"/>
      <family val="2"/>
    </font>
    <font>
      <u/>
      <sz val="8"/>
      <color theme="10"/>
      <name val="Arial"/>
      <family val="2"/>
    </font>
    <font>
      <u/>
      <sz val="7"/>
      <color theme="10"/>
      <name val="Arial"/>
      <family val="2"/>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left>
      <right/>
      <top/>
      <bottom/>
      <diagonal/>
    </border>
    <border>
      <left/>
      <right style="thin">
        <color theme="4"/>
      </right>
      <top/>
      <bottom/>
      <diagonal/>
    </border>
    <border>
      <left style="thin">
        <color theme="4"/>
      </left>
      <right style="thin">
        <color theme="4"/>
      </right>
      <top style="thin">
        <color theme="4"/>
      </top>
      <bottom style="thin">
        <color theme="4"/>
      </bottom>
      <diagonal/>
    </border>
  </borders>
  <cellStyleXfs count="4">
    <xf numFmtId="0" fontId="0" fillId="0" borderId="0"/>
    <xf numFmtId="9" fontId="1" fillId="0" borderId="0" applyFont="0" applyFill="0" applyBorder="0" applyAlignment="0" applyProtection="0"/>
    <xf numFmtId="0" fontId="6" fillId="0" borderId="0"/>
    <xf numFmtId="0" fontId="9" fillId="0" borderId="0" applyNumberFormat="0" applyFill="0" applyBorder="0" applyAlignment="0" applyProtection="0"/>
  </cellStyleXfs>
  <cellXfs count="54">
    <xf numFmtId="0" fontId="0" fillId="0" borderId="0" xfId="0"/>
    <xf numFmtId="0" fontId="2" fillId="0" borderId="0" xfId="0" applyFont="1" applyAlignment="1">
      <alignment vertical="center" wrapText="1"/>
    </xf>
    <xf numFmtId="0" fontId="3" fillId="0" borderId="0" xfId="0" applyFont="1"/>
    <xf numFmtId="3" fontId="3" fillId="0" borderId="0" xfId="0" applyNumberFormat="1" applyFont="1"/>
    <xf numFmtId="164" fontId="3" fillId="0" borderId="0" xfId="0" applyNumberFormat="1" applyFont="1"/>
    <xf numFmtId="9" fontId="3" fillId="0" borderId="0" xfId="0" applyNumberFormat="1" applyFont="1"/>
    <xf numFmtId="0" fontId="4" fillId="0" borderId="0" xfId="0" applyFont="1" applyAlignment="1">
      <alignment horizontal="left" vertical="center"/>
    </xf>
    <xf numFmtId="3" fontId="3" fillId="0" borderId="0" xfId="0" applyNumberFormat="1" applyFont="1" applyAlignment="1">
      <alignment horizontal="right" vertical="center"/>
    </xf>
    <xf numFmtId="164" fontId="0" fillId="0" borderId="0" xfId="0" applyNumberFormat="1" applyAlignment="1">
      <alignment vertical="center"/>
    </xf>
    <xf numFmtId="9" fontId="0" fillId="0" borderId="0" xfId="0" applyNumberFormat="1" applyAlignment="1">
      <alignment vertical="center"/>
    </xf>
    <xf numFmtId="0" fontId="7" fillId="0" borderId="0" xfId="2" applyFont="1"/>
    <xf numFmtId="0" fontId="5" fillId="0" borderId="0" xfId="0" applyFont="1" applyAlignment="1">
      <alignment wrapText="1"/>
    </xf>
    <xf numFmtId="3" fontId="7" fillId="0" borderId="0" xfId="2" applyNumberFormat="1" applyFont="1" applyAlignment="1">
      <alignment horizontal="right" wrapText="1"/>
    </xf>
    <xf numFmtId="0" fontId="7" fillId="0" borderId="0" xfId="2" applyFont="1" applyAlignment="1">
      <alignment horizontal="right" wrapText="1"/>
    </xf>
    <xf numFmtId="164" fontId="7" fillId="0" borderId="0" xfId="1" applyNumberFormat="1" applyFont="1" applyFill="1" applyBorder="1" applyAlignment="1" applyProtection="1">
      <alignment horizontal="right" wrapText="1"/>
    </xf>
    <xf numFmtId="9" fontId="7" fillId="0" borderId="0" xfId="1" applyFont="1" applyFill="1" applyBorder="1" applyAlignment="1" applyProtection="1">
      <alignment horizontal="right" wrapText="1"/>
    </xf>
    <xf numFmtId="9" fontId="7" fillId="0" borderId="1" xfId="1" applyFont="1" applyFill="1" applyBorder="1" applyAlignment="1" applyProtection="1">
      <alignment horizontal="right" wrapText="1"/>
    </xf>
    <xf numFmtId="9" fontId="7" fillId="0" borderId="2" xfId="1" applyFont="1" applyFill="1" applyBorder="1" applyAlignment="1" applyProtection="1">
      <alignment horizontal="right" wrapText="1"/>
    </xf>
    <xf numFmtId="164" fontId="3" fillId="0" borderId="0" xfId="0" applyNumberFormat="1" applyFont="1" applyAlignment="1">
      <alignment vertical="center"/>
    </xf>
    <xf numFmtId="9" fontId="3" fillId="0" borderId="0" xfId="0" applyNumberFormat="1" applyFont="1" applyAlignment="1">
      <alignment vertical="center"/>
    </xf>
    <xf numFmtId="9" fontId="3" fillId="0" borderId="1" xfId="0" applyNumberFormat="1" applyFont="1" applyBorder="1"/>
    <xf numFmtId="3" fontId="3" fillId="0" borderId="2" xfId="0" applyNumberFormat="1" applyFont="1" applyBorder="1" applyAlignment="1">
      <alignment horizontal="right" vertical="center"/>
    </xf>
    <xf numFmtId="3" fontId="3" fillId="0" borderId="0" xfId="0" applyNumberFormat="1" applyFont="1" applyAlignment="1">
      <alignment horizontal="right"/>
    </xf>
    <xf numFmtId="9" fontId="3" fillId="0" borderId="0" xfId="0" applyNumberFormat="1" applyFont="1" applyAlignment="1">
      <alignment horizontal="right"/>
    </xf>
    <xf numFmtId="0" fontId="3" fillId="2" borderId="3" xfId="0" applyFont="1" applyFill="1" applyBorder="1"/>
    <xf numFmtId="0" fontId="3" fillId="0" borderId="3" xfId="0" applyFont="1" applyBorder="1"/>
    <xf numFmtId="9" fontId="3" fillId="0" borderId="3" xfId="0" applyNumberFormat="1" applyFont="1" applyBorder="1" applyAlignment="1">
      <alignment horizontal="right"/>
    </xf>
    <xf numFmtId="3" fontId="3" fillId="0" borderId="3" xfId="0" applyNumberFormat="1" applyFont="1" applyBorder="1" applyAlignment="1">
      <alignment horizontal="right"/>
    </xf>
    <xf numFmtId="9" fontId="5" fillId="0" borderId="0" xfId="0" applyNumberFormat="1" applyFont="1" applyAlignment="1">
      <alignment horizontal="center"/>
    </xf>
    <xf numFmtId="164" fontId="3" fillId="0" borderId="3" xfId="0" applyNumberFormat="1" applyFont="1" applyBorder="1" applyAlignment="1">
      <alignment horizontal="right"/>
    </xf>
    <xf numFmtId="164" fontId="3" fillId="0" borderId="0" xfId="1" applyNumberFormat="1" applyFont="1"/>
    <xf numFmtId="9" fontId="13" fillId="0" borderId="3" xfId="0" applyNumberFormat="1" applyFont="1" applyBorder="1" applyAlignment="1">
      <alignment horizontal="right"/>
    </xf>
    <xf numFmtId="3" fontId="13" fillId="0" borderId="3" xfId="0" applyNumberFormat="1" applyFont="1" applyBorder="1" applyAlignment="1">
      <alignment horizontal="right"/>
    </xf>
    <xf numFmtId="9" fontId="13" fillId="2" borderId="3" xfId="0" applyNumberFormat="1" applyFont="1" applyFill="1" applyBorder="1" applyAlignment="1">
      <alignment horizontal="right"/>
    </xf>
    <xf numFmtId="3" fontId="13" fillId="2" borderId="3" xfId="0" applyNumberFormat="1" applyFont="1" applyFill="1" applyBorder="1" applyAlignment="1">
      <alignment horizontal="right"/>
    </xf>
    <xf numFmtId="9" fontId="14" fillId="0" borderId="0" xfId="3" applyNumberFormat="1" applyFont="1" applyAlignment="1" applyProtection="1">
      <alignment horizontal="left" vertical="center"/>
    </xf>
    <xf numFmtId="0" fontId="15" fillId="0" borderId="0" xfId="3" applyFont="1" applyAlignment="1" applyProtection="1">
      <alignment horizontal="left" vertical="center"/>
    </xf>
    <xf numFmtId="0" fontId="10" fillId="0" borderId="0" xfId="0" applyFont="1" applyAlignment="1">
      <alignment horizontal="left" vertical="center"/>
    </xf>
    <xf numFmtId="0" fontId="11" fillId="0" borderId="0" xfId="0" applyFont="1" applyAlignment="1">
      <alignment horizontal="left" vertical="center"/>
    </xf>
    <xf numFmtId="164" fontId="3" fillId="0" borderId="0" xfId="0" applyNumberFormat="1" applyFont="1" applyAlignment="1">
      <alignment horizontal="left" vertical="center"/>
    </xf>
    <xf numFmtId="3" fontId="3" fillId="0" borderId="0" xfId="0" applyNumberFormat="1" applyFont="1" applyAlignment="1">
      <alignment horizontal="left" vertical="center"/>
    </xf>
    <xf numFmtId="9" fontId="3" fillId="0" borderId="0" xfId="0" applyNumberFormat="1" applyFont="1" applyAlignment="1">
      <alignment horizontal="left" vertical="center"/>
    </xf>
    <xf numFmtId="0" fontId="3" fillId="0" borderId="0" xfId="0" applyFont="1" applyAlignment="1">
      <alignment horizontal="left" vertical="center"/>
    </xf>
    <xf numFmtId="0" fontId="3" fillId="2" borderId="3" xfId="0" applyFont="1" applyFill="1" applyBorder="1" applyAlignment="1">
      <alignment horizontal="right"/>
    </xf>
    <xf numFmtId="3" fontId="3" fillId="2" borderId="3" xfId="0" applyNumberFormat="1" applyFont="1" applyFill="1" applyBorder="1" applyAlignment="1">
      <alignment horizontal="right"/>
    </xf>
    <xf numFmtId="164" fontId="3" fillId="2" borderId="3" xfId="0" applyNumberFormat="1" applyFont="1" applyFill="1" applyBorder="1" applyAlignment="1">
      <alignment horizontal="right"/>
    </xf>
    <xf numFmtId="9" fontId="3" fillId="2" borderId="3" xfId="0" applyNumberFormat="1" applyFont="1" applyFill="1" applyBorder="1" applyAlignment="1">
      <alignment horizontal="right"/>
    </xf>
    <xf numFmtId="0" fontId="3" fillId="0" borderId="3" xfId="0" applyFont="1" applyBorder="1" applyAlignment="1">
      <alignment horizontal="right"/>
    </xf>
    <xf numFmtId="9" fontId="5" fillId="0" borderId="1" xfId="0" applyNumberFormat="1" applyFont="1" applyBorder="1" applyAlignment="1">
      <alignment horizontal="center"/>
    </xf>
    <xf numFmtId="9" fontId="5" fillId="0" borderId="0" xfId="0" applyNumberFormat="1" applyFont="1" applyAlignment="1">
      <alignment horizontal="center"/>
    </xf>
    <xf numFmtId="9" fontId="5" fillId="0" borderId="2"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4">
    <cellStyle name="Link" xfId="3" builtinId="8"/>
    <cellStyle name="Prozent" xfId="1" builtinId="5"/>
    <cellStyle name="Standard" xfId="0" builtinId="0"/>
    <cellStyle name="Standard_Tabelle2" xfId="2" xr:uid="{00000000-0005-0000-0000-000003000000}"/>
  </cellStyles>
  <dxfs count="30">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164" formatCode="0.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numFmt numFmtId="3" formatCode="#,##0"/>
      <alignment horizontal="right" vertical="bottom" textRotation="0" wrapText="0" indent="0" justifyLastLine="0" shrinkToFit="0" readingOrder="0"/>
      <border outline="0">
        <left style="thin">
          <color theme="4"/>
        </left>
        <right style="thin">
          <color theme="4"/>
        </right>
      </border>
    </dxf>
    <dxf>
      <font>
        <b val="0"/>
        <i val="0"/>
        <strike val="0"/>
        <condense val="0"/>
        <extend val="0"/>
        <outline val="0"/>
        <shadow val="0"/>
        <u val="none"/>
        <vertAlign val="baseline"/>
        <sz val="8"/>
        <color theme="1"/>
        <name val="Arial"/>
        <scheme val="none"/>
      </font>
      <alignment horizontal="right" vertical="bottom" textRotation="0" wrapText="0" indent="0" justifyLastLine="0" shrinkToFit="0" readingOrder="0"/>
      <border outline="0">
        <right style="thin">
          <color theme="4"/>
        </right>
      </border>
    </dxf>
    <dxf>
      <font>
        <b val="0"/>
        <i val="0"/>
        <strike val="0"/>
        <condense val="0"/>
        <extend val="0"/>
        <outline val="0"/>
        <shadow val="0"/>
        <u val="none"/>
        <vertAlign val="baseline"/>
        <sz val="8"/>
        <color theme="1"/>
        <name val="Arial"/>
        <scheme val="none"/>
      </font>
      <border outline="0">
        <right style="thin">
          <color theme="4"/>
        </right>
      </border>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8</xdr:col>
      <xdr:colOff>77931</xdr:colOff>
      <xdr:row>0</xdr:row>
      <xdr:rowOff>51954</xdr:rowOff>
    </xdr:from>
    <xdr:to>
      <xdr:col>12</xdr:col>
      <xdr:colOff>165653</xdr:colOff>
      <xdr:row>4</xdr:row>
      <xdr:rowOff>8283</xdr:rowOff>
    </xdr:to>
    <xdr:sp macro="" textlink="">
      <xdr:nvSpPr>
        <xdr:cNvPr id="2" name="Textfeld 1">
          <a:extLst>
            <a:ext uri="{FF2B5EF4-FFF2-40B4-BE49-F238E27FC236}">
              <a16:creationId xmlns:a16="http://schemas.microsoft.com/office/drawing/2014/main" id="{00000000-0008-0000-0000-000002000000}"/>
            </a:ext>
          </a:extLst>
        </xdr:cNvPr>
        <xdr:cNvSpPr txBox="1"/>
      </xdr:nvSpPr>
      <xdr:spPr>
        <a:xfrm>
          <a:off x="8849214" y="51954"/>
          <a:ext cx="3119156" cy="1157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CH" sz="800" b="1" u="sng">
              <a:latin typeface="Arial" panose="020B0604020202020204" pitchFamily="34" charset="0"/>
              <a:cs typeface="Arial" panose="020B0604020202020204" pitchFamily="34" charset="0"/>
            </a:rPr>
            <a:t>Legende</a:t>
          </a:r>
        </a:p>
        <a:p>
          <a:r>
            <a:rPr lang="de-CH" sz="800">
              <a:latin typeface="Arial" panose="020B0604020202020204" pitchFamily="34" charset="0"/>
              <a:cs typeface="Arial" panose="020B0604020202020204" pitchFamily="34" charset="0"/>
            </a:rPr>
            <a:t>CET1</a:t>
          </a:r>
          <a:r>
            <a:rPr lang="de-CH" sz="800" baseline="0">
              <a:latin typeface="Arial" panose="020B0604020202020204" pitchFamily="34" charset="0"/>
              <a:cs typeface="Arial" panose="020B0604020202020204" pitchFamily="34" charset="0"/>
            </a:rPr>
            <a:t> : Hartes Kernkapital</a:t>
          </a:r>
        </a:p>
        <a:p>
          <a:r>
            <a:rPr lang="de-CH" sz="800" baseline="0">
              <a:latin typeface="Arial" panose="020B0604020202020204" pitchFamily="34" charset="0"/>
              <a:cs typeface="Arial" panose="020B0604020202020204" pitchFamily="34" charset="0"/>
            </a:rPr>
            <a:t>T1: Kernkapital (Tier 1)</a:t>
          </a:r>
        </a:p>
        <a:p>
          <a:pPr marL="0" marR="0" lvl="0" indent="0" defTabSz="914400" eaLnBrk="1" fontAlgn="auto" latinLnBrk="0" hangingPunct="1">
            <a:lnSpc>
              <a:spcPct val="100000"/>
            </a:lnSpc>
            <a:spcBef>
              <a:spcPts val="0"/>
            </a:spcBef>
            <a:spcAft>
              <a:spcPts val="0"/>
            </a:spcAft>
            <a:buClrTx/>
            <a:buSzTx/>
            <a:buFontTx/>
            <a:buNone/>
            <a:tabLst/>
            <a:defRPr/>
          </a:pPr>
          <a:r>
            <a:rPr lang="de-CH" sz="800">
              <a:solidFill>
                <a:schemeClr val="dk1"/>
              </a:solidFill>
              <a:effectLst/>
              <a:latin typeface="Arial" panose="020B0604020202020204" pitchFamily="34" charset="0"/>
              <a:ea typeface="+mn-ea"/>
              <a:cs typeface="Arial" panose="020B0604020202020204" pitchFamily="34" charset="0"/>
            </a:rPr>
            <a:t>HQLA: Total der qualitativ hochwertigen</a:t>
          </a:r>
          <a:r>
            <a:rPr lang="de-CH" sz="800" baseline="0">
              <a:solidFill>
                <a:schemeClr val="dk1"/>
              </a:solidFill>
              <a:effectLst/>
              <a:latin typeface="Arial" panose="020B0604020202020204" pitchFamily="34" charset="0"/>
              <a:ea typeface="+mn-ea"/>
              <a:cs typeface="Arial" panose="020B0604020202020204" pitchFamily="34" charset="0"/>
            </a:rPr>
            <a:t>, liquiden Aktiven</a:t>
          </a:r>
          <a:endParaRPr lang="de-CH" sz="800">
            <a:effectLst/>
            <a:latin typeface="Arial" panose="020B0604020202020204" pitchFamily="34" charset="0"/>
            <a:cs typeface="Arial" panose="020B0604020202020204" pitchFamily="34" charset="0"/>
          </a:endParaRPr>
        </a:p>
        <a:p>
          <a:pPr eaLnBrk="1" fontAlgn="auto" latinLnBrk="0" hangingPunct="1"/>
          <a:r>
            <a:rPr lang="de-CH" sz="800">
              <a:solidFill>
                <a:schemeClr val="dk1"/>
              </a:solidFill>
              <a:effectLst/>
              <a:latin typeface="Arial" panose="020B0604020202020204" pitchFamily="34" charset="0"/>
              <a:ea typeface="+mn-ea"/>
              <a:cs typeface="Arial" panose="020B0604020202020204" pitchFamily="34" charset="0"/>
            </a:rPr>
            <a:t>LCR: Quote für kurzfristige Liquidität (Liquidity Coverage Ratio)</a:t>
          </a:r>
          <a:endParaRPr lang="de-CH" sz="800">
            <a:effectLst/>
            <a:latin typeface="Arial" panose="020B0604020202020204" pitchFamily="34" charset="0"/>
            <a:cs typeface="Arial" panose="020B0604020202020204" pitchFamily="34" charset="0"/>
          </a:endParaRPr>
        </a:p>
        <a:p>
          <a:r>
            <a:rPr lang="de-CH" sz="800" baseline="0">
              <a:latin typeface="Arial" panose="020B0604020202020204" pitchFamily="34" charset="0"/>
              <a:cs typeface="Arial" panose="020B0604020202020204" pitchFamily="34" charset="0"/>
            </a:rPr>
            <a:t>Leverage Ratio: Ungewichtete Kapitalquote</a:t>
          </a:r>
        </a:p>
        <a:p>
          <a:r>
            <a:rPr lang="de-CH" sz="800" baseline="0">
              <a:latin typeface="Arial" panose="020B0604020202020204" pitchFamily="34" charset="0"/>
              <a:cs typeface="Arial" panose="020B0604020202020204" pitchFamily="34" charset="0"/>
            </a:rPr>
            <a:t>Net Outflow: Total des Nettomittelabflusses</a:t>
          </a:r>
        </a:p>
        <a:p>
          <a:r>
            <a:rPr lang="de-CH" sz="800" baseline="0">
              <a:latin typeface="Arial" panose="020B0604020202020204" pitchFamily="34" charset="0"/>
              <a:cs typeface="Arial" panose="020B0604020202020204" pitchFamily="34" charset="0"/>
            </a:rPr>
            <a:t>RWA: Risikogewichtete Aktiven</a:t>
          </a:r>
        </a:p>
        <a:p>
          <a:endParaRPr lang="de-CH" sz="800">
            <a:latin typeface="Arial" panose="020B0604020202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a Jacob" refreshedDate="46076.566201504633" createdVersion="8" refreshedVersion="8" minRefreshableVersion="3" recordCount="164" xr:uid="{70EBCB37-00D9-9F42-BFDC-8169912F5F7B}">
  <cacheSource type="worksheet">
    <worksheetSource ref="A6:AB170" sheet="KeyMetrics2020"/>
  </cacheSource>
  <cacheFields count="28">
    <cacheField name="Name" numFmtId="0">
      <sharedItems containsBlank="1" count="164">
        <m/>
        <s v="Spalte1"/>
        <s v="Aargauische Kantonalbank"/>
        <s v="Alpha RHEINTAL Bank AG"/>
        <s v="AP ANLAGE &amp; PRIVATBANK AG"/>
        <s v="Appenzeller Kantonalbank"/>
        <s v="AXION SWISS BANK SA"/>
        <s v="Baloise Bank SoBa AG"/>
        <s v="Banca Aletti &amp; C. (Suisse) SA"/>
        <s v="BANCA CREDINVEST SA"/>
        <s v="BANCA DEL SEMPIONE SA"/>
        <s v="Banca dello Stato del Cantone Ticino"/>
        <s v="Banca Popolare di Sondrio (Suisse) SA"/>
        <s v="BANCA ZARATTINI &amp; CO. SA"/>
        <s v="Banco Itaú (Suisse) SA"/>
        <s v="Banco Santander International SA"/>
        <s v="Bank Avera Genossenschaft"/>
        <s v="Bank BSU Genossenschaft"/>
        <s v="Bank CIC (Schweiz) AG"/>
        <s v="Bank Cler AG"/>
        <s v="Bank EKI Genossenschaft"/>
        <s v="Bank J. Safra Sarasin AG"/>
        <s v="Bank Julius Bär &amp; Co. AG"/>
        <s v="Bank Linth LLB AG"/>
        <s v="Bank Sparhafen Zürich AG"/>
        <s v="Bank von Roll AG"/>
        <s v="Bank Vontobel AG"/>
        <s v="BANK ZIMMERBERG AG"/>
        <s v="bank zweiplus ag"/>
        <s v="Bank-now AG"/>
        <s v="BANQUE AUDI (SUISSE) SA"/>
        <s v="Banque Cantonale de Fribourg"/>
        <s v="Banque Cantonale de Genève"/>
        <s v="Banque Cantonale du Jura SA"/>
        <s v="Banque Cantonale du Valais"/>
        <s v="Banque cantonale neuchâteloise"/>
        <s v="Banque Cantonale Vaudoise"/>
        <s v="Banque Cramer &amp; Cie SA"/>
        <s v="Banque de Commerce et de Placements SA"/>
        <s v="Banque Degroof Petercam (Suisse) SA"/>
        <s v="Banque du Léman SA"/>
        <s v="BANQUE HERITAGE SA"/>
        <s v="Banque Internationale de Commerce - BRED (Suisse) SA"/>
        <s v="Banque Lombard Odier &amp; Cie SA"/>
        <s v="BANQUE PRIVEE BCP (SUISSE) SA"/>
        <s v="BANQUE PROFIL DE GESTION SA"/>
        <s v="Banque SYZ SA"/>
        <s v="Banque Thaler SA"/>
        <s v="Barclays Bank (Suisse) SA"/>
        <s v="Basellandschaftliche Kantonalbank"/>
        <s v="Basler Kantonalbank"/>
        <s v="BERGOS BERENBERG AG"/>
        <s v="Berner Kantonalbank AG"/>
        <s v="Bezirks-Sparkasse Dielsdorf Genossenschaft"/>
        <s v="BLOM BANK (Switzerland) SA"/>
        <s v="BNP Paribas (Suisse) SA"/>
        <s v="BSZ Genossenschaft"/>
        <s v="CA Indosuez (Switzerland) SA"/>
        <s v="Caisse d'Epargne et de Crédit Mutuel de Chermignon société coopérative"/>
        <s v="Caisse d'Epargne Riviera, société coopérative"/>
        <s v="CBH Compagnie Bancaire Helvétique SA"/>
        <s v="Cembra Money Bank AG"/>
        <s v="CIM BANQUE SA"/>
        <s v="Cité Gestion SA"/>
        <s v="Clientis AG"/>
        <s v="Cornèr Banca SA"/>
        <s v="Crédit Agricole next bank (Suisse) SA"/>
        <s v="Credit Europe Bank (Suisse) SA"/>
        <s v="Delen (Suisse) SA"/>
        <s v="Deutsche Bank (Suisse) SA"/>
        <s v="Dreyfus Söhne &amp; Cie. Aktiengesellschaft, Banquiers"/>
        <s v="Dukascopy Bank SA"/>
        <s v="DZ PRIVATBANK (Schweiz) AG"/>
        <s v="Edmond de Rothschild (Suisse) S.A."/>
        <s v="Edmond de Rothschild Holding SA"/>
        <s v="EFG Bank AG"/>
        <s v="EFG Bank European Financial Group SA"/>
        <s v="EFG International AG"/>
        <s v="Entris Banking AG"/>
        <s v="Ersparniskasse Rüeggisberg Genossenschaft"/>
        <s v="F. van Lanschot Bankiers (Schweiz) AG"/>
        <s v="FAB Private Bank (Suisse) SA"/>
        <s v="Fidurhône SA"/>
        <s v="Financière SYZ SA"/>
        <s v="FlowBank SA"/>
        <s v="Frankfurter Bankgesellschaft (Schweiz) AG"/>
        <s v="Freie Gemeinschaftsbank Genossenschaft"/>
        <s v="Gazprombank (Schweiz) AG"/>
        <s v="Glarner Kantonalbank"/>
        <s v="Gonet &amp; Cie SA"/>
        <s v="Gonet SA"/>
        <s v="Graubündner Kantonalbank"/>
        <s v="GRB Glarner Regionalbank Genossenschaft"/>
        <s v="Groupe Mirabaud"/>
        <s v="Groupe Pictet"/>
        <s v="Habib Bank AG Zürich"/>
        <s v="Helvetische Bank AG"/>
        <s v="HINDUJA SUISSE HOLDING SA"/>
        <s v="HSBC Private Bank (Suisse) SA"/>
        <s v="Hyposwiss Private Bank Genève SA"/>
        <s v="Hypothekarbank Lenzburg AG"/>
        <s v="Intesa Sanpaolo Private Bank (Suisse) Morval SA"/>
        <s v="ISP Group AG"/>
        <s v="ISP Securities AG"/>
        <s v="J. Safra Sarasin Holding AG"/>
        <s v="J.P. Morgan (Suisse) SA"/>
        <s v="Julius Bär Gruppe AG"/>
        <s v="LANDOLT &amp; CIE SA"/>
        <s v="LGT Bank (Schweiz) AG"/>
        <s v="Lienhardt &amp; Partner Privatbank Zürich AG"/>
        <s v="Luzerner Kantonalbank AG"/>
        <s v="Mercantil Bank (Schweiz) AG"/>
        <s v="Migros Bank AG"/>
        <s v="NBK Private Bank (Switzerland) Ltd"/>
        <s v="Neutral Holding S.p.f. SA"/>
        <s v="NPB Neue Privat Bank AG"/>
        <s v="ODDO BHF (Schweiz) AG"/>
        <s v="One Swiss Bank SA"/>
        <s v="PATRIMONY 1873 SA"/>
        <s v="Piguet Galland &amp; Cie SA"/>
        <s v="PKB PRIVATBANK SA"/>
        <s v="Privatbank Bellerive AG"/>
        <s v="Privatbank IHAG Zürich AG"/>
        <s v="QNB (Suisse) SA"/>
        <s v="Quantus AG"/>
        <s v="Quilvest (Switzerland) Ltd."/>
        <s v="Quintet Private Bank (Schweiz) AG"/>
        <s v="Regiobank Solothurn AG"/>
        <s v="Remaco Asset Management AG"/>
        <s v="REYL &amp; Cie SA"/>
        <s v="Rothschild &amp; Co Bank AG"/>
        <s v="S.P. Hinduja Banque Privée SA"/>
        <s v="SAXO BANK (SCHWEIZ) AG"/>
        <s v="SB Saanen Bank AG"/>
        <s v="Sberbank (Switzerland) AG"/>
        <s v="Schaffhauser Kantonalbank"/>
        <s v="Schroder &amp; Co Bank AG"/>
        <s v="Schwyzer Kantonalbank"/>
        <s v="Scobag Privatbank AG"/>
        <s v="SEBA Bank AG"/>
        <s v="SeeBeteiligungs AG"/>
        <s v="SELVI &amp; Cie SA"/>
        <s v="SOCIETE GENERALE Private Banking (Suisse) SA"/>
        <s v="Spar+Leihkasse Riggisberg AG"/>
        <s v="St. Galler Kantonalbank AG"/>
        <s v="Swiss Bankers Prepaid Services AG"/>
        <s v="Swissquote Bank SA"/>
        <s v="Swissquote Group Holding SA"/>
        <s v="Sygnum Bank AG"/>
        <s v="Tellco AG"/>
        <s v="Thurgauer Kantonalbank"/>
        <s v="UBL (Switzerland) AG"/>
        <s v="UNION BANCAIRE PRIVEE, UBP SA"/>
        <s v="UNITED MIZRAHI BANK (Switzerland) Ltd."/>
        <s v="Urner Kantonalbank"/>
        <s v="Valiant Bank AG"/>
        <s v="Valiant Holding AG"/>
        <s v="Vontobel Holding AG"/>
        <s v="VP Bank (Schweiz) AG"/>
        <s v="VZ Depotbank AG"/>
        <s v="VZ Holding AG"/>
        <s v="WIR Bank Genossenschaft"/>
        <s v="Zuger Kantonalbank"/>
        <s v="Zürcher Landbank AG"/>
      </sharedItems>
    </cacheField>
    <cacheField name="Kategorie 1)" numFmtId="0">
      <sharedItems containsBlank="1" containsMixedTypes="1" containsNumber="1" containsInteger="1" minValue="3" maxValue="5"/>
    </cacheField>
    <cacheField name="Mindest-_x000a_eigenmittel (RWA-basiert)" numFmtId="3">
      <sharedItems containsMixedTypes="1" containsNumber="1" containsInteger="1" minValue="734" maxValue="1899033"/>
    </cacheField>
    <cacheField name="Anrechenbare Eigenmittel" numFmtId="3">
      <sharedItems containsMixedTypes="1" containsNumber="1" containsInteger="1" minValue="1975" maxValue="5354825"/>
    </cacheField>
    <cacheField name="davon hartes Kernkapital (CET1)" numFmtId="3">
      <sharedItems containsMixedTypes="1" containsNumber="1" containsInteger="1" minValue="1975" maxValue="5354825"/>
    </cacheField>
    <cacheField name="davon Kernkapital (T1)" numFmtId="3">
      <sharedItems containsMixedTypes="1" containsNumber="1" containsInteger="1" minValue="1975" maxValue="5354825"/>
    </cacheField>
    <cacheField name="Risiko-gewichtete Positionen (RWA)" numFmtId="3">
      <sharedItems containsMixedTypes="1" containsNumber="1" containsInteger="1" minValue="9176" maxValue="23737911"/>
    </cacheField>
    <cacheField name="CET1-Quote (CET1 in % der RWA)" numFmtId="164">
      <sharedItems containsBlank="1" containsMixedTypes="1" containsNumber="1" minValue="8.5000000000000006E-2" maxValue="0.81399999999999995"/>
    </cacheField>
    <cacheField name="Kernkapital-quote (T1 in % der RWA)" numFmtId="164">
      <sharedItems containsBlank="1" containsMixedTypes="1" containsNumber="1" minValue="0.1" maxValue="0.81399999999999995"/>
    </cacheField>
    <cacheField name="Gesamtkapital-_x000a_quote (in % _x000a_der RWA)" numFmtId="164">
      <sharedItems containsBlank="1" containsMixedTypes="1" containsNumber="1" minValue="0.11899999999999999" maxValue="0.81399999999999995"/>
    </cacheField>
    <cacheField name="Antizyklischer Puffer (AZP; in % der RWA) 3)" numFmtId="164">
      <sharedItems containsBlank="1"/>
    </cacheField>
    <cacheField name="CET1-Zielquote_x000a_inkl. AZP 3)" numFmtId="164">
      <sharedItems containsBlank="1" containsMixedTypes="1" containsNumber="1" minValue="7.0000000000000007E-2" maxValue="7.8E-2"/>
    </cacheField>
    <cacheField name="T1-Zielquote_x000a_inkl. AZP 3)" numFmtId="0">
      <sharedItems containsBlank="1" containsMixedTypes="1" containsNumber="1" minValue="8.5000000000000006E-2" maxValue="9.6000000000000002E-2"/>
    </cacheField>
    <cacheField name="Gesamtkapital-_x000a_Zielquote inkl. AZP 3)" numFmtId="0">
      <sharedItems containsBlank="1" containsMixedTypes="1" containsNumber="1" minValue="0.105" maxValue="0.12"/>
    </cacheField>
    <cacheField name="Basel III Leverage_x000a_Ratio 2)" numFmtId="0">
      <sharedItems containsBlank="1" containsMixedTypes="1" containsNumber="1" minValue="3.6999999999999998E-2" maxValue="0.89700000000000002"/>
    </cacheField>
    <cacheField name="Gesamt-_x000a_engagement 2)" numFmtId="3">
      <sharedItems containsMixedTypes="1" containsNumber="1" containsInteger="1" minValue="7752" maxValue="107193819"/>
    </cacheField>
    <cacheField name="LCR" numFmtId="9">
      <sharedItems containsBlank="1" containsMixedTypes="1" containsNumber="1" minValue="1.08" maxValue="9.52"/>
    </cacheField>
    <cacheField name="Zähler der LCR (HQLA)" numFmtId="3">
      <sharedItems containsMixedTypes="1" containsNumber="1" containsInteger="1" minValue="13274" maxValue="20489044"/>
    </cacheField>
    <cacheField name="Nenner der LCR (Net Outflow)" numFmtId="3">
      <sharedItems containsMixedTypes="1" containsNumber="1" containsInteger="1" minValue="2022" maxValue="12735118"/>
    </cacheField>
    <cacheField name="LCR2" numFmtId="9">
      <sharedItems containsBlank="1" containsMixedTypes="1" containsNumber="1" minValue="1.05" maxValue="10.27"/>
    </cacheField>
    <cacheField name="Zähler der LCR (HQLA)2" numFmtId="3">
      <sharedItems containsMixedTypes="1" containsNumber="1" containsInteger="1" minValue="9734" maxValue="24736362"/>
    </cacheField>
    <cacheField name="Nenner der LCR (Net Outflow)2" numFmtId="3">
      <sharedItems containsMixedTypes="1" containsNumber="1" containsInteger="1" minValue="1532" maxValue="14060699"/>
    </cacheField>
    <cacheField name="LCR3" numFmtId="9">
      <sharedItems containsBlank="1" containsMixedTypes="1" containsNumber="1" minValue="1.05" maxValue="15.12"/>
    </cacheField>
    <cacheField name="Zähler der LCR (HQLA)3" numFmtId="3">
      <sharedItems containsMixedTypes="1" containsNumber="1" containsInteger="1" minValue="10467" maxValue="27782367"/>
    </cacheField>
    <cacheField name="Nenner der LCR (Net Outflow)3" numFmtId="3">
      <sharedItems containsMixedTypes="1" containsNumber="1" containsInteger="1" minValue="1133" maxValue="15304603"/>
    </cacheField>
    <cacheField name="LCR4" numFmtId="9">
      <sharedItems containsBlank="1" containsMixedTypes="1" containsNumber="1" minValue="0" maxValue="42.3"/>
    </cacheField>
    <cacheField name="Zähler der LCR (HQLA)4" numFmtId="3">
      <sharedItems containsMixedTypes="1" containsNumber="1" containsInteger="1" minValue="0" maxValue="27143512"/>
    </cacheField>
    <cacheField name="Nenner der LCR (Net Outflow)4" numFmtId="3">
      <sharedItems containsMixedTypes="1" containsNumber="1" containsInteger="1" minValue="106" maxValue="1510837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
  <r>
    <x v="0"/>
    <m/>
    <s v="in TCHF"/>
    <s v="in TCHF"/>
    <s v="in TCHF"/>
    <s v="in TCHF"/>
    <s v="in TCHF"/>
    <m/>
    <m/>
    <m/>
    <m/>
    <m/>
    <m/>
    <m/>
    <m/>
    <s v="in TCHF"/>
    <m/>
    <s v="in TCHF"/>
    <s v="in TCHF"/>
    <m/>
    <s v="in TCHF"/>
    <s v="in TCHF"/>
    <m/>
    <s v="in TCHF"/>
    <s v="in TCHF"/>
    <m/>
    <s v="in TCHF"/>
    <s v="in TCHF"/>
  </r>
  <r>
    <x v="1"/>
    <s v="Spalte2"/>
    <s v="Spalte3"/>
    <s v="Spalte4"/>
    <s v="Spalte5"/>
    <s v="Spalte6"/>
    <s v="Spalte7"/>
    <s v="Spalte8"/>
    <s v="Spalte9"/>
    <s v="Spalte10"/>
    <s v="Spalte11"/>
    <s v="Spalte12"/>
    <s v="Spalte13"/>
    <s v="Spalte14"/>
    <s v="Spalte15"/>
    <s v="Spalte16"/>
    <s v="Spalte17"/>
    <s v="Spalte18"/>
    <s v="Spalte19"/>
    <s v="Spalte20"/>
    <s v="Spalte21"/>
    <s v="Spalte22"/>
    <s v="Spalte23"/>
    <s v="Spalte24"/>
    <s v="Spalte25"/>
    <s v="Spalte26"/>
    <s v="Spalte27"/>
    <s v="Spalte28"/>
  </r>
  <r>
    <x v="2"/>
    <n v="3"/>
    <n v="1082679"/>
    <n v="2518973"/>
    <n v="2518973"/>
    <n v="2518973"/>
    <n v="13533490"/>
    <n v="0.186"/>
    <n v="0.186"/>
    <n v="0.186"/>
    <m/>
    <n v="7.8E-2"/>
    <n v="9.6000000000000002E-2"/>
    <n v="0.12"/>
    <n v="8.5000000000000006E-2"/>
    <n v="29486134"/>
    <n v="1.63"/>
    <n v="6661518"/>
    <n v="4084861"/>
    <n v="1.53"/>
    <n v="7278466"/>
    <n v="4743232"/>
    <n v="1.66"/>
    <n v="8197893"/>
    <n v="4928525"/>
    <n v="1.72"/>
    <n v="7731198"/>
    <n v="4496122"/>
  </r>
  <r>
    <x v="3"/>
    <n v="4"/>
    <n v="112993"/>
    <n v="217826"/>
    <n v="217826"/>
    <n v="217826"/>
    <n v="1412412"/>
    <n v="0.154"/>
    <n v="0.154"/>
    <n v="0.154"/>
    <m/>
    <n v="7.3999999999999996E-2"/>
    <n v="0.09"/>
    <n v="0.112"/>
    <n v="8.2000000000000003E-2"/>
    <n v="2669188"/>
    <n v="1.36"/>
    <n v="280278"/>
    <n v="206484"/>
    <n v="1.47"/>
    <n v="283117"/>
    <n v="192279"/>
    <n v="1.55"/>
    <n v="283093"/>
    <n v="182608"/>
    <n v="1.22"/>
    <n v="278452"/>
    <n v="228601"/>
  </r>
  <r>
    <x v="4"/>
    <n v="5"/>
    <n v="8021"/>
    <n v="24445"/>
    <n v="24445"/>
    <n v="24445"/>
    <n v="100258"/>
    <n v="0.24399999999999999"/>
    <n v="0.24399999999999999"/>
    <n v="0.24399999999999999"/>
    <m/>
    <n v="7.0000000000000007E-2"/>
    <n v="8.5000000000000006E-2"/>
    <n v="0.105"/>
    <n v="0.11700000000000001"/>
    <n v="208761"/>
    <n v="1.88"/>
    <n v="117031"/>
    <n v="62323"/>
    <n v="2.12"/>
    <n v="128811"/>
    <n v="60818"/>
    <n v="2.0699999999999998"/>
    <n v="115808"/>
    <n v="56038"/>
    <n v="1.98"/>
    <n v="99312"/>
    <n v="50165"/>
  </r>
  <r>
    <x v="5"/>
    <n v="4"/>
    <n v="128341"/>
    <n v="325508"/>
    <n v="325508"/>
    <n v="325508"/>
    <n v="1604267"/>
    <n v="0.20300000000000001"/>
    <n v="0.20300000000000001"/>
    <n v="0.20300000000000001"/>
    <m/>
    <n v="7.3999999999999996E-2"/>
    <n v="0.09"/>
    <n v="0.112"/>
    <n v="9.7000000000000003E-2"/>
    <n v="3361410"/>
    <n v="1.47"/>
    <n v="476977"/>
    <n v="325348"/>
    <n v="1.57"/>
    <n v="509133"/>
    <n v="324223"/>
    <n v="1.62"/>
    <n v="570002"/>
    <n v="351507"/>
    <n v="1.69"/>
    <n v="562630"/>
    <n v="333157"/>
  </r>
  <r>
    <x v="6"/>
    <n v="4"/>
    <n v="23037"/>
    <n v="73087"/>
    <n v="53087"/>
    <n v="73087"/>
    <n v="287960"/>
    <n v="0.184"/>
    <n v="0.254"/>
    <n v="0.254"/>
    <m/>
    <n v="7.3999999999999996E-2"/>
    <n v="0.09"/>
    <n v="0.112"/>
    <n v="6.0999999999999999E-2"/>
    <n v="1189944"/>
    <n v="3.06"/>
    <n v="330148"/>
    <n v="107926"/>
    <n v="2.85"/>
    <n v="334931"/>
    <n v="117476"/>
    <n v="3.01"/>
    <n v="372891"/>
    <n v="124050"/>
    <n v="3.82"/>
    <n v="447233"/>
    <n v="117161"/>
  </r>
  <r>
    <x v="7"/>
    <n v="4"/>
    <n v="255523"/>
    <n v="419124"/>
    <n v="369124"/>
    <n v="369124"/>
    <n v="3194042"/>
    <n v="0.11600000000000001"/>
    <n v="0.11600000000000001"/>
    <n v="0.13100000000000001"/>
    <m/>
    <n v="7.3999999999999996E-2"/>
    <n v="0.09"/>
    <n v="0.112"/>
    <n v="0.05"/>
    <n v="7421272"/>
    <n v="1.61"/>
    <n v="1265613"/>
    <n v="785171"/>
    <n v="1.62"/>
    <n v="1427515"/>
    <n v="880015"/>
    <n v="1.61"/>
    <n v="1419971"/>
    <n v="881008"/>
    <n v="1.61"/>
    <n v="1424806"/>
    <n v="885671"/>
  </r>
  <r>
    <x v="8"/>
    <n v="5"/>
    <n v="3165"/>
    <n v="29608"/>
    <n v="29608"/>
    <n v="29608"/>
    <n v="39567"/>
    <n v="0.748"/>
    <n v="0.748"/>
    <n v="0.748"/>
    <m/>
    <n v="7.0000000000000007E-2"/>
    <n v="8.5000000000000006E-2"/>
    <n v="0.105"/>
    <n v="0.251"/>
    <n v="118138"/>
    <n v="1.2"/>
    <n v="16240"/>
    <n v="13565"/>
    <n v="1.27"/>
    <n v="25016"/>
    <n v="19655"/>
    <n v="1.5"/>
    <n v="30117"/>
    <n v="20051"/>
    <n v="1.4"/>
    <n v="23210"/>
    <n v="16544"/>
  </r>
  <r>
    <x v="9"/>
    <n v="5"/>
    <n v="8030"/>
    <n v="31767"/>
    <n v="31767"/>
    <n v="31767"/>
    <n v="100370"/>
    <n v="0.316"/>
    <n v="0.316"/>
    <n v="0.316"/>
    <m/>
    <n v="7.0000000000000007E-2"/>
    <n v="8.5000000000000006E-2"/>
    <n v="0.105"/>
    <n v="6.2E-2"/>
    <n v="511380"/>
    <n v="1.71"/>
    <n v="61218"/>
    <n v="35709"/>
    <n v="1.58"/>
    <n v="65500"/>
    <n v="41586"/>
    <n v="1.45"/>
    <n v="57298"/>
    <n v="39605"/>
    <n v="2.0099999999999998"/>
    <n v="74940"/>
    <n v="37287"/>
  </r>
  <r>
    <x v="10"/>
    <n v="5"/>
    <n v="35981"/>
    <n v="126300"/>
    <n v="126300"/>
    <n v="126300"/>
    <n v="449758"/>
    <n v="0.28100000000000003"/>
    <n v="0.28100000000000003"/>
    <n v="0.28100000000000003"/>
    <m/>
    <n v="7.0000000000000007E-2"/>
    <n v="8.5000000000000006E-2"/>
    <n v="0.105"/>
    <n v="0.17399999999999999"/>
    <n v="724576"/>
    <n v="4.63"/>
    <n v="177002"/>
    <n v="38193"/>
    <n v="5.18"/>
    <n v="207631"/>
    <n v="40058"/>
    <n v="5.09"/>
    <n v="197053"/>
    <n v="38679"/>
    <n v="5.6"/>
    <n v="192209"/>
    <n v="34316"/>
  </r>
  <r>
    <x v="11"/>
    <n v="4"/>
    <n v="622064"/>
    <n v="1299893"/>
    <n v="1299893"/>
    <n v="1299893"/>
    <n v="7775801"/>
    <n v="0.16700000000000001"/>
    <n v="0.16700000000000001"/>
    <n v="0.16700000000000001"/>
    <m/>
    <n v="7.3999999999999996E-2"/>
    <n v="0.09"/>
    <n v="0.112"/>
    <n v="8.4000000000000005E-2"/>
    <n v="15536722"/>
    <n v="1.66"/>
    <n v="2350176"/>
    <n v="1415200"/>
    <n v="1.68"/>
    <n v="2815653"/>
    <n v="1674095"/>
    <n v="1.9"/>
    <n v="2899711"/>
    <n v="1528253"/>
    <n v="2"/>
    <n v="3021647"/>
    <n v="1511405"/>
  </r>
  <r>
    <x v="12"/>
    <n v="4"/>
    <n v="180607"/>
    <n v="404683"/>
    <n v="404683"/>
    <n v="404683"/>
    <n v="2257593"/>
    <n v="0.17899999999999999"/>
    <n v="0.17899999999999999"/>
    <n v="0.17899999999999999"/>
    <m/>
    <n v="7.3999999999999996E-2"/>
    <n v="0.09"/>
    <n v="0.112"/>
    <n v="7.6999999999999999E-2"/>
    <n v="5245296"/>
    <n v="1.75"/>
    <n v="742250"/>
    <n v="424935"/>
    <n v="1.87"/>
    <n v="893876"/>
    <n v="477842"/>
    <n v="1.82"/>
    <n v="885507"/>
    <n v="486406"/>
    <n v="1.85"/>
    <n v="889658"/>
    <n v="481009"/>
  </r>
  <r>
    <x v="13"/>
    <n v="5"/>
    <n v="22239"/>
    <n v="69907"/>
    <n v="69907"/>
    <n v="69907"/>
    <n v="277986"/>
    <n v="0.251"/>
    <n v="0.251"/>
    <n v="0.251"/>
    <m/>
    <n v="7.0000000000000007E-2"/>
    <n v="8.5000000000000006E-2"/>
    <n v="0.105"/>
    <n v="0.14000000000000001"/>
    <n v="498277"/>
    <n v="1.35"/>
    <n v="52547"/>
    <n v="38932"/>
    <n v="1.51"/>
    <n v="54205"/>
    <n v="35933"/>
    <n v="1.42"/>
    <n v="60189"/>
    <n v="42274"/>
    <n v="1.41"/>
    <n v="60432"/>
    <n v="42876"/>
  </r>
  <r>
    <x v="14"/>
    <n v="5"/>
    <n v="44082"/>
    <n v="210383"/>
    <n v="210383"/>
    <n v="210383"/>
    <n v="551025"/>
    <n v="0.38200000000000001"/>
    <n v="0.38200000000000001"/>
    <n v="0.38200000000000001"/>
    <m/>
    <n v="7.0000000000000007E-2"/>
    <n v="8.5000000000000006E-2"/>
    <n v="0.105"/>
    <n v="0.26100000000000001"/>
    <n v="806202"/>
    <n v="2.02"/>
    <n v="333562"/>
    <n v="165006"/>
    <n v="1.6"/>
    <n v="367233"/>
    <n v="230055"/>
    <n v="1.78"/>
    <n v="301742"/>
    <n v="169324"/>
    <n v="1.9"/>
    <n v="284009"/>
    <n v="149241"/>
  </r>
  <r>
    <x v="15"/>
    <n v="4"/>
    <n v="110549"/>
    <n v="1125089"/>
    <n v="1124319"/>
    <n v="1124319"/>
    <n v="1381860"/>
    <n v="0.81399999999999995"/>
    <n v="0.81399999999999995"/>
    <n v="0.81399999999999995"/>
    <m/>
    <n v="7.3999999999999996E-2"/>
    <n v="0.09"/>
    <n v="0.112"/>
    <n v="0.47399999999999998"/>
    <n v="2371547"/>
    <n v="1.59"/>
    <n v="942096"/>
    <n v="592703"/>
    <n v="1.6"/>
    <n v="1137333"/>
    <n v="709811"/>
    <n v="1.89"/>
    <n v="1368351"/>
    <n v="723199"/>
    <n v="2.0299999999999998"/>
    <n v="1134047"/>
    <n v="559441"/>
  </r>
  <r>
    <x v="16"/>
    <n v="4"/>
    <n v="151182"/>
    <n v="312120"/>
    <n v="210189"/>
    <n v="210189"/>
    <n v="1889776"/>
    <n v="0.111"/>
    <n v="0.111"/>
    <n v="0.16500000000000001"/>
    <m/>
    <n v="7.3999999999999996E-2"/>
    <n v="0.09"/>
    <n v="0.112"/>
    <n v="5.0999999999999997E-2"/>
    <n v="4157762"/>
    <n v="1.41"/>
    <n v="362243"/>
    <n v="256851"/>
    <n v="1.54"/>
    <n v="428362"/>
    <n v="277912"/>
    <n v="1.72"/>
    <n v="458351"/>
    <n v="265915"/>
    <n v="1.72"/>
    <n v="503846"/>
    <n v="293160"/>
  </r>
  <r>
    <x v="17"/>
    <n v="5"/>
    <n v="37932"/>
    <n v="84756"/>
    <n v="74725"/>
    <n v="74725"/>
    <n v="474148"/>
    <n v="0.158"/>
    <n v="0.158"/>
    <n v="0.17899999999999999"/>
    <m/>
    <n v="7.0000000000000007E-2"/>
    <n v="8.5000000000000006E-2"/>
    <n v="0.105"/>
    <n v="7.3999999999999996E-2"/>
    <n v="1011038"/>
    <n v="2.23"/>
    <n v="108037"/>
    <n v="48435"/>
    <n v="2.4300000000000002"/>
    <n v="109016"/>
    <n v="44889"/>
    <n v="2.16"/>
    <n v="110505"/>
    <n v="51098"/>
    <n v="2.5499999999999998"/>
    <n v="124379"/>
    <n v="48831"/>
  </r>
  <r>
    <x v="18"/>
    <n v="4"/>
    <n v="426839"/>
    <n v="684254"/>
    <n v="493506"/>
    <n v="583506"/>
    <n v="5335493"/>
    <n v="9.1999999999999998E-2"/>
    <n v="0.109"/>
    <n v="0.128"/>
    <m/>
    <n v="7.3999999999999996E-2"/>
    <n v="0.09"/>
    <n v="0.112"/>
    <n v="5.7000000000000002E-2"/>
    <n v="10253002"/>
    <n v="1.79"/>
    <n v="1256788"/>
    <n v="702296"/>
    <n v="2.4300000000000002"/>
    <n v="1549082"/>
    <n v="637971"/>
    <n v="2.44"/>
    <n v="1785296"/>
    <n v="732693"/>
    <n v="2.46"/>
    <n v="1802498"/>
    <n v="732308"/>
  </r>
  <r>
    <x v="19"/>
    <n v="3"/>
    <n v="603264"/>
    <n v="1329337"/>
    <n v="1238737"/>
    <n v="1328737"/>
    <n v="7540796"/>
    <n v="0.16400000000000001"/>
    <n v="0.17599999999999999"/>
    <n v="0.17599999999999999"/>
    <m/>
    <n v="7.8E-2"/>
    <n v="9.6000000000000002E-2"/>
    <n v="0.12"/>
    <n v="7.6999999999999999E-2"/>
    <n v="17212844"/>
    <n v="1.42"/>
    <n v="2310287"/>
    <n v="1626665"/>
    <n v="1.38"/>
    <n v="2789483"/>
    <n v="2024836"/>
    <n v="1.43"/>
    <n v="2944017"/>
    <n v="2052688"/>
    <n v="1.83"/>
    <n v="3120069"/>
    <n v="1704853"/>
  </r>
  <r>
    <x v="20"/>
    <n v="5"/>
    <n v="50079"/>
    <n v="114549"/>
    <n v="105017"/>
    <n v="105017"/>
    <n v="625983"/>
    <n v="0.16800000000000001"/>
    <n v="0.16800000000000001"/>
    <n v="0.183"/>
    <m/>
    <n v="7.0000000000000007E-2"/>
    <n v="8.5000000000000006E-2"/>
    <n v="0.105"/>
    <n v="8.5000000000000006E-2"/>
    <n v="1237757"/>
    <n v="1.31"/>
    <n v="136684"/>
    <n v="104415"/>
    <n v="1.91"/>
    <n v="178439"/>
    <n v="93329"/>
    <n v="2.19"/>
    <n v="222305"/>
    <n v="101398"/>
    <n v="2.48"/>
    <n v="255195"/>
    <n v="102790"/>
  </r>
  <r>
    <x v="21"/>
    <n v="3"/>
    <n v="809727"/>
    <n v="2875159"/>
    <n v="2875159"/>
    <n v="2875159"/>
    <n v="10121584"/>
    <n v="0.28399999999999997"/>
    <n v="0.28399999999999997"/>
    <n v="0.28399999999999997"/>
    <m/>
    <n v="7.8E-2"/>
    <n v="9.6000000000000002E-2"/>
    <n v="0.12"/>
    <n v="0.124"/>
    <n v="23115264"/>
    <n v="1.7"/>
    <n v="7286354"/>
    <n v="4276961"/>
    <n v="1.67"/>
    <n v="8312569"/>
    <n v="4984674"/>
    <n v="1.66"/>
    <n v="7513426"/>
    <n v="4513211"/>
    <n v="1.83"/>
    <n v="7301944"/>
    <n v="3988317"/>
  </r>
  <r>
    <x v="22"/>
    <n v="3"/>
    <n v="1545636"/>
    <n v="4057820"/>
    <n v="3444729"/>
    <n v="3924729"/>
    <n v="19320448"/>
    <n v="0.17799999999999999"/>
    <n v="0.20300000000000001"/>
    <n v="0.21"/>
    <m/>
    <n v="7.8E-2"/>
    <n v="9.6000000000000002E-2"/>
    <n v="0.12"/>
    <n v="4.2999999999999997E-2"/>
    <n v="92145239"/>
    <n v="1.47"/>
    <n v="15096932"/>
    <n v="10236631"/>
    <n v="1.66"/>
    <n v="21899878"/>
    <n v="13176814"/>
    <n v="1.56"/>
    <n v="21794868"/>
    <n v="14000889"/>
    <n v="1.54"/>
    <n v="20918482"/>
    <n v="13581963"/>
  </r>
  <r>
    <x v="23"/>
    <n v="4"/>
    <n v="276935"/>
    <n v="527591"/>
    <n v="527591"/>
    <n v="527591"/>
    <n v="3461687"/>
    <n v="0.152"/>
    <n v="0.152"/>
    <n v="0.152"/>
    <m/>
    <n v="7.3999999999999996E-2"/>
    <n v="0.09"/>
    <n v="0.112"/>
    <n v="7.4999999999999997E-2"/>
    <n v="7079290"/>
    <n v="1.3"/>
    <n v="1271731"/>
    <n v="980155"/>
    <n v="1.31"/>
    <n v="1498145"/>
    <n v="1145734"/>
    <n v="1.45"/>
    <n v="1582212"/>
    <n v="1094303"/>
    <n v="1.35"/>
    <n v="1585445"/>
    <n v="1174553"/>
  </r>
  <r>
    <x v="24"/>
    <n v="5"/>
    <n v="22951"/>
    <n v="49847"/>
    <n v="44424"/>
    <n v="44424"/>
    <n v="286894"/>
    <n v="0.155"/>
    <n v="0.155"/>
    <n v="0.17399999999999999"/>
    <m/>
    <n v="7.0000000000000007E-2"/>
    <n v="8.5000000000000006E-2"/>
    <n v="0.105"/>
    <n v="7.5999999999999998E-2"/>
    <n v="585352"/>
    <n v="1.31"/>
    <n v="58145"/>
    <n v="44415"/>
    <n v="1.64"/>
    <n v="70719"/>
    <n v="43112"/>
    <n v="1.67"/>
    <n v="91095"/>
    <n v="54496"/>
    <n v="1.76"/>
    <n v="84683"/>
    <n v="48214"/>
  </r>
  <r>
    <x v="25"/>
    <n v="5"/>
    <n v="5045"/>
    <n v="22424"/>
    <n v="22424"/>
    <n v="22424"/>
    <n v="63068"/>
    <n v="0.35599999999999998"/>
    <n v="0.35599999999999998"/>
    <n v="0.35599999999999998"/>
    <m/>
    <n v="7.0000000000000007E-2"/>
    <n v="8.5000000000000006E-2"/>
    <n v="0.105"/>
    <n v="8.5000000000000006E-2"/>
    <n v="265360"/>
    <n v="2.64"/>
    <n v="327610"/>
    <n v="124327"/>
    <n v="2.71"/>
    <n v="111459"/>
    <n v="41141"/>
    <n v="2.33"/>
    <n v="95123"/>
    <n v="40896"/>
    <n v="3.62"/>
    <n v="110930"/>
    <n v="30652"/>
  </r>
  <r>
    <x v="26"/>
    <n v="3"/>
    <n v="469585"/>
    <n v="1210485"/>
    <n v="1109120"/>
    <n v="1109120"/>
    <n v="5869812"/>
    <n v="0.189"/>
    <n v="0.189"/>
    <n v="0.20599999999999999"/>
    <m/>
    <n v="7.8E-2"/>
    <n v="9.6000000000000002E-2"/>
    <n v="0.12"/>
    <n v="5.5E-2"/>
    <n v="20294531"/>
    <n v="1.44"/>
    <n v="4201792"/>
    <n v="2916368"/>
    <n v="1.57"/>
    <n v="4830456"/>
    <n v="3081478"/>
    <n v="1.47"/>
    <n v="4683792"/>
    <n v="3193057"/>
    <n v="1.61"/>
    <n v="4769731"/>
    <n v="2953971"/>
  </r>
  <r>
    <x v="27"/>
    <n v="5"/>
    <n v="41876"/>
    <n v="85535"/>
    <n v="62674"/>
    <n v="62674"/>
    <n v="523445"/>
    <n v="0.12"/>
    <n v="0.12"/>
    <n v="0.16300000000000001"/>
    <m/>
    <n v="7.0000000000000007E-2"/>
    <n v="8.5000000000000006E-2"/>
    <n v="0.105"/>
    <n v="5.2999999999999999E-2"/>
    <n v="1185688"/>
    <n v="1.25"/>
    <n v="135001"/>
    <n v="107595"/>
    <n v="1.61"/>
    <n v="171925"/>
    <n v="106926"/>
    <n v="1.98"/>
    <n v="202511"/>
    <n v="102148"/>
    <n v="1.68"/>
    <n v="193211"/>
    <n v="114991"/>
  </r>
  <r>
    <x v="28"/>
    <n v="5"/>
    <n v="9096"/>
    <n v="54832"/>
    <n v="54832"/>
    <n v="54832"/>
    <n v="113704"/>
    <n v="0.48199999999999998"/>
    <n v="0.48199999999999998"/>
    <n v="0.48199999999999998"/>
    <m/>
    <n v="7.0000000000000007E-2"/>
    <n v="8.5000000000000006E-2"/>
    <n v="0.105"/>
    <n v="0.29299999999999998"/>
    <n v="187458"/>
    <n v="9.52"/>
    <n v="297016"/>
    <n v="31200"/>
    <n v="10.27"/>
    <n v="301501"/>
    <n v="29355"/>
    <n v="9.2899999999999991"/>
    <n v="335529"/>
    <n v="36113"/>
    <n v="10.14"/>
    <n v="330558"/>
    <n v="32600"/>
  </r>
  <r>
    <x v="29"/>
    <n v="5"/>
    <n v="215951"/>
    <n v="320245"/>
    <n v="230245"/>
    <n v="270245"/>
    <n v="2699383"/>
    <n v="8.5000000000000006E-2"/>
    <n v="0.1"/>
    <n v="0.11899999999999999"/>
    <m/>
    <n v="7.0000000000000007E-2"/>
    <n v="8.5000000000000006E-2"/>
    <n v="0.105"/>
    <n v="7.0000000000000007E-2"/>
    <n v="3862447"/>
    <s v="4)"/>
    <s v="4)"/>
    <s v="4)"/>
    <s v="4)"/>
    <s v="4)"/>
    <s v="4)"/>
    <s v="4)"/>
    <s v="4)"/>
    <s v="4)"/>
    <s v="4)"/>
    <s v="4)"/>
    <s v="4)"/>
  </r>
  <r>
    <x v="30"/>
    <n v="4"/>
    <n v="31963"/>
    <n v="178542"/>
    <n v="169451"/>
    <n v="169451"/>
    <n v="399541"/>
    <n v="0.42399999999999999"/>
    <n v="0.42399999999999999"/>
    <n v="0.44700000000000001"/>
    <m/>
    <n v="7.3999999999999996E-2"/>
    <n v="0.09"/>
    <n v="0.112"/>
    <n v="0.16200000000000001"/>
    <n v="1043464"/>
    <n v="7.45"/>
    <n v="613046"/>
    <n v="82284"/>
    <n v="6.46"/>
    <n v="767140"/>
    <n v="118694"/>
    <n v="7.33"/>
    <n v="725910"/>
    <n v="98987"/>
    <n v="5.38"/>
    <n v="814103"/>
    <n v="151354"/>
  </r>
  <r>
    <x v="31"/>
    <n v="3"/>
    <n v="965265"/>
    <n v="2150415"/>
    <n v="2150415"/>
    <n v="2150415"/>
    <n v="12065818"/>
    <n v="0.17799999999999999"/>
    <n v="0.17799999999999999"/>
    <n v="0.17799999999999999"/>
    <m/>
    <n v="7.8E-2"/>
    <n v="9.6000000000000002E-2"/>
    <n v="0.12"/>
    <n v="9.2999999999999999E-2"/>
    <n v="23175852"/>
    <n v="1.54"/>
    <n v="3418689"/>
    <n v="2218576"/>
    <n v="1.7"/>
    <n v="3963353"/>
    <n v="2327049"/>
    <n v="1.5"/>
    <n v="3989491"/>
    <n v="2653283"/>
    <n v="1.66"/>
    <n v="4425307"/>
    <n v="2659820"/>
  </r>
  <r>
    <x v="32"/>
    <n v="3"/>
    <n v="1014709"/>
    <n v="2048639"/>
    <n v="1682938"/>
    <n v="1907593"/>
    <n v="12683868"/>
    <n v="0.13300000000000001"/>
    <n v="0.15"/>
    <n v="0.16200000000000001"/>
    <m/>
    <n v="7.8E-2"/>
    <n v="9.6000000000000002E-2"/>
    <n v="0.12"/>
    <n v="8.2000000000000003E-2"/>
    <n v="23197006"/>
    <n v="1.52"/>
    <n v="5177828"/>
    <n v="3400167"/>
    <n v="1.76"/>
    <n v="6152956"/>
    <n v="3494417"/>
    <n v="1.77"/>
    <n v="6510589"/>
    <n v="3672387"/>
    <n v="1.77"/>
    <n v="7110293"/>
    <n v="4007700"/>
  </r>
  <r>
    <x v="33"/>
    <n v="4"/>
    <n v="124919"/>
    <n v="256993"/>
    <n v="256993"/>
    <n v="256993"/>
    <n v="1561486"/>
    <n v="0.16500000000000001"/>
    <n v="0.16500000000000001"/>
    <n v="0.16500000000000001"/>
    <m/>
    <n v="7.3999999999999996E-2"/>
    <n v="0.09"/>
    <n v="0.112"/>
    <n v="7.3999999999999996E-2"/>
    <n v="3481880"/>
    <n v="1.32"/>
    <n v="498453"/>
    <n v="377674"/>
    <n v="1.18"/>
    <n v="622804"/>
    <n v="529847"/>
    <n v="1.32"/>
    <n v="713859"/>
    <n v="538808"/>
    <n v="1.44"/>
    <n v="746890"/>
    <n v="517772"/>
  </r>
  <r>
    <x v="34"/>
    <n v="3"/>
    <n v="639541"/>
    <n v="1395192"/>
    <n v="1332903"/>
    <n v="1332903"/>
    <n v="7994263"/>
    <n v="0.16700000000000001"/>
    <n v="0.16700000000000001"/>
    <n v="0.17499999999999999"/>
    <m/>
    <n v="7.8E-2"/>
    <n v="9.6000000000000002E-2"/>
    <n v="0.12"/>
    <n v="7.6999999999999999E-2"/>
    <n v="17231876"/>
    <n v="1.31"/>
    <n v="2592096"/>
    <n v="1975834"/>
    <n v="1.24"/>
    <n v="3134778"/>
    <n v="2529179"/>
    <n v="1.31"/>
    <n v="3191528"/>
    <n v="2439514"/>
    <n v="1.38"/>
    <n v="3111046"/>
    <n v="2249946"/>
  </r>
  <r>
    <x v="35"/>
    <n v="4"/>
    <n v="384758"/>
    <n v="911071"/>
    <n v="889721"/>
    <n v="889721"/>
    <n v="4809479"/>
    <n v="0.185"/>
    <n v="0.185"/>
    <n v="0.189"/>
    <m/>
    <n v="7.3999999999999996E-2"/>
    <n v="0.09"/>
    <n v="0.112"/>
    <n v="0.09"/>
    <n v="9868137"/>
    <n v="1.31"/>
    <n v="1594383"/>
    <n v="1218530"/>
    <n v="1.41"/>
    <n v="1756161"/>
    <n v="1249755"/>
    <n v="1.49"/>
    <n v="1775785"/>
    <n v="1192847"/>
    <n v="1.55"/>
    <n v="1825468"/>
    <n v="1177588"/>
  </r>
  <r>
    <x v="36"/>
    <n v="3"/>
    <n v="1470222"/>
    <n v="3273875"/>
    <n v="3251581"/>
    <n v="3251581"/>
    <n v="18377776"/>
    <n v="0.17699999999999999"/>
    <n v="0.17699999999999999"/>
    <n v="0.17799999999999999"/>
    <m/>
    <n v="7.8E-2"/>
    <n v="9.6000000000000002E-2"/>
    <n v="0.12"/>
    <n v="5.8000000000000003E-2"/>
    <n v="55996132"/>
    <n v="1.29"/>
    <n v="9029744"/>
    <n v="6972892"/>
    <n v="1.3"/>
    <n v="10408606"/>
    <n v="8033253"/>
    <n v="1.28"/>
    <n v="11141732"/>
    <n v="8701611"/>
    <n v="1.45"/>
    <n v="11179271"/>
    <n v="7700869"/>
  </r>
  <r>
    <x v="37"/>
    <n v="5"/>
    <n v="29969"/>
    <n v="75550"/>
    <n v="72370"/>
    <n v="72370"/>
    <n v="374610"/>
    <n v="0.193"/>
    <n v="0.193"/>
    <n v="0.20200000000000001"/>
    <m/>
    <n v="7.0000000000000007E-2"/>
    <n v="8.5000000000000006E-2"/>
    <n v="0.105"/>
    <n v="8.6999999999999994E-2"/>
    <n v="831220"/>
    <n v="2.16"/>
    <n v="175279"/>
    <n v="80967"/>
    <n v="3.08"/>
    <n v="193638"/>
    <n v="62941"/>
    <n v="2.0299999999999998"/>
    <n v="141242"/>
    <n v="69624"/>
    <n v="2.2000000000000002"/>
    <n v="152368"/>
    <n v="69169"/>
  </r>
  <r>
    <x v="38"/>
    <n v="5"/>
    <n v="271138"/>
    <n v="481330"/>
    <n v="481330"/>
    <n v="481330"/>
    <n v="3389219"/>
    <n v="0.14199999999999999"/>
    <n v="0.14199999999999999"/>
    <n v="0.14199999999999999"/>
    <m/>
    <n v="7.0000000000000007E-2"/>
    <n v="8.5000000000000006E-2"/>
    <n v="0.105"/>
    <n v="0.112"/>
    <n v="4291067"/>
    <n v="1.45"/>
    <n v="732629"/>
    <n v="504953"/>
    <n v="1.9"/>
    <n v="659378"/>
    <n v="346557"/>
    <n v="1.83"/>
    <n v="682381"/>
    <n v="372015"/>
    <n v="1.65"/>
    <n v="584865"/>
    <n v="354360"/>
  </r>
  <r>
    <x v="39"/>
    <n v="5"/>
    <n v="4763"/>
    <n v="19997"/>
    <n v="19997"/>
    <n v="19997"/>
    <n v="59541"/>
    <n v="0.33600000000000002"/>
    <n v="0.33600000000000002"/>
    <n v="0.33600000000000002"/>
    <m/>
    <n v="7.0000000000000007E-2"/>
    <n v="8.5000000000000006E-2"/>
    <n v="0.105"/>
    <n v="0.129"/>
    <n v="155165"/>
    <n v="1.42"/>
    <n v="23590"/>
    <n v="16636"/>
    <n v="1.41"/>
    <n v="26271"/>
    <n v="18649"/>
    <n v="1.57"/>
    <n v="28078"/>
    <n v="17901"/>
    <n v="1.68"/>
    <n v="26220"/>
    <n v="15564"/>
  </r>
  <r>
    <x v="40"/>
    <n v="5"/>
    <n v="34915"/>
    <n v="79433"/>
    <n v="77833"/>
    <n v="77833"/>
    <n v="436435"/>
    <n v="0.17799999999999999"/>
    <n v="0.17799999999999999"/>
    <n v="0.182"/>
    <m/>
    <n v="7.0000000000000007E-2"/>
    <n v="8.5000000000000006E-2"/>
    <n v="0.105"/>
    <n v="7.6999999999999999E-2"/>
    <n v="1010402"/>
    <n v="2.33"/>
    <n v="61851"/>
    <n v="26567"/>
    <n v="1.74"/>
    <n v="74892"/>
    <n v="42958"/>
    <n v="2.06"/>
    <n v="96360"/>
    <n v="46839"/>
    <n v="2.21"/>
    <n v="84651"/>
    <n v="38306"/>
  </r>
  <r>
    <x v="41"/>
    <n v="5"/>
    <n v="35570"/>
    <n v="84362"/>
    <n v="84362"/>
    <n v="84362"/>
    <n v="444630"/>
    <n v="0.19"/>
    <n v="0.19"/>
    <n v="0.19"/>
    <m/>
    <n v="7.0000000000000007E-2"/>
    <n v="8.5000000000000006E-2"/>
    <n v="0.105"/>
    <n v="9.7000000000000003E-2"/>
    <n v="870004"/>
    <n v="6.03"/>
    <n v="381946"/>
    <n v="63339"/>
    <n v="4.28"/>
    <n v="226596"/>
    <n v="52910"/>
    <n v="2.71"/>
    <n v="145380"/>
    <n v="53642"/>
    <n v="2.13"/>
    <n v="141204"/>
    <n v="66330"/>
  </r>
  <r>
    <x v="42"/>
    <n v="5"/>
    <n v="48461"/>
    <n v="104738"/>
    <n v="104738"/>
    <n v="104738"/>
    <n v="605757"/>
    <n v="0.17299999999999999"/>
    <n v="0.17299999999999999"/>
    <n v="0.17299999999999999"/>
    <m/>
    <n v="7.0000000000000007E-2"/>
    <n v="8.5000000000000006E-2"/>
    <n v="0.105"/>
    <n v="9.8000000000000004E-2"/>
    <n v="1063944"/>
    <n v="1.26"/>
    <n v="175502"/>
    <n v="139216"/>
    <n v="1.2"/>
    <n v="173318"/>
    <n v="143898"/>
    <n v="1.23"/>
    <n v="185807"/>
    <n v="150562"/>
    <n v="1.3"/>
    <n v="226846"/>
    <n v="174698"/>
  </r>
  <r>
    <x v="43"/>
    <n v="3"/>
    <n v="377751"/>
    <n v="1416563"/>
    <n v="1402869"/>
    <n v="1416563"/>
    <n v="4721893"/>
    <n v="0.29699999999999999"/>
    <n v="0.3"/>
    <n v="0.3"/>
    <m/>
    <n v="7.8E-2"/>
    <n v="9.6000000000000002E-2"/>
    <n v="0.12"/>
    <n v="0.121"/>
    <n v="11746290"/>
    <n v="2.08"/>
    <n v="11073941"/>
    <n v="5332479"/>
    <n v="2.25"/>
    <n v="12751132"/>
    <n v="5673288"/>
    <n v="2.2400000000000002"/>
    <n v="12992623"/>
    <n v="5792335"/>
    <n v="2.2799999999999998"/>
    <n v="12736732"/>
    <n v="5583262"/>
  </r>
  <r>
    <x v="44"/>
    <n v="5"/>
    <n v="14563"/>
    <n v="80559"/>
    <n v="80559"/>
    <n v="80559"/>
    <n v="182033"/>
    <n v="0.443"/>
    <n v="0.443"/>
    <n v="0.443"/>
    <m/>
    <n v="7.0000000000000007E-2"/>
    <n v="8.5000000000000006E-2"/>
    <n v="0.105"/>
    <n v="9.9000000000000005E-2"/>
    <n v="816181"/>
    <n v="1.97"/>
    <n v="47803"/>
    <n v="24283"/>
    <n v="1.72"/>
    <n v="43060"/>
    <n v="25106"/>
    <n v="2.02"/>
    <n v="49389"/>
    <n v="24508"/>
    <n v="1.89"/>
    <n v="52649"/>
    <n v="27910"/>
  </r>
  <r>
    <x v="45"/>
    <n v="5"/>
    <n v="7176"/>
    <n v="54803"/>
    <n v="52224"/>
    <n v="52224"/>
    <n v="89695"/>
    <n v="0.58199999999999996"/>
    <n v="0.58199999999999996"/>
    <n v="0.61099999999999999"/>
    <m/>
    <n v="7.0000000000000007E-2"/>
    <n v="8.5000000000000006E-2"/>
    <n v="0.105"/>
    <n v="0.16200000000000001"/>
    <n v="321669"/>
    <n v="1.43"/>
    <n v="37115"/>
    <n v="26028"/>
    <n v="1.29"/>
    <n v="48927"/>
    <n v="38061"/>
    <n v="1.36"/>
    <n v="49897"/>
    <n v="36651"/>
    <n v="1.43"/>
    <n v="51027"/>
    <n v="35752"/>
  </r>
  <r>
    <x v="46"/>
    <n v="4"/>
    <n v="58592"/>
    <n v="177849"/>
    <n v="177849"/>
    <n v="177849"/>
    <n v="732394"/>
    <n v="0.24299999999999999"/>
    <n v="0.24299999999999999"/>
    <n v="0.24299999999999999"/>
    <m/>
    <n v="7.3999999999999996E-2"/>
    <n v="0.09"/>
    <n v="0.112"/>
    <n v="0.13"/>
    <n v="1366638"/>
    <n v="1.84"/>
    <n v="706516"/>
    <n v="384463"/>
    <n v="1.87"/>
    <n v="882197"/>
    <n v="470889"/>
    <n v="2.12"/>
    <n v="840260"/>
    <n v="396853"/>
    <n v="1.92"/>
    <n v="880951"/>
    <n v="459970"/>
  </r>
  <r>
    <x v="47"/>
    <n v="5"/>
    <n v="13032"/>
    <n v="51885"/>
    <n v="51885"/>
    <n v="51885"/>
    <n v="162905"/>
    <n v="0.31900000000000001"/>
    <n v="0.31900000000000001"/>
    <n v="0.31900000000000001"/>
    <m/>
    <n v="7.0000000000000007E-2"/>
    <n v="8.5000000000000006E-2"/>
    <n v="0.105"/>
    <n v="0.153"/>
    <n v="340039"/>
    <n v="1.35"/>
    <n v="107251"/>
    <n v="79563"/>
    <n v="1.71"/>
    <n v="100720"/>
    <n v="58993"/>
    <n v="1.86"/>
    <n v="121488"/>
    <n v="65273"/>
    <n v="1.79"/>
    <n v="102350"/>
    <n v="57149"/>
  </r>
  <r>
    <x v="48"/>
    <n v="4"/>
    <n v="74738"/>
    <n v="166839"/>
    <n v="116839"/>
    <n v="166839"/>
    <n v="934222"/>
    <n v="0.125"/>
    <n v="0.17899999999999999"/>
    <n v="0.17899999999999999"/>
    <m/>
    <n v="7.3999999999999996E-2"/>
    <n v="0.09"/>
    <n v="0.112"/>
    <n v="4.8000000000000001E-2"/>
    <n v="3453325"/>
    <n v="1.69"/>
    <n v="353013"/>
    <n v="209199"/>
    <n v="1.56"/>
    <n v="367901"/>
    <n v="235485"/>
    <n v="1.62"/>
    <n v="366189"/>
    <n v="225851"/>
    <n v="2.12"/>
    <n v="608856"/>
    <n v="286911"/>
  </r>
  <r>
    <x v="49"/>
    <n v="3"/>
    <n v="984734"/>
    <n v="2513535"/>
    <n v="2481867"/>
    <n v="2481867"/>
    <n v="12309181"/>
    <n v="0.20200000000000001"/>
    <n v="0.20200000000000001"/>
    <n v="0.20399999999999999"/>
    <m/>
    <n v="7.8E-2"/>
    <n v="9.6000000000000002E-2"/>
    <n v="0.12"/>
    <n v="9.7000000000000003E-2"/>
    <n v="25630755"/>
    <n v="1.1100000000000001"/>
    <n v="3621424"/>
    <n v="3252450"/>
    <n v="1.28"/>
    <n v="4526294"/>
    <n v="3536791"/>
    <n v="1.33"/>
    <n v="4167254"/>
    <n v="3131152"/>
    <n v="1.32"/>
    <n v="4687661"/>
    <n v="3551701"/>
  </r>
  <r>
    <x v="50"/>
    <n v="3"/>
    <n v="1899033"/>
    <n v="4043283"/>
    <n v="3912062"/>
    <n v="4042062"/>
    <n v="23737911"/>
    <n v="0.16500000000000001"/>
    <n v="0.17"/>
    <n v="0.17"/>
    <m/>
    <n v="7.8E-2"/>
    <n v="9.6000000000000002E-2"/>
    <n v="0.12"/>
    <n v="8.2000000000000003E-2"/>
    <n v="49351993"/>
    <n v="1.39"/>
    <n v="7569746"/>
    <n v="5427727"/>
    <n v="1.84"/>
    <n v="10141355"/>
    <n v="5501765"/>
    <n v="2.42"/>
    <n v="10305200"/>
    <n v="4260198"/>
    <n v="2.2999999999999998"/>
    <n v="10954850"/>
    <n v="4755465"/>
  </r>
  <r>
    <x v="51"/>
    <n v="5"/>
    <n v="12877"/>
    <n v="31939"/>
    <n v="31939"/>
    <n v="31939"/>
    <n v="160962"/>
    <n v="0.19800000000000001"/>
    <n v="0.19800000000000001"/>
    <n v="0.19800000000000001"/>
    <m/>
    <n v="7.0000000000000007E-2"/>
    <n v="8.5000000000000006E-2"/>
    <n v="0.105"/>
    <n v="0.05"/>
    <n v="595121"/>
    <n v="1.6"/>
    <n v="113437"/>
    <n v="70706"/>
    <n v="1.67"/>
    <n v="140413"/>
    <n v="84205"/>
    <n v="1.94"/>
    <n v="158801"/>
    <n v="81736"/>
    <n v="1.97"/>
    <n v="153829"/>
    <n v="78233"/>
  </r>
  <r>
    <x v="52"/>
    <n v="3"/>
    <n v="1073624"/>
    <n v="2548367"/>
    <n v="2548367"/>
    <n v="2548367"/>
    <n v="13420304"/>
    <n v="0.19"/>
    <n v="0.19"/>
    <n v="0.19"/>
    <m/>
    <n v="7.8E-2"/>
    <n v="9.6000000000000002E-2"/>
    <n v="0.12"/>
    <n v="7.8E-2"/>
    <n v="32463846"/>
    <n v="1.35"/>
    <n v="5130822"/>
    <n v="3792769"/>
    <n v="1.73"/>
    <n v="6409514"/>
    <n v="3708339"/>
    <n v="1.95"/>
    <n v="7170721"/>
    <n v="3670469"/>
    <n v="1.96"/>
    <n v="7545146"/>
    <n v="3853452"/>
  </r>
  <r>
    <x v="53"/>
    <n v="4"/>
    <n v="54526"/>
    <n v="122449"/>
    <n v="89694"/>
    <n v="89694"/>
    <n v="681577"/>
    <n v="0.13200000000000001"/>
    <n v="0.13200000000000001"/>
    <n v="0.18"/>
    <m/>
    <n v="7.3999999999999996E-2"/>
    <n v="0.09"/>
    <n v="0.112"/>
    <n v="6.3E-2"/>
    <n v="1428451"/>
    <n v="2.89"/>
    <n v="151859"/>
    <n v="52531"/>
    <n v="3.47"/>
    <n v="160189"/>
    <n v="46103"/>
    <n v="3.5"/>
    <n v="171024"/>
    <n v="48925"/>
    <n v="3.18"/>
    <n v="191237"/>
    <n v="60172"/>
  </r>
  <r>
    <x v="54"/>
    <n v="5"/>
    <n v="11038"/>
    <n v="109998"/>
    <n v="109736"/>
    <n v="109736"/>
    <n v="137973"/>
    <n v="0.79500000000000004"/>
    <n v="0.79500000000000004"/>
    <n v="0.79700000000000004"/>
    <m/>
    <n v="7.0000000000000007E-2"/>
    <n v="8.5000000000000006E-2"/>
    <n v="0.105"/>
    <n v="0.42099999999999999"/>
    <n v="260804"/>
    <n v="5.44"/>
    <n v="255439"/>
    <n v="46953"/>
    <n v="6.32"/>
    <n v="410717"/>
    <n v="65037"/>
    <n v="6.2"/>
    <n v="477236"/>
    <n v="76987"/>
    <n v="6.34"/>
    <n v="529071"/>
    <n v="83409"/>
  </r>
  <r>
    <x v="55"/>
    <n v="3"/>
    <n v="573178"/>
    <n v="1416929"/>
    <n v="1416929"/>
    <n v="1416929"/>
    <n v="7164731"/>
    <n v="0.19800000000000001"/>
    <n v="0.19800000000000001"/>
    <n v="0.19800000000000001"/>
    <m/>
    <n v="7.8E-2"/>
    <n v="9.6000000000000002E-2"/>
    <n v="0.12"/>
    <n v="8.8999999999999996E-2"/>
    <n v="15987300"/>
    <n v="1.41"/>
    <n v="8122542"/>
    <n v="5740923"/>
    <n v="1.41"/>
    <n v="8151333"/>
    <n v="5771854"/>
    <n v="1.35"/>
    <n v="8811019"/>
    <n v="6523915"/>
    <n v="1.47"/>
    <n v="8099940"/>
    <n v="5502222"/>
  </r>
  <r>
    <x v="56"/>
    <n v="5"/>
    <n v="31074"/>
    <n v="68808"/>
    <n v="68808"/>
    <n v="68808"/>
    <n v="388425"/>
    <n v="0.17699999999999999"/>
    <n v="0.17699999999999999"/>
    <n v="0.17699999999999999"/>
    <m/>
    <n v="7.0000000000000007E-2"/>
    <n v="8.5000000000000006E-2"/>
    <n v="0.105"/>
    <n v="0.10100000000000001"/>
    <n v="679887"/>
    <s v="4)"/>
    <s v="4)"/>
    <s v="4)"/>
    <s v="4)"/>
    <s v="4)"/>
    <s v="4)"/>
    <s v="4)"/>
    <s v="4)"/>
    <s v="4)"/>
    <s v="4)"/>
    <s v="4)"/>
    <s v="4)"/>
  </r>
  <r>
    <x v="57"/>
    <n v="3"/>
    <n v="697994"/>
    <n v="1862425"/>
    <n v="1531475"/>
    <n v="1531475"/>
    <n v="8724919"/>
    <n v="0.17599999999999999"/>
    <n v="0.17599999999999999"/>
    <n v="0.21299999999999999"/>
    <m/>
    <n v="7.8E-2"/>
    <n v="9.6000000000000002E-2"/>
    <n v="0.12"/>
    <n v="7.9000000000000001E-2"/>
    <n v="19289752"/>
    <n v="1.82"/>
    <n v="2965085"/>
    <n v="1630774"/>
    <n v="2.25"/>
    <n v="2884063"/>
    <n v="1282780"/>
    <n v="2.31"/>
    <n v="3204874"/>
    <n v="1389475"/>
    <n v="2.44"/>
    <n v="3288461"/>
    <n v="1349939"/>
  </r>
  <r>
    <x v="58"/>
    <n v="5"/>
    <n v="3345"/>
    <n v="9004"/>
    <n v="7635"/>
    <n v="7635"/>
    <n v="41816"/>
    <n v="0.183"/>
    <n v="0.183"/>
    <n v="0.215"/>
    <m/>
    <n v="7.0000000000000007E-2"/>
    <n v="8.5000000000000006E-2"/>
    <n v="0.105"/>
    <n v="0.08"/>
    <n v="94877"/>
    <n v="2.04"/>
    <n v="14948"/>
    <n v="7325"/>
    <n v="2.16"/>
    <n v="16408"/>
    <n v="7612"/>
    <n v="2.0299999999999998"/>
    <n v="16417"/>
    <n v="8093"/>
    <n v="2.21"/>
    <n v="16872"/>
    <n v="7650"/>
  </r>
  <r>
    <x v="59"/>
    <n v="5"/>
    <n v="21519"/>
    <n v="47856"/>
    <n v="42356"/>
    <n v="42356"/>
    <n v="268993"/>
    <n v="0.157"/>
    <n v="0.157"/>
    <n v="0.17799999999999999"/>
    <m/>
    <n v="7.0000000000000007E-2"/>
    <n v="8.5000000000000006E-2"/>
    <n v="0.105"/>
    <n v="7.8E-2"/>
    <n v="545095"/>
    <n v="5.62"/>
    <n v="82377"/>
    <n v="14660"/>
    <n v="5.2"/>
    <n v="81350"/>
    <n v="15645"/>
    <n v="5.73"/>
    <n v="88104"/>
    <n v="15376"/>
    <n v="10.56"/>
    <n v="90188"/>
    <n v="8544"/>
  </r>
  <r>
    <x v="60"/>
    <n v="4"/>
    <n v="62961"/>
    <n v="225186"/>
    <n v="225186"/>
    <n v="225186"/>
    <n v="787018"/>
    <n v="0.28599999999999998"/>
    <n v="0.28599999999999998"/>
    <n v="0.28599999999999998"/>
    <m/>
    <n v="7.3999999999999996E-2"/>
    <n v="0.09"/>
    <n v="0.112"/>
    <n v="6.6000000000000003E-2"/>
    <n v="3398272"/>
    <n v="2.4500000000000002"/>
    <n v="501675"/>
    <n v="204365"/>
    <n v="3.05"/>
    <n v="726847"/>
    <n v="238456"/>
    <n v="2.78"/>
    <n v="633863"/>
    <n v="227682"/>
    <n v="4.09"/>
    <n v="913412"/>
    <n v="223255"/>
  </r>
  <r>
    <x v="61"/>
    <n v="4"/>
    <n v="452950"/>
    <n v="1000436"/>
    <n v="850436"/>
    <n v="1000436"/>
    <n v="5661879"/>
    <n v="0.15"/>
    <n v="0.17699999999999999"/>
    <n v="0.17699999999999999"/>
    <m/>
    <n v="7.3999999999999996E-2"/>
    <n v="0.09"/>
    <n v="0.112"/>
    <n v="0.14399999999999999"/>
    <n v="6947127"/>
    <n v="3.29"/>
    <n v="514574"/>
    <n v="156626"/>
    <n v="8.6"/>
    <n v="527912"/>
    <n v="61350"/>
    <n v="6.09"/>
    <n v="503634"/>
    <n v="82645"/>
    <n v="9.6999999999999993"/>
    <n v="545205"/>
    <n v="56225"/>
  </r>
  <r>
    <x v="62"/>
    <n v="5"/>
    <n v="39330"/>
    <n v="73653"/>
    <n v="73653"/>
    <n v="73653"/>
    <n v="491627"/>
    <n v="0.15"/>
    <n v="0.15"/>
    <n v="0.15"/>
    <m/>
    <n v="7.0000000000000007E-2"/>
    <n v="8.5000000000000006E-2"/>
    <n v="0.105"/>
    <n v="0.05"/>
    <n v="1463574"/>
    <n v="5.29"/>
    <n v="606159"/>
    <n v="114479"/>
    <n v="4.8099999999999996"/>
    <n v="725103"/>
    <n v="150701"/>
    <n v="3.43"/>
    <n v="776762"/>
    <n v="226286"/>
    <n v="3.61"/>
    <n v="852283"/>
    <n v="235944"/>
  </r>
  <r>
    <x v="63"/>
    <n v="5"/>
    <n v="5345"/>
    <n v="14073"/>
    <n v="14073"/>
    <n v="14073"/>
    <n v="66814"/>
    <n v="0.21099999999999999"/>
    <n v="0.21099999999999999"/>
    <n v="0.21099999999999999"/>
    <m/>
    <n v="7.0000000000000007E-2"/>
    <n v="8.5000000000000006E-2"/>
    <n v="0.105"/>
    <n v="7.2999999999999995E-2"/>
    <n v="193270"/>
    <s v="5)"/>
    <s v="5)"/>
    <s v="5)"/>
    <s v="5)"/>
    <s v="5)"/>
    <s v="5)"/>
    <s v="5)"/>
    <s v="5)"/>
    <s v="5)"/>
    <n v="2.04"/>
    <n v="263240"/>
    <n v="129046"/>
  </r>
  <r>
    <x v="64"/>
    <n v="4"/>
    <n v="446934"/>
    <n v="1145830"/>
    <n v="1129182"/>
    <n v="1129182"/>
    <n v="5586670"/>
    <n v="0.20200000000000001"/>
    <n v="0.20200000000000001"/>
    <n v="0.20499999999999999"/>
    <m/>
    <n v="7.3999999999999996E-2"/>
    <n v="0.09"/>
    <n v="0.112"/>
    <n v="0.08"/>
    <n v="14029571"/>
    <n v="1.54"/>
    <n v="1565315"/>
    <n v="1014932"/>
    <n v="1.58"/>
    <n v="1722004"/>
    <n v="1089485"/>
    <n v="1.98"/>
    <n v="2663020"/>
    <n v="1347204"/>
    <n v="1.75"/>
    <n v="2716796"/>
    <n v="1550265"/>
  </r>
  <r>
    <x v="65"/>
    <n v="4"/>
    <n v="388097"/>
    <n v="1003808"/>
    <n v="1003808"/>
    <n v="1003808"/>
    <n v="4851212"/>
    <n v="0.20699999999999999"/>
    <n v="0.20699999999999999"/>
    <n v="0.20699999999999999"/>
    <m/>
    <n v="7.3999999999999996E-2"/>
    <n v="0.09"/>
    <n v="0.112"/>
    <n v="0.13100000000000001"/>
    <n v="7641346"/>
    <n v="1.78"/>
    <n v="2191868"/>
    <n v="1229570"/>
    <n v="1.91"/>
    <n v="2343777"/>
    <n v="1227485"/>
    <n v="1.97"/>
    <n v="2282641"/>
    <n v="1160364"/>
    <n v="1.98"/>
    <n v="2316624"/>
    <n v="1171650"/>
  </r>
  <r>
    <x v="66"/>
    <n v="4"/>
    <n v="181715"/>
    <n v="421619"/>
    <n v="401229"/>
    <n v="401229"/>
    <n v="2271441"/>
    <n v="0.17699999999999999"/>
    <n v="0.17699999999999999"/>
    <n v="0.186"/>
    <m/>
    <n v="7.3999999999999996E-2"/>
    <n v="0.09"/>
    <n v="0.112"/>
    <n v="7.3999999999999996E-2"/>
    <n v="5406540"/>
    <n v="2.13"/>
    <n v="353477"/>
    <n v="165892"/>
    <n v="1.99"/>
    <n v="425999"/>
    <n v="214031"/>
    <n v="1.74"/>
    <n v="421596"/>
    <n v="242046"/>
    <n v="1.89"/>
    <n v="472149"/>
    <n v="249515"/>
  </r>
  <r>
    <x v="67"/>
    <n v="5"/>
    <n v="29610"/>
    <n v="112417"/>
    <n v="51406"/>
    <n v="51406"/>
    <n v="370130"/>
    <n v="0.13900000000000001"/>
    <n v="0.13900000000000001"/>
    <n v="0.30399999999999999"/>
    <m/>
    <n v="7.0000000000000007E-2"/>
    <n v="8.5000000000000006E-2"/>
    <n v="0.105"/>
    <n v="0.106"/>
    <n v="487067"/>
    <n v="1.46"/>
    <n v="66912"/>
    <n v="45834"/>
    <n v="1.77"/>
    <n v="70390"/>
    <n v="39725"/>
    <n v="1.67"/>
    <n v="39422"/>
    <n v="23561"/>
    <n v="1.67"/>
    <n v="29211"/>
    <n v="17452"/>
  </r>
  <r>
    <x v="68"/>
    <n v="5"/>
    <n v="894"/>
    <n v="6934"/>
    <n v="6934"/>
    <n v="6934"/>
    <n v="11179"/>
    <n v="0.62"/>
    <n v="0.62"/>
    <n v="0.62"/>
    <m/>
    <n v="7.0000000000000007E-2"/>
    <n v="8.5000000000000006E-2"/>
    <n v="0.105"/>
    <n v="0.38"/>
    <n v="18231"/>
    <s v="5)"/>
    <s v="5)"/>
    <s v="5)"/>
    <s v="5)"/>
    <s v="5)"/>
    <s v="5)"/>
    <s v="5)"/>
    <s v="5)"/>
    <s v="5)"/>
    <n v="0"/>
    <n v="0"/>
    <n v="725"/>
  </r>
  <r>
    <x v="69"/>
    <n v="4"/>
    <n v="235501"/>
    <n v="637208"/>
    <n v="584906"/>
    <n v="584906"/>
    <n v="2943758"/>
    <n v="0.19900000000000001"/>
    <n v="0.19900000000000001"/>
    <n v="0.216"/>
    <m/>
    <n v="7.3999999999999996E-2"/>
    <n v="0.09"/>
    <n v="0.112"/>
    <n v="7.2999999999999995E-2"/>
    <n v="7997340"/>
    <n v="1.38"/>
    <n v="842069"/>
    <n v="609628"/>
    <n v="1.39"/>
    <n v="910597"/>
    <n v="655241"/>
    <n v="1.38"/>
    <n v="955038"/>
    <n v="694350"/>
    <n v="1.29"/>
    <n v="1018077"/>
    <n v="787601"/>
  </r>
  <r>
    <x v="70"/>
    <n v="4"/>
    <n v="134416"/>
    <n v="569263"/>
    <n v="569263"/>
    <n v="569263"/>
    <n v="1680200"/>
    <n v="0.33900000000000002"/>
    <n v="0.33900000000000002"/>
    <n v="0.33900000000000002"/>
    <m/>
    <n v="7.3999999999999996E-2"/>
    <n v="0.09"/>
    <n v="0.112"/>
    <n v="0.21199999999999999"/>
    <n v="2685651"/>
    <n v="3.76"/>
    <n v="870941"/>
    <n v="231399"/>
    <n v="4.51"/>
    <n v="953484"/>
    <n v="211368"/>
    <n v="4.7699999999999996"/>
    <n v="952728"/>
    <n v="199817"/>
    <n v="4.47"/>
    <n v="862971"/>
    <n v="193229"/>
  </r>
  <r>
    <x v="71"/>
    <n v="5"/>
    <n v="12182"/>
    <n v="44228"/>
    <n v="44228"/>
    <n v="44228"/>
    <n v="152281"/>
    <n v="0.28999999999999998"/>
    <n v="0.28999999999999998"/>
    <n v="0.28999999999999998"/>
    <m/>
    <n v="7.0000000000000007E-2"/>
    <n v="8.5000000000000006E-2"/>
    <n v="0.105"/>
    <n v="0.28799999999999998"/>
    <n v="153744"/>
    <n v="9.1300000000000008"/>
    <n v="51091"/>
    <n v="5595"/>
    <n v="10.23"/>
    <n v="55812"/>
    <n v="5458"/>
    <n v="15.12"/>
    <n v="61770"/>
    <n v="4086"/>
    <n v="12.87"/>
    <n v="55816"/>
    <n v="4336"/>
  </r>
  <r>
    <x v="72"/>
    <n v="5"/>
    <n v="22226"/>
    <n v="202919"/>
    <n v="202919"/>
    <n v="202919"/>
    <n v="277819"/>
    <n v="0.73"/>
    <n v="0.73"/>
    <n v="0.73"/>
    <m/>
    <n v="7.0000000000000007E-2"/>
    <n v="8.5000000000000006E-2"/>
    <n v="0.105"/>
    <n v="0.27900000000000003"/>
    <n v="726060"/>
    <n v="3.31"/>
    <n v="439666"/>
    <n v="132981"/>
    <n v="2.62"/>
    <n v="468400"/>
    <n v="178906"/>
    <n v="3.23"/>
    <n v="478510"/>
    <n v="148359"/>
    <n v="2.64"/>
    <n v="461172"/>
    <n v="174516"/>
  </r>
  <r>
    <x v="73"/>
    <n v="3"/>
    <n v="444792"/>
    <n v="1305419"/>
    <n v="1282710"/>
    <n v="1287252"/>
    <n v="5559905"/>
    <n v="0.23200000000000001"/>
    <n v="0.23200000000000001"/>
    <n v="0.23499999999999999"/>
    <m/>
    <n v="7.8E-2"/>
    <n v="9.6000000000000002E-2"/>
    <n v="0.12"/>
    <n v="6.8000000000000005E-2"/>
    <n v="19061260"/>
    <n v="1.51"/>
    <n v="8667719"/>
    <n v="5757565"/>
    <n v="1.61"/>
    <n v="9534995"/>
    <n v="5934648"/>
    <n v="1.5"/>
    <n v="8903175"/>
    <n v="5916083"/>
    <n v="1.48"/>
    <n v="8682824"/>
    <n v="5877722"/>
  </r>
  <r>
    <x v="74"/>
    <n v="3"/>
    <n v="464766"/>
    <n v="1257193"/>
    <n v="1184484"/>
    <n v="1239026"/>
    <n v="5809568"/>
    <n v="0.20399999999999999"/>
    <n v="0.21299999999999999"/>
    <n v="0.216"/>
    <m/>
    <n v="7.8E-2"/>
    <n v="9.6000000000000002E-2"/>
    <n v="0.12"/>
    <n v="6.5000000000000002E-2"/>
    <n v="18948526"/>
    <n v="1.53"/>
    <n v="8667719"/>
    <n v="5657736"/>
    <n v="1.63"/>
    <n v="9535665"/>
    <n v="5860291"/>
    <n v="1.51"/>
    <n v="8903176"/>
    <n v="5877225"/>
    <n v="1.49"/>
    <n v="8657276"/>
    <n v="5819149"/>
  </r>
  <r>
    <x v="75"/>
    <n v="3"/>
    <n v="517221"/>
    <n v="1292700"/>
    <n v="991000"/>
    <n v="1292700"/>
    <n v="6465267"/>
    <n v="0.153"/>
    <n v="0.2"/>
    <n v="0.2"/>
    <m/>
    <n v="7.8E-2"/>
    <n v="9.6000000000000002E-2"/>
    <n v="0.12"/>
    <n v="5.0999999999999997E-2"/>
    <n v="25190669"/>
    <n v="1.32"/>
    <n v="5757181"/>
    <n v="4365642"/>
    <n v="1.38"/>
    <n v="5994210"/>
    <n v="4342314"/>
    <n v="1.37"/>
    <n v="5953130"/>
    <n v="4349096"/>
    <n v="1.37"/>
    <n v="6600674"/>
    <n v="4806279"/>
  </r>
  <r>
    <x v="76"/>
    <n v="3"/>
    <n v="798820"/>
    <n v="1805836"/>
    <n v="1452196"/>
    <n v="1555771"/>
    <n v="9985248"/>
    <n v="0.14499999999999999"/>
    <n v="0.156"/>
    <n v="0.18099999999999999"/>
    <m/>
    <n v="7.8E-2"/>
    <n v="9.6000000000000002E-2"/>
    <n v="0.12"/>
    <n v="4.4999999999999998E-2"/>
    <n v="34559664"/>
    <n v="1.72"/>
    <n v="11404013"/>
    <n v="6611784"/>
    <n v="1.79"/>
    <n v="11610401"/>
    <n v="6503193"/>
    <n v="1.88"/>
    <n v="11813446"/>
    <n v="6271366"/>
    <n v="1.7"/>
    <n v="12438736"/>
    <n v="7297113"/>
  </r>
  <r>
    <x v="77"/>
    <n v="3"/>
    <n v="793505"/>
    <n v="1969400"/>
    <n v="1603600"/>
    <n v="1618100"/>
    <n v="9918816"/>
    <n v="0.16200000000000001"/>
    <n v="0.16300000000000001"/>
    <n v="0.19900000000000001"/>
    <m/>
    <n v="7.8E-2"/>
    <n v="9.6000000000000002E-2"/>
    <n v="0.12"/>
    <n v="4.7E-2"/>
    <n v="34585900"/>
    <n v="1.72"/>
    <n v="11136100"/>
    <n v="6465600"/>
    <n v="1.77"/>
    <n v="11393700"/>
    <n v="6442000"/>
    <n v="1.86"/>
    <n v="11587900"/>
    <n v="6223500"/>
    <n v="1.71"/>
    <n v="12222700"/>
    <n v="7143200"/>
  </r>
  <r>
    <x v="78"/>
    <n v="5"/>
    <n v="47851"/>
    <n v="239931"/>
    <n v="202888"/>
    <n v="202888"/>
    <n v="598139"/>
    <n v="0.33900000000000002"/>
    <n v="0.33900000000000002"/>
    <n v="0.40100000000000002"/>
    <m/>
    <n v="7.0000000000000007E-2"/>
    <n v="8.5000000000000006E-2"/>
    <n v="0.105"/>
    <n v="0.114"/>
    <n v="1772955"/>
    <n v="1.08"/>
    <n v="9800982"/>
    <n v="9112195"/>
    <n v="1.05"/>
    <n v="10819039"/>
    <n v="10281698"/>
    <n v="1.05"/>
    <n v="13167550"/>
    <n v="12520048"/>
    <n v="1.04"/>
    <n v="13457129"/>
    <n v="12927432"/>
  </r>
  <r>
    <x v="79"/>
    <n v="5"/>
    <n v="14752"/>
    <n v="28366"/>
    <n v="27269"/>
    <n v="27269"/>
    <n v="184394"/>
    <n v="0.14799999999999999"/>
    <n v="0.14799999999999999"/>
    <n v="0.154"/>
    <m/>
    <n v="7.0000000000000007E-2"/>
    <n v="8.5000000000000006E-2"/>
    <n v="0.105"/>
    <n v="7.3999999999999996E-2"/>
    <n v="370395"/>
    <n v="1.91"/>
    <n v="21549"/>
    <n v="11270"/>
    <n v="1.78"/>
    <n v="26594"/>
    <n v="14906"/>
    <n v="2.2400000000000002"/>
    <n v="28117"/>
    <n v="12526"/>
    <n v="2.29"/>
    <n v="32719"/>
    <n v="14317"/>
  </r>
  <r>
    <x v="80"/>
    <n v="5"/>
    <n v="10909"/>
    <n v="23423"/>
    <n v="23423"/>
    <n v="23423"/>
    <n v="136360"/>
    <n v="0.17199999999999999"/>
    <n v="0.17199999999999999"/>
    <n v="0.17199999999999999"/>
    <m/>
    <n v="7.0000000000000007E-2"/>
    <n v="8.5000000000000006E-2"/>
    <n v="0.105"/>
    <n v="3.6999999999999998E-2"/>
    <n v="624768"/>
    <n v="1.41"/>
    <n v="45773"/>
    <n v="32388"/>
    <n v="1.1499999999999999"/>
    <n v="48557"/>
    <n v="42285"/>
    <n v="1.21"/>
    <n v="52281"/>
    <n v="43190"/>
    <n v="1.38"/>
    <n v="53780"/>
    <n v="38934"/>
  </r>
  <r>
    <x v="81"/>
    <n v="5"/>
    <n v="38187"/>
    <n v="97651"/>
    <n v="97651"/>
    <n v="97651"/>
    <n v="477334"/>
    <n v="0.20499999999999999"/>
    <n v="0.20499999999999999"/>
    <n v="0.20499999999999999"/>
    <m/>
    <n v="7.0000000000000007E-2"/>
    <n v="8.5000000000000006E-2"/>
    <n v="0.105"/>
    <n v="0.108"/>
    <n v="904914"/>
    <n v="1.72"/>
    <n v="111235"/>
    <n v="64640"/>
    <n v="2.2799999999999998"/>
    <n v="162283"/>
    <n v="71307"/>
    <n v="2.15"/>
    <n v="159251"/>
    <n v="74184"/>
    <n v="2.35"/>
    <n v="154874"/>
    <n v="65829"/>
  </r>
  <r>
    <x v="82"/>
    <n v="5"/>
    <n v="734"/>
    <n v="2044"/>
    <n v="2044"/>
    <n v="2044"/>
    <n v="9176"/>
    <n v="0.223"/>
    <n v="0.223"/>
    <n v="0.223"/>
    <m/>
    <n v="7.0000000000000007E-2"/>
    <n v="8.5000000000000006E-2"/>
    <n v="0.105"/>
    <n v="0.114"/>
    <n v="18005"/>
    <s v="5)"/>
    <s v="5)"/>
    <s v="5)"/>
    <s v="5)"/>
    <s v="5)"/>
    <s v="5)"/>
    <s v="5)"/>
    <s v="5)"/>
    <s v="5)"/>
    <n v="4.3"/>
    <n v="11591"/>
    <n v="2694"/>
  </r>
  <r>
    <x v="83"/>
    <n v="4"/>
    <n v="74292"/>
    <n v="240390"/>
    <n v="240390"/>
    <n v="240390"/>
    <n v="928654"/>
    <n v="0.25900000000000001"/>
    <n v="0.25900000000000001"/>
    <n v="0.25900000000000001"/>
    <m/>
    <n v="7.3999999999999996E-2"/>
    <n v="0.09"/>
    <n v="0.112"/>
    <n v="0.16400000000000001"/>
    <n v="1468452"/>
    <n v="2.4"/>
    <n v="706517"/>
    <n v="294373"/>
    <n v="2.2400000000000002"/>
    <n v="882197"/>
    <n v="393846"/>
    <n v="2.36"/>
    <n v="840260"/>
    <n v="356184"/>
    <n v="2.1"/>
    <n v="880951"/>
    <n v="420062"/>
  </r>
  <r>
    <x v="84"/>
    <n v="5"/>
    <n v="10000"/>
    <n v="27677"/>
    <n v="27677"/>
    <n v="27677"/>
    <n v="97636"/>
    <n v="0.27800000000000002"/>
    <n v="0.27800000000000002"/>
    <n v="0.27800000000000002"/>
    <m/>
    <n v="7.0000000000000007E-2"/>
    <n v="8.5000000000000006E-2"/>
    <n v="0.105"/>
    <n v="0.58699999999999997"/>
    <n v="45145"/>
    <s v="n/a"/>
    <s v="n/a"/>
    <s v="n/a"/>
    <s v="n/a"/>
    <s v="n/a"/>
    <s v="n/a"/>
    <s v="n/a"/>
    <s v="n/a"/>
    <s v="n/a"/>
    <n v="3.57"/>
    <n v="5450"/>
    <n v="1528"/>
  </r>
  <r>
    <x v="85"/>
    <n v="4"/>
    <n v="42795"/>
    <n v="120062"/>
    <n v="120062"/>
    <n v="120062"/>
    <n v="534932"/>
    <n v="0.224"/>
    <n v="0.224"/>
    <n v="0.224"/>
    <m/>
    <n v="7.3999999999999996E-2"/>
    <n v="0.09"/>
    <n v="0.112"/>
    <n v="0.151"/>
    <n v="795381"/>
    <n v="1.25"/>
    <n v="474710"/>
    <n v="380414"/>
    <n v="1.36"/>
    <n v="475480"/>
    <n v="349827"/>
    <n v="1.55"/>
    <n v="420560"/>
    <n v="271558"/>
    <n v="1.32"/>
    <n v="424670"/>
    <n v="320542"/>
  </r>
  <r>
    <x v="86"/>
    <n v="5"/>
    <n v="13817"/>
    <n v="24482"/>
    <n v="20925"/>
    <n v="21675"/>
    <n v="172710"/>
    <n v="0.121"/>
    <n v="0.126"/>
    <n v="0.14199999999999999"/>
    <m/>
    <n v="7.0000000000000007E-2"/>
    <n v="8.5000000000000006E-2"/>
    <n v="0.105"/>
    <n v="7.6999999999999999E-2"/>
    <n v="281129"/>
    <n v="1.81"/>
    <n v="42130"/>
    <n v="23263"/>
    <n v="2.1"/>
    <n v="47770"/>
    <n v="22795"/>
    <n v="1.83"/>
    <n v="45990"/>
    <n v="25176"/>
    <n v="2.2000000000000002"/>
    <n v="48825"/>
    <n v="22176"/>
  </r>
  <r>
    <x v="87"/>
    <n v="5"/>
    <n v="71583"/>
    <n v="214067"/>
    <n v="214067"/>
    <n v="214067"/>
    <n v="894792"/>
    <n v="0.23899999999999999"/>
    <n v="0.23899999999999999"/>
    <n v="0.23899999999999999"/>
    <m/>
    <n v="7.0000000000000007E-2"/>
    <n v="8.5000000000000006E-2"/>
    <n v="0.105"/>
    <n v="0.19500000000000001"/>
    <n v="1098972"/>
    <n v="1.58"/>
    <n v="549476"/>
    <n v="346951"/>
    <n v="1.73"/>
    <n v="567080"/>
    <n v="327283"/>
    <n v="1.66"/>
    <n v="585058"/>
    <n v="352370"/>
    <n v="1.76"/>
    <n v="697891"/>
    <n v="396708"/>
  </r>
  <r>
    <x v="88"/>
    <n v="4"/>
    <n v="241502"/>
    <n v="548289"/>
    <n v="343250"/>
    <n v="543250"/>
    <n v="3018771"/>
    <n v="0.114"/>
    <n v="0.18"/>
    <n v="0.182"/>
    <m/>
    <n v="7.3999999999999996E-2"/>
    <n v="0.09"/>
    <n v="0.112"/>
    <n v="8.3000000000000004E-2"/>
    <n v="6537477"/>
    <n v="1.51"/>
    <n v="994597"/>
    <n v="659427"/>
    <n v="1.41"/>
    <n v="994426"/>
    <n v="703326"/>
    <n v="1.77"/>
    <n v="1201139"/>
    <n v="678371"/>
    <n v="2.09"/>
    <n v="1256947"/>
    <n v="600832"/>
  </r>
  <r>
    <x v="89"/>
    <n v="5"/>
    <n v="10321"/>
    <n v="32667"/>
    <n v="25538"/>
    <n v="32538"/>
    <n v="129013"/>
    <n v="0.19800000000000001"/>
    <n v="0.252"/>
    <n v="0.253"/>
    <m/>
    <n v="7.0000000000000007E-2"/>
    <n v="8.5000000000000006E-2"/>
    <n v="0.105"/>
    <n v="0.13200000000000001"/>
    <n v="246322"/>
    <n v="2.75"/>
    <n v="468901"/>
    <n v="170794"/>
    <n v="2.86"/>
    <n v="562196"/>
    <n v="196695"/>
    <n v="2.7"/>
    <n v="591390"/>
    <n v="219150"/>
    <n v="2.82"/>
    <n v="559413"/>
    <n v="198331"/>
  </r>
  <r>
    <x v="90"/>
    <n v="5"/>
    <n v="12180"/>
    <n v="43281"/>
    <n v="39281"/>
    <n v="43281"/>
    <n v="152250"/>
    <n v="0.25800000000000001"/>
    <n v="0.28399999999999997"/>
    <n v="0.28399999999999997"/>
    <m/>
    <n v="7.0000000000000007E-2"/>
    <n v="8.5000000000000006E-2"/>
    <n v="0.105"/>
    <n v="0.153"/>
    <n v="283075"/>
    <n v="6.28"/>
    <n v="469143"/>
    <n v="74746"/>
    <n v="7.33"/>
    <n v="562510"/>
    <n v="76782"/>
    <n v="6.12"/>
    <n v="591663"/>
    <n v="96745"/>
    <n v="7.25"/>
    <n v="559641"/>
    <n v="77141"/>
  </r>
  <r>
    <x v="91"/>
    <n v="3"/>
    <n v="1018343"/>
    <n v="2592760"/>
    <n v="2592760"/>
    <n v="2592760"/>
    <n v="12729282"/>
    <n v="0.20399999999999999"/>
    <n v="0.20399999999999999"/>
    <n v="0.20399999999999999"/>
    <m/>
    <n v="7.8E-2"/>
    <n v="9.6000000000000002E-2"/>
    <n v="0.12"/>
    <n v="9.5000000000000001E-2"/>
    <n v="27169120"/>
    <n v="1.37"/>
    <n v="5480240"/>
    <n v="4014705"/>
    <n v="1.92"/>
    <n v="7377401"/>
    <n v="3844857"/>
    <n v="2.09"/>
    <n v="7594781"/>
    <n v="3641045"/>
    <n v="2.0299999999999998"/>
    <n v="7602271"/>
    <n v="3746109"/>
  </r>
  <r>
    <x v="92"/>
    <n v="5"/>
    <n v="22712"/>
    <n v="48455"/>
    <n v="48455"/>
    <n v="48455"/>
    <n v="283901"/>
    <n v="0.17100000000000001"/>
    <n v="0.17100000000000001"/>
    <n v="0.17100000000000001"/>
    <m/>
    <n v="7.0000000000000007E-2"/>
    <n v="8.5000000000000006E-2"/>
    <n v="0.105"/>
    <n v="7.5999999999999998E-2"/>
    <n v="634876"/>
    <n v="2.0299999999999998"/>
    <n v="70258"/>
    <n v="34551"/>
    <n v="2.16"/>
    <n v="75455"/>
    <n v="35006"/>
    <n v="2.2799999999999998"/>
    <n v="76748"/>
    <n v="33645"/>
    <n v="2.04"/>
    <n v="79836"/>
    <n v="39131"/>
  </r>
  <r>
    <x v="93"/>
    <n v="4"/>
    <n v="79866"/>
    <n v="205786"/>
    <n v="205786"/>
    <n v="205786"/>
    <n v="998324"/>
    <n v="0.20599999999999999"/>
    <n v="0.20599999999999999"/>
    <n v="0.20599999999999999"/>
    <m/>
    <n v="7.3999999999999996E-2"/>
    <n v="0.09"/>
    <n v="0.112"/>
    <n v="8.2000000000000003E-2"/>
    <n v="2517010"/>
    <n v="2.31"/>
    <n v="2296650"/>
    <n v="992567"/>
    <n v="2.3199999999999998"/>
    <n v="3042960"/>
    <n v="1313623"/>
    <n v="2.2000000000000002"/>
    <n v="2717295"/>
    <n v="1234971"/>
    <n v="2.1800000000000002"/>
    <n v="2975190"/>
    <n v="1365243"/>
  </r>
  <r>
    <x v="94"/>
    <n v="3"/>
    <n v="1004226"/>
    <n v="2591272"/>
    <n v="2591272"/>
    <n v="2591272"/>
    <n v="12552822"/>
    <n v="0.20599999999999999"/>
    <n v="0.20599999999999999"/>
    <n v="0.20599999999999999"/>
    <m/>
    <n v="7.8E-2"/>
    <n v="9.6000000000000002E-2"/>
    <n v="0.12"/>
    <n v="5.1999999999999998E-2"/>
    <n v="49487415"/>
    <n v="1.61"/>
    <n v="20489044"/>
    <n v="12735118"/>
    <n v="1.76"/>
    <n v="24736362"/>
    <n v="14060699"/>
    <n v="1.82"/>
    <n v="27782367"/>
    <n v="15304603"/>
    <n v="1.8"/>
    <n v="27143512"/>
    <n v="15108373"/>
  </r>
  <r>
    <x v="95"/>
    <n v="4"/>
    <n v="492204"/>
    <n v="1163726"/>
    <n v="1102241"/>
    <n v="1102241"/>
    <n v="6152551"/>
    <n v="0.17899999999999999"/>
    <n v="0.17899999999999999"/>
    <n v="0.189"/>
    <m/>
    <n v="7.3999999999999996E-2"/>
    <n v="0.09"/>
    <n v="0.112"/>
    <n v="9.6000000000000002E-2"/>
    <n v="11509124"/>
    <n v="1.3"/>
    <n v="3122160"/>
    <n v="2400112"/>
    <n v="1.44"/>
    <n v="3110401"/>
    <n v="2161232"/>
    <n v="1.25"/>
    <n v="2761995"/>
    <n v="2213510"/>
    <n v="1.28"/>
    <n v="2993741"/>
    <n v="2346141"/>
  </r>
  <r>
    <x v="96"/>
    <n v="5"/>
    <n v="13874"/>
    <n v="44161"/>
    <n v="44161"/>
    <n v="44161"/>
    <n v="173431"/>
    <n v="0.255"/>
    <n v="0.255"/>
    <n v="0.255"/>
    <m/>
    <n v="7.0000000000000007E-2"/>
    <n v="8.5000000000000006E-2"/>
    <n v="0.105"/>
    <n v="6.8000000000000005E-2"/>
    <n v="648074"/>
    <n v="4.1100000000000003"/>
    <n v="68568"/>
    <n v="16678"/>
    <n v="4.91"/>
    <n v="98448"/>
    <n v="20059"/>
    <n v="2.4700000000000002"/>
    <n v="95302"/>
    <n v="38513"/>
    <n v="4.34"/>
    <n v="77296"/>
    <n v="17800"/>
  </r>
  <r>
    <x v="97"/>
    <n v="5"/>
    <n v="16097"/>
    <n v="54190"/>
    <n v="30690"/>
    <n v="54190"/>
    <n v="201218"/>
    <n v="0.153"/>
    <n v="0.26900000000000002"/>
    <n v="0.26900000000000002"/>
    <m/>
    <n v="7.0000000000000007E-2"/>
    <n v="8.5000000000000006E-2"/>
    <n v="0.105"/>
    <n v="0.17899999999999999"/>
    <n v="301954"/>
    <n v="2.69"/>
    <n v="41074"/>
    <n v="15288"/>
    <n v="2.4700000000000002"/>
    <n v="37042"/>
    <n v="14990"/>
    <n v="2.59"/>
    <n v="42300"/>
    <n v="16351"/>
    <n v="2.93"/>
    <n v="40410"/>
    <n v="13801"/>
  </r>
  <r>
    <x v="98"/>
    <n v="3"/>
    <n v="386193"/>
    <n v="1759608"/>
    <n v="1539514"/>
    <n v="1539514"/>
    <n v="4827406"/>
    <n v="0.31900000000000001"/>
    <n v="0.31900000000000001"/>
    <n v="0.36499999999999999"/>
    <m/>
    <n v="7.8E-2"/>
    <n v="9.6000000000000002E-2"/>
    <n v="0.12"/>
    <n v="0.10299999999999999"/>
    <n v="14879832"/>
    <n v="1.91"/>
    <n v="7347182"/>
    <n v="3854511"/>
    <n v="2.02"/>
    <n v="8261367"/>
    <n v="4088704"/>
    <n v="1.69"/>
    <n v="9171262"/>
    <n v="5417972"/>
    <n v="1.67"/>
    <n v="8512234"/>
    <n v="5099558"/>
  </r>
  <r>
    <x v="99"/>
    <n v="5"/>
    <n v="15460"/>
    <n v="61989"/>
    <n v="61989"/>
    <n v="61989"/>
    <n v="193253"/>
    <n v="0.32100000000000001"/>
    <n v="0.32100000000000001"/>
    <n v="0.32100000000000001"/>
    <m/>
    <n v="7.0000000000000007E-2"/>
    <n v="8.5000000000000006E-2"/>
    <n v="0.105"/>
    <n v="6.7000000000000004E-2"/>
    <n v="927285"/>
    <n v="2.79"/>
    <n v="231686"/>
    <n v="83010"/>
    <n v="3.79"/>
    <n v="401070"/>
    <n v="105779"/>
    <n v="3.34"/>
    <n v="414119"/>
    <n v="123877"/>
    <n v="2.96"/>
    <n v="488113"/>
    <n v="165006"/>
  </r>
  <r>
    <x v="100"/>
    <n v="4"/>
    <n v="213808"/>
    <n v="526256"/>
    <n v="490520"/>
    <n v="490520"/>
    <n v="2672598"/>
    <n v="0.184"/>
    <n v="0.184"/>
    <n v="0.19700000000000001"/>
    <m/>
    <n v="7.3999999999999996E-2"/>
    <n v="0.09"/>
    <n v="0.112"/>
    <n v="0.09"/>
    <n v="5444183"/>
    <n v="1.52"/>
    <n v="1066605"/>
    <n v="702389"/>
    <n v="1.46"/>
    <n v="1140907"/>
    <n v="781604"/>
    <n v="1.57"/>
    <n v="1356394"/>
    <n v="865679"/>
    <n v="1.68"/>
    <n v="1316084"/>
    <n v="783269"/>
  </r>
  <r>
    <x v="101"/>
    <n v="5"/>
    <n v="17895"/>
    <n v="142616"/>
    <n v="142616"/>
    <n v="142616"/>
    <n v="223687"/>
    <n v="0.63800000000000001"/>
    <n v="0.63800000000000001"/>
    <n v="0.63800000000000001"/>
    <m/>
    <n v="7.0000000000000007E-2"/>
    <n v="8.5000000000000006E-2"/>
    <n v="0.105"/>
    <n v="0.14699999999999999"/>
    <n v="972214"/>
    <n v="2.16"/>
    <n v="183795"/>
    <n v="84942"/>
    <n v="2.54"/>
    <n v="185625"/>
    <n v="72963"/>
    <n v="2.2000000000000002"/>
    <n v="176178"/>
    <n v="79938"/>
    <n v="2.41"/>
    <n v="206462"/>
    <n v="85776"/>
  </r>
  <r>
    <x v="102"/>
    <n v="5"/>
    <n v="2815"/>
    <n v="5276"/>
    <n v="5276"/>
    <n v="5276"/>
    <n v="35192"/>
    <n v="0.15"/>
    <n v="0.15"/>
    <n v="0.15"/>
    <m/>
    <n v="7.0000000000000007E-2"/>
    <n v="8.5000000000000006E-2"/>
    <n v="0.105"/>
    <n v="6.3E-2"/>
    <n v="83874"/>
    <s v="5)"/>
    <s v="5)"/>
    <s v="5)"/>
    <s v="5)"/>
    <s v="5)"/>
    <s v="5)"/>
    <s v="5)"/>
    <s v="5)"/>
    <s v="5)"/>
    <n v="1.47"/>
    <n v="54607"/>
    <n v="37074"/>
  </r>
  <r>
    <x v="103"/>
    <n v="5"/>
    <n v="2748"/>
    <n v="4858"/>
    <n v="4858"/>
    <n v="4858"/>
    <n v="34353"/>
    <n v="0.14099999999999999"/>
    <n v="0.14099999999999999"/>
    <n v="0.14099999999999999"/>
    <m/>
    <n v="7.0000000000000007E-2"/>
    <n v="8.5000000000000006E-2"/>
    <n v="0.105"/>
    <n v="5.8999999999999997E-2"/>
    <n v="82040"/>
    <s v="4)"/>
    <s v="4)"/>
    <s v="4)"/>
    <s v="4)"/>
    <s v="4)"/>
    <s v="4)"/>
    <s v="4)"/>
    <s v="4)"/>
    <s v="4)"/>
    <s v="4)"/>
    <s v="4)"/>
    <s v="4)"/>
  </r>
  <r>
    <x v="104"/>
    <n v="3"/>
    <n v="1166451"/>
    <n v="5354825"/>
    <n v="5354825"/>
    <n v="5354825"/>
    <n v="14580635"/>
    <n v="0.36699999999999999"/>
    <n v="0.36699999999999999"/>
    <n v="0.36699999999999999"/>
    <m/>
    <n v="7.8E-2"/>
    <n v="9.6000000000000002E-2"/>
    <n v="0.12"/>
    <n v="0.16600000000000001"/>
    <n v="32314289"/>
    <n v="1.31"/>
    <n v="9774511"/>
    <n v="7464670"/>
    <n v="1.21"/>
    <n v="11855299"/>
    <n v="9767371"/>
    <n v="1.24"/>
    <n v="11593305"/>
    <n v="9357560"/>
    <n v="1.21"/>
    <n v="11625076"/>
    <n v="9589820"/>
  </r>
  <r>
    <x v="105"/>
    <n v="4"/>
    <n v="330417"/>
    <n v="1017485"/>
    <n v="1017485"/>
    <n v="1017485"/>
    <n v="4130207"/>
    <n v="0.246"/>
    <n v="0.246"/>
    <n v="0.246"/>
    <m/>
    <n v="7.3999999999999996E-2"/>
    <n v="0.09"/>
    <n v="0.112"/>
    <n v="0.112"/>
    <n v="9083236"/>
    <n v="2.81"/>
    <n v="1226145"/>
    <n v="436864"/>
    <n v="2.4900000000000002"/>
    <n v="1223833"/>
    <n v="491793"/>
    <n v="2.4700000000000002"/>
    <n v="1245049"/>
    <n v="503446"/>
    <n v="2.48"/>
    <n v="1367409"/>
    <n v="551431"/>
  </r>
  <r>
    <x v="106"/>
    <n v="3"/>
    <n v="1689655"/>
    <n v="4429731"/>
    <n v="3157494"/>
    <n v="4296277"/>
    <n v="21120693"/>
    <n v="0.14899999999999999"/>
    <n v="0.20300000000000001"/>
    <n v="0.21"/>
    <m/>
    <n v="7.8E-2"/>
    <n v="9.6000000000000002E-2"/>
    <n v="0.12"/>
    <n v="0.04"/>
    <n v="107193819"/>
    <n v="1.75"/>
    <n v="17781340"/>
    <n v="10132488"/>
    <n v="1.99"/>
    <n v="24531198"/>
    <n v="12333768"/>
    <n v="1.78"/>
    <n v="24251764"/>
    <n v="13632938"/>
    <n v="1.72"/>
    <n v="23446534"/>
    <n v="13637283"/>
  </r>
  <r>
    <x v="107"/>
    <n v="5"/>
    <n v="8784"/>
    <n v="42060"/>
    <n v="42060"/>
    <n v="42060"/>
    <n v="109801"/>
    <n v="0.38300000000000001"/>
    <n v="0.38300000000000001"/>
    <n v="0.38300000000000001"/>
    <m/>
    <n v="7.0000000000000007E-2"/>
    <n v="8.5000000000000006E-2"/>
    <n v="0.105"/>
    <n v="0.14299999999999999"/>
    <n v="293825"/>
    <n v="3.21"/>
    <n v="138602"/>
    <n v="43228"/>
    <n v="3.62"/>
    <n v="151776"/>
    <n v="41899"/>
    <n v="3.27"/>
    <n v="143662"/>
    <n v="43995"/>
    <n v="2.7"/>
    <n v="117492"/>
    <n v="43512"/>
  </r>
  <r>
    <x v="108"/>
    <n v="4"/>
    <n v="228557"/>
    <n v="642191"/>
    <n v="638201"/>
    <n v="638201"/>
    <n v="2856964"/>
    <n v="0.223"/>
    <n v="0.223"/>
    <n v="0.22500000000000001"/>
    <m/>
    <n v="7.3999999999999996E-2"/>
    <n v="0.09"/>
    <n v="0.112"/>
    <n v="6.5000000000000002E-2"/>
    <n v="9781451"/>
    <n v="2.2000000000000002"/>
    <n v="1062988"/>
    <n v="483220"/>
    <n v="1.88"/>
    <n v="1197891"/>
    <n v="637106"/>
    <n v="2.19"/>
    <n v="1191485"/>
    <n v="544904"/>
    <n v="2.08"/>
    <n v="1193473"/>
    <n v="572862"/>
  </r>
  <r>
    <x v="109"/>
    <n v="4"/>
    <n v="44729"/>
    <n v="127261"/>
    <n v="122301"/>
    <n v="122301"/>
    <n v="559112"/>
    <n v="0.219"/>
    <n v="0.219"/>
    <n v="0.22800000000000001"/>
    <m/>
    <n v="7.3999999999999996E-2"/>
    <n v="0.09"/>
    <n v="0.112"/>
    <n v="0.113"/>
    <n v="1082313"/>
    <n v="2.23"/>
    <n v="169794"/>
    <n v="76110"/>
    <n v="1.92"/>
    <n v="208130"/>
    <n v="108384"/>
    <n v="2.0299999999999998"/>
    <n v="204996"/>
    <n v="101114"/>
    <n v="1.87"/>
    <n v="186764"/>
    <n v="99747"/>
  </r>
  <r>
    <x v="110"/>
    <n v="3"/>
    <n v="1809772"/>
    <n v="3576330"/>
    <n v="2836800"/>
    <n v="3575870"/>
    <n v="22622151"/>
    <n v="0.125"/>
    <n v="0.158"/>
    <n v="0.158"/>
    <m/>
    <n v="7.8E-2"/>
    <n v="9.6000000000000002E-2"/>
    <n v="0.12"/>
    <n v="7.6999999999999999E-2"/>
    <n v="46393413"/>
    <n v="1.27"/>
    <n v="5676215"/>
    <n v="4483481"/>
    <n v="1.32"/>
    <n v="7317778"/>
    <n v="5533045"/>
    <n v="1.4"/>
    <n v="7663963"/>
    <n v="5485087"/>
    <n v="1.4"/>
    <n v="7786559"/>
    <n v="5568574"/>
  </r>
  <r>
    <x v="111"/>
    <n v="5"/>
    <n v="6121"/>
    <n v="33182"/>
    <n v="33182"/>
    <n v="33182"/>
    <n v="76514"/>
    <n v="0.434"/>
    <n v="0.434"/>
    <n v="0.434"/>
    <m/>
    <n v="7.0000000000000007E-2"/>
    <n v="8.5000000000000006E-2"/>
    <n v="0.105"/>
    <n v="0.219"/>
    <n v="151394"/>
    <n v="1.84"/>
    <n v="28740"/>
    <n v="15652"/>
    <n v="1.53"/>
    <n v="21927"/>
    <n v="14284"/>
    <n v="1.1399999999999999"/>
    <n v="13419"/>
    <n v="11790"/>
    <n v="1.31"/>
    <n v="15105"/>
    <n v="11536"/>
  </r>
  <r>
    <x v="112"/>
    <n v="3"/>
    <n v="1593788"/>
    <n v="4140994"/>
    <n v="2811058"/>
    <n v="2811058"/>
    <n v="19922354"/>
    <n v="0.14099999999999999"/>
    <n v="0.14099999999999999"/>
    <n v="0.20799999999999999"/>
    <m/>
    <n v="7.8E-2"/>
    <n v="9.6000000000000002E-2"/>
    <n v="0.12"/>
    <n v="5.8999999999999997E-2"/>
    <n v="47347022"/>
    <n v="1.45"/>
    <n v="4918242"/>
    <n v="3394283"/>
    <n v="1.51"/>
    <n v="6237442"/>
    <n v="4143632"/>
    <n v="1.47"/>
    <n v="6711808"/>
    <n v="4572033"/>
    <n v="1.44"/>
    <n v="7001459"/>
    <n v="4861272"/>
  </r>
  <r>
    <x v="113"/>
    <n v="5"/>
    <n v="23665"/>
    <n v="136915"/>
    <n v="91915"/>
    <n v="136915"/>
    <n v="295813"/>
    <n v="0.311"/>
    <n v="0.46300000000000002"/>
    <n v="0.46300000000000002"/>
    <m/>
    <n v="7.0000000000000007E-2"/>
    <n v="8.5000000000000006E-2"/>
    <n v="0.105"/>
    <n v="0.11899999999999999"/>
    <n v="1152573"/>
    <n v="3.09"/>
    <n v="130041"/>
    <n v="42020"/>
    <n v="2.98"/>
    <n v="140428"/>
    <n v="47199"/>
    <n v="3.71"/>
    <n v="148235"/>
    <n v="39947"/>
    <n v="4.04"/>
    <n v="180016"/>
    <n v="44539"/>
  </r>
  <r>
    <x v="114"/>
    <n v="5"/>
    <n v="22747"/>
    <n v="73038"/>
    <n v="73038"/>
    <n v="73038"/>
    <n v="284340"/>
    <n v="0.25700000000000001"/>
    <n v="0.25700000000000001"/>
    <n v="0.25700000000000001"/>
    <m/>
    <n v="7.0000000000000007E-2"/>
    <n v="8.5000000000000006E-2"/>
    <n v="0.105"/>
    <n v="0.14599999999999999"/>
    <n v="499643"/>
    <n v="1.37"/>
    <n v="52547"/>
    <n v="38321"/>
    <n v="1.54"/>
    <n v="54205"/>
    <n v="35298"/>
    <n v="1.45"/>
    <n v="60189"/>
    <n v="41651"/>
    <n v="1.43"/>
    <n v="60432"/>
    <n v="42240"/>
  </r>
  <r>
    <x v="115"/>
    <n v="5"/>
    <n v="9166"/>
    <n v="27573"/>
    <n v="27573"/>
    <n v="27573"/>
    <n v="114581"/>
    <n v="0.24099999999999999"/>
    <n v="0.24099999999999999"/>
    <n v="0.24099999999999999"/>
    <m/>
    <n v="7.0000000000000007E-2"/>
    <n v="8.5000000000000006E-2"/>
    <n v="0.105"/>
    <n v="0.32800000000000001"/>
    <n v="84079"/>
    <n v="3.09"/>
    <n v="28958"/>
    <n v="9372"/>
    <n v="2.4500000000000002"/>
    <n v="41313"/>
    <n v="16863"/>
    <n v="2.56"/>
    <n v="43840"/>
    <n v="17132"/>
    <n v="2.94"/>
    <n v="54706"/>
    <n v="18598"/>
  </r>
  <r>
    <x v="116"/>
    <n v="5"/>
    <n v="10631"/>
    <n v="21946"/>
    <n v="21946"/>
    <n v="21946"/>
    <n v="132885"/>
    <n v="0.16500000000000001"/>
    <n v="0.16500000000000001"/>
    <n v="0.16500000000000001"/>
    <m/>
    <n v="7.0000000000000007E-2"/>
    <n v="8.5000000000000006E-2"/>
    <n v="0.105"/>
    <n v="5.5E-2"/>
    <n v="396626"/>
    <n v="1.68"/>
    <n v="34637"/>
    <n v="20619"/>
    <n v="1.29"/>
    <n v="38131"/>
    <n v="29598"/>
    <n v="1.34"/>
    <n v="39604"/>
    <n v="29575"/>
    <n v="1.28"/>
    <n v="41192"/>
    <n v="32098"/>
  </r>
  <r>
    <x v="117"/>
    <n v="5"/>
    <n v="9737"/>
    <n v="24916"/>
    <n v="24916"/>
    <n v="24916"/>
    <n v="121719"/>
    <n v="0.20499999999999999"/>
    <n v="0.20499999999999999"/>
    <n v="0.20499999999999999"/>
    <m/>
    <n v="7.0000000000000007E-2"/>
    <n v="8.5000000000000006E-2"/>
    <n v="0.105"/>
    <n v="7.9000000000000001E-2"/>
    <n v="315028"/>
    <n v="6.63"/>
    <n v="134635"/>
    <n v="20303"/>
    <n v="5.38"/>
    <n v="128444"/>
    <n v="23885"/>
    <n v="5.81"/>
    <n v="130279"/>
    <n v="22418"/>
    <n v="5.7"/>
    <n v="134853"/>
    <n v="23658"/>
  </r>
  <r>
    <x v="118"/>
    <n v="5"/>
    <n v="3257"/>
    <n v="17974"/>
    <n v="17974"/>
    <n v="17974"/>
    <n v="40707"/>
    <n v="0.442"/>
    <n v="0.442"/>
    <n v="0.442"/>
    <m/>
    <n v="7.0000000000000007E-2"/>
    <n v="8.5000000000000006E-2"/>
    <n v="0.105"/>
    <n v="0.89700000000000002"/>
    <n v="20031"/>
    <s v="4)"/>
    <s v="4)"/>
    <s v="4)"/>
    <s v="4)"/>
    <s v="4)"/>
    <s v="4)"/>
    <s v="4)"/>
    <s v="4)"/>
    <s v="4)"/>
    <s v="4)"/>
    <s v="4)"/>
    <s v="4)"/>
  </r>
  <r>
    <x v="119"/>
    <n v="4"/>
    <n v="30675"/>
    <n v="63133"/>
    <n v="63133"/>
    <n v="63133"/>
    <n v="383438"/>
    <n v="0.16500000000000001"/>
    <n v="0.16500000000000001"/>
    <n v="0.16500000000000001"/>
    <m/>
    <n v="7.3999999999999996E-2"/>
    <n v="0.09"/>
    <n v="0.112"/>
    <n v="7.0000000000000007E-2"/>
    <n v="905783"/>
    <n v="2.34"/>
    <n v="250081"/>
    <n v="106874"/>
    <n v="2.31"/>
    <n v="310089"/>
    <n v="134454"/>
    <n v="1.98"/>
    <n v="305990"/>
    <n v="154332"/>
    <n v="1.82"/>
    <n v="312316"/>
    <n v="171139"/>
  </r>
  <r>
    <x v="120"/>
    <n v="4"/>
    <n v="126003"/>
    <n v="395476"/>
    <n v="395476"/>
    <n v="395476"/>
    <n v="1575038"/>
    <n v="0.251"/>
    <n v="0.251"/>
    <n v="0.251"/>
    <m/>
    <n v="7.3999999999999996E-2"/>
    <n v="0.09"/>
    <n v="0.112"/>
    <n v="0.14499999999999999"/>
    <n v="2732002"/>
    <n v="1.97"/>
    <n v="1028635"/>
    <n v="523001"/>
    <n v="1.86"/>
    <n v="949759"/>
    <n v="509302"/>
    <n v="1.89"/>
    <n v="939350"/>
    <n v="496203"/>
    <n v="1.86"/>
    <n v="923714"/>
    <n v="495742"/>
  </r>
  <r>
    <x v="121"/>
    <n v="5"/>
    <n v="6663"/>
    <n v="49381"/>
    <n v="49381"/>
    <n v="49381"/>
    <n v="83291"/>
    <n v="0.59299999999999997"/>
    <n v="0.59299999999999997"/>
    <n v="0.59299999999999997"/>
    <m/>
    <n v="7.0000000000000007E-2"/>
    <n v="8.5000000000000006E-2"/>
    <n v="0.105"/>
    <n v="0.18099999999999999"/>
    <n v="273189"/>
    <n v="7.12"/>
    <n v="198548"/>
    <n v="27888"/>
    <n v="5.7"/>
    <n v="197991"/>
    <n v="34759"/>
    <n v="7.68"/>
    <n v="204178"/>
    <n v="26591"/>
    <n v="9.8800000000000008"/>
    <n v="210562"/>
    <n v="21310"/>
  </r>
  <r>
    <x v="122"/>
    <n v="4"/>
    <n v="40198"/>
    <n v="137386"/>
    <n v="136470"/>
    <n v="136470"/>
    <n v="502475"/>
    <n v="0.27200000000000002"/>
    <n v="0.27200000000000002"/>
    <n v="0.27300000000000002"/>
    <m/>
    <n v="7.3999999999999996E-2"/>
    <n v="0.09"/>
    <n v="0.112"/>
    <n v="0.12"/>
    <n v="1132895"/>
    <n v="1.67"/>
    <n v="709342"/>
    <n v="424392"/>
    <n v="2"/>
    <n v="679868"/>
    <n v="340472"/>
    <n v="2.21"/>
    <n v="866935"/>
    <n v="391932"/>
    <n v="1.66"/>
    <n v="521914"/>
    <n v="313936"/>
  </r>
  <r>
    <x v="123"/>
    <n v="5"/>
    <n v="40192"/>
    <n v="172686"/>
    <n v="147686"/>
    <n v="147686"/>
    <n v="502406"/>
    <n v="0.29399999999999998"/>
    <n v="0.29399999999999998"/>
    <n v="0.34399999999999997"/>
    <m/>
    <n v="7.0000000000000007E-2"/>
    <n v="8.5000000000000006E-2"/>
    <n v="0.105"/>
    <n v="0.14799999999999999"/>
    <n v="996222"/>
    <n v="5.29"/>
    <n v="57784"/>
    <n v="10928"/>
    <n v="6.34"/>
    <n v="59329"/>
    <n v="9359"/>
    <n v="6.7"/>
    <n v="62871"/>
    <n v="9387"/>
    <n v="4.3499999999999996"/>
    <n v="54527"/>
    <n v="12548"/>
  </r>
  <r>
    <x v="124"/>
    <n v="5"/>
    <n v="739"/>
    <n v="2835"/>
    <n v="2835"/>
    <n v="2835"/>
    <n v="9232"/>
    <n v="0.307"/>
    <n v="0.307"/>
    <n v="0.307"/>
    <m/>
    <n v="7.0000000000000007E-2"/>
    <n v="8.5000000000000006E-2"/>
    <n v="0.105"/>
    <n v="0.36599999999999999"/>
    <n v="7752"/>
    <s v="5)"/>
    <s v="5)"/>
    <s v="5)"/>
    <s v="5)"/>
    <s v="5)"/>
    <s v="5)"/>
    <s v="5)"/>
    <s v="5)"/>
    <s v="5)"/>
    <n v="42.3"/>
    <n v="4499"/>
    <n v="106"/>
  </r>
  <r>
    <x v="125"/>
    <n v="5"/>
    <n v="9885"/>
    <n v="53747"/>
    <n v="53747"/>
    <n v="53747"/>
    <n v="123565"/>
    <n v="0.435"/>
    <n v="0.435"/>
    <n v="0.435"/>
    <m/>
    <n v="7.0000000000000007E-2"/>
    <n v="8.5000000000000006E-2"/>
    <n v="0.105"/>
    <n v="0.24099999999999999"/>
    <n v="223287"/>
    <n v="3.46"/>
    <n v="95580"/>
    <n v="27591"/>
    <n v="4.9800000000000004"/>
    <n v="148298"/>
    <n v="29795"/>
    <n v="5.44"/>
    <n v="147071"/>
    <n v="27058"/>
    <n v="4.51"/>
    <n v="162289"/>
    <n v="35976"/>
  </r>
  <r>
    <x v="126"/>
    <n v="5"/>
    <n v="6656"/>
    <n v="33735"/>
    <n v="33735"/>
    <n v="33735"/>
    <n v="83202"/>
    <n v="0.40500000000000003"/>
    <n v="0.40500000000000003"/>
    <n v="0.40500000000000003"/>
    <m/>
    <n v="7.0000000000000007E-2"/>
    <n v="8.5000000000000006E-2"/>
    <n v="0.105"/>
    <n v="0.219"/>
    <n v="154249"/>
    <n v="1.9"/>
    <n v="112182"/>
    <n v="59072"/>
    <n v="3.29"/>
    <n v="137295"/>
    <n v="41778"/>
    <n v="5.59"/>
    <n v="126842"/>
    <n v="22709"/>
    <n v="2.13"/>
    <n v="92468"/>
    <n v="43419"/>
  </r>
  <r>
    <x v="127"/>
    <n v="4"/>
    <n v="119635"/>
    <n v="254670"/>
    <n v="242052"/>
    <n v="242052"/>
    <n v="1495432"/>
    <n v="0.16200000000000001"/>
    <n v="0.16200000000000001"/>
    <n v="0.17"/>
    <m/>
    <n v="7.3999999999999996E-2"/>
    <n v="0.09"/>
    <n v="0.112"/>
    <n v="8.4000000000000005E-2"/>
    <n v="2865638"/>
    <n v="1.45"/>
    <n v="394915"/>
    <n v="272979"/>
    <n v="1.58"/>
    <n v="445484"/>
    <n v="281104"/>
    <n v="1.63"/>
    <n v="464590"/>
    <n v="284206"/>
    <n v="1.61"/>
    <n v="463210"/>
    <n v="287272"/>
  </r>
  <r>
    <x v="128"/>
    <n v="5"/>
    <n v="1065"/>
    <n v="4485"/>
    <n v="4485"/>
    <n v="4485"/>
    <n v="13314"/>
    <n v="0.33700000000000002"/>
    <n v="0.33700000000000002"/>
    <n v="0.33700000000000002"/>
    <m/>
    <n v="7.0000000000000007E-2"/>
    <n v="8.5000000000000006E-2"/>
    <n v="0.105"/>
    <n v="0.157"/>
    <n v="28485"/>
    <s v="5)"/>
    <s v="5)"/>
    <s v="5)"/>
    <s v="5)"/>
    <s v="5)"/>
    <s v="5)"/>
    <s v="5)"/>
    <s v="5)"/>
    <s v="5)"/>
    <n v="1.94"/>
    <n v="17128"/>
    <n v="8808"/>
  </r>
  <r>
    <x v="129"/>
    <n v="5"/>
    <n v="42470"/>
    <n v="95715"/>
    <n v="70418"/>
    <n v="95528"/>
    <n v="530875"/>
    <n v="0.13300000000000001"/>
    <n v="0.18"/>
    <n v="0.18"/>
    <m/>
    <n v="7.0000000000000007E-2"/>
    <n v="8.5000000000000006E-2"/>
    <n v="0.105"/>
    <n v="4.4999999999999998E-2"/>
    <n v="2118125"/>
    <n v="1.84"/>
    <n v="242553"/>
    <n v="131967"/>
    <n v="2.08"/>
    <n v="296607"/>
    <n v="142935"/>
    <n v="2.37"/>
    <n v="358615"/>
    <n v="151336"/>
    <n v="2.2599999999999998"/>
    <n v="359619"/>
    <n v="158930"/>
  </r>
  <r>
    <x v="130"/>
    <n v="4"/>
    <n v="77816"/>
    <n v="226506"/>
    <n v="226506"/>
    <n v="226506"/>
    <n v="972701"/>
    <n v="0.23300000000000001"/>
    <n v="0.23300000000000001"/>
    <n v="0.23300000000000001"/>
    <m/>
    <n v="7.3999999999999996E-2"/>
    <n v="0.09"/>
    <n v="0.112"/>
    <n v="0.111"/>
    <n v="2044795"/>
    <n v="1.33"/>
    <n v="2579812"/>
    <n v="1936632"/>
    <n v="1.33"/>
    <n v="2602904"/>
    <n v="1956479"/>
    <n v="1.37"/>
    <n v="2854410"/>
    <n v="2077531"/>
    <n v="1.42"/>
    <n v="3050418"/>
    <n v="2150514"/>
  </r>
  <r>
    <x v="131"/>
    <n v="5"/>
    <n v="17289"/>
    <n v="84925"/>
    <n v="84925"/>
    <n v="84925"/>
    <n v="216110"/>
    <n v="0.39300000000000002"/>
    <n v="0.39300000000000002"/>
    <n v="0.39300000000000002"/>
    <m/>
    <n v="7.0000000000000007E-2"/>
    <n v="8.5000000000000006E-2"/>
    <n v="0.105"/>
    <n v="0.32400000000000001"/>
    <n v="262042"/>
    <s v="4)"/>
    <s v="4)"/>
    <s v="4)"/>
    <s v="4)"/>
    <s v="4)"/>
    <s v="4)"/>
    <s v="4)"/>
    <s v="4)"/>
    <s v="4)"/>
    <s v="4)"/>
    <s v="4)"/>
    <s v="4)"/>
  </r>
  <r>
    <x v="132"/>
    <n v="5"/>
    <n v="12218"/>
    <n v="60859"/>
    <n v="60859"/>
    <n v="60859"/>
    <n v="152729"/>
    <n v="0.39800000000000002"/>
    <n v="0.39800000000000002"/>
    <n v="0.39800000000000002"/>
    <m/>
    <n v="7.0000000000000007E-2"/>
    <n v="8.5000000000000006E-2"/>
    <n v="0.105"/>
    <n v="7.6999999999999999E-2"/>
    <n v="788126"/>
    <n v="1.71"/>
    <n v="502421"/>
    <n v="293911"/>
    <n v="1.38"/>
    <n v="568318"/>
    <n v="411991"/>
    <n v="1.42"/>
    <n v="541976"/>
    <n v="382988"/>
    <n v="1.7"/>
    <n v="517693"/>
    <n v="303718"/>
  </r>
  <r>
    <x v="133"/>
    <n v="5"/>
    <n v="48738"/>
    <n v="121828"/>
    <n v="121828"/>
    <n v="121828"/>
    <n v="609229"/>
    <n v="0.2"/>
    <n v="0.2"/>
    <n v="0.2"/>
    <m/>
    <n v="7.0000000000000007E-2"/>
    <n v="8.5000000000000006E-2"/>
    <n v="0.105"/>
    <n v="9.1999999999999998E-2"/>
    <n v="1327076"/>
    <n v="1.41"/>
    <n v="217594"/>
    <n v="153808"/>
    <n v="1.54"/>
    <n v="243397"/>
    <n v="157974"/>
    <n v="1.57"/>
    <n v="256434"/>
    <n v="163200"/>
    <n v="1.5"/>
    <n v="288223"/>
    <n v="192103"/>
  </r>
  <r>
    <x v="134"/>
    <n v="5"/>
    <n v="128609"/>
    <n v="571620"/>
    <n v="571174"/>
    <n v="571174"/>
    <n v="1607612"/>
    <n v="0.35499999999999998"/>
    <n v="0.35499999999999998"/>
    <n v="0.35599999999999998"/>
    <m/>
    <n v="7.0000000000000007E-2"/>
    <n v="8.5000000000000006E-2"/>
    <n v="0.105"/>
    <n v="0.33400000000000002"/>
    <n v="1709701"/>
    <n v="1.43"/>
    <n v="947040"/>
    <n v="662210"/>
    <n v="1.55"/>
    <n v="910868"/>
    <n v="589434"/>
    <n v="1.59"/>
    <n v="821897"/>
    <n v="518243"/>
    <n v="1.45"/>
    <n v="773503"/>
    <n v="534236"/>
  </r>
  <r>
    <x v="135"/>
    <n v="4"/>
    <n v="316217"/>
    <n v="1052032"/>
    <n v="1036184"/>
    <n v="1036184"/>
    <n v="3952707"/>
    <n v="0.26200000000000001"/>
    <n v="0.26200000000000001"/>
    <n v="0.26600000000000001"/>
    <m/>
    <n v="7.3999999999999996E-2"/>
    <n v="0.09"/>
    <n v="0.112"/>
    <n v="0.11600000000000001"/>
    <n v="8902420"/>
    <n v="1.27"/>
    <n v="1246699"/>
    <n v="979685"/>
    <n v="1.43"/>
    <n v="1485817"/>
    <n v="1040294"/>
    <n v="1.63"/>
    <n v="1587819"/>
    <n v="976544"/>
    <n v="1.48"/>
    <n v="1579714"/>
    <n v="1064211"/>
  </r>
  <r>
    <x v="136"/>
    <n v="5"/>
    <n v="41500"/>
    <n v="148826"/>
    <n v="148826"/>
    <n v="148826"/>
    <n v="518750"/>
    <n v="0.28699999999999998"/>
    <n v="0.28699999999999998"/>
    <n v="0.28699999999999998"/>
    <m/>
    <n v="7.0000000000000007E-2"/>
    <n v="8.5000000000000006E-2"/>
    <n v="0.105"/>
    <n v="0.126"/>
    <n v="1181235"/>
    <n v="3.94"/>
    <n v="389486"/>
    <n v="98755"/>
    <n v="3.35"/>
    <n v="443139"/>
    <n v="132092"/>
    <n v="2.87"/>
    <n v="575171"/>
    <n v="200265"/>
    <n v="2.89"/>
    <n v="516741"/>
    <n v="178533"/>
  </r>
  <r>
    <x v="137"/>
    <n v="3"/>
    <n v="706988"/>
    <n v="2053526"/>
    <n v="1950873"/>
    <n v="1950873"/>
    <n v="8837347"/>
    <n v="0.221"/>
    <n v="0.221"/>
    <n v="0.23200000000000001"/>
    <m/>
    <n v="7.8E-2"/>
    <n v="9.6000000000000002E-2"/>
    <n v="0.12"/>
    <n v="9.7000000000000003E-2"/>
    <n v="20197724"/>
    <n v="1.37"/>
    <n v="2865851"/>
    <n v="2092466"/>
    <n v="1.48"/>
    <n v="3584202"/>
    <n v="2415647"/>
    <n v="1.49"/>
    <n v="3446043"/>
    <n v="2308464"/>
    <n v="1.53"/>
    <n v="3502200"/>
    <n v="2290867"/>
  </r>
  <r>
    <x v="138"/>
    <n v="5"/>
    <n v="12533"/>
    <n v="92712"/>
    <n v="84612"/>
    <n v="84612"/>
    <n v="156668"/>
    <n v="0.54"/>
    <n v="0.54"/>
    <n v="0.59199999999999997"/>
    <m/>
    <n v="7.0000000000000007E-2"/>
    <n v="8.5000000000000006E-2"/>
    <n v="0.105"/>
    <n v="0.249"/>
    <n v="339933"/>
    <n v="7.63"/>
    <n v="605923"/>
    <n v="79365"/>
    <n v="8.9700000000000006"/>
    <n v="711970"/>
    <n v="79352"/>
    <n v="8.8000000000000007"/>
    <n v="656512"/>
    <n v="74590"/>
    <n v="13.89"/>
    <n v="605184"/>
    <n v="43560"/>
  </r>
  <r>
    <x v="139"/>
    <n v="5"/>
    <n v="15540"/>
    <n v="51788"/>
    <n v="51788"/>
    <n v="51788"/>
    <n v="194249"/>
    <n v="0.26700000000000002"/>
    <n v="0.26700000000000002"/>
    <n v="0.26700000000000002"/>
    <m/>
    <n v="7.0000000000000007E-2"/>
    <n v="8.5000000000000006E-2"/>
    <n v="0.105"/>
    <n v="0.41699999999999998"/>
    <n v="124304"/>
    <n v="7.98"/>
    <n v="46893"/>
    <n v="5878"/>
    <n v="7.23"/>
    <n v="40200"/>
    <n v="5559"/>
    <n v="2.81"/>
    <n v="17278"/>
    <n v="6152"/>
    <n v="3.56"/>
    <n v="20096"/>
    <n v="5649"/>
  </r>
  <r>
    <x v="140"/>
    <n v="5"/>
    <n v="42758"/>
    <n v="93755"/>
    <n v="92664"/>
    <n v="92664"/>
    <n v="534474"/>
    <n v="0.17299999999999999"/>
    <n v="0.17299999999999999"/>
    <n v="0.17499999999999999"/>
    <m/>
    <n v="7.0000000000000007E-2"/>
    <n v="8.5000000000000006E-2"/>
    <n v="0.105"/>
    <n v="7.8E-2"/>
    <n v="1189939"/>
    <s v="4)"/>
    <s v="4)"/>
    <s v="4)"/>
    <s v="4)"/>
    <s v="4)"/>
    <s v="4)"/>
    <s v="4)"/>
    <s v="4)"/>
    <s v="4)"/>
    <s v="4)"/>
    <s v="4)"/>
    <s v="4)"/>
  </r>
  <r>
    <x v="141"/>
    <n v="5"/>
    <n v="822"/>
    <n v="1975"/>
    <n v="1975"/>
    <n v="1975"/>
    <n v="10278"/>
    <n v="0.192"/>
    <n v="0.192"/>
    <n v="0.192"/>
    <m/>
    <n v="7.0000000000000007E-2"/>
    <n v="8.5000000000000006E-2"/>
    <n v="0.105"/>
    <n v="4.8000000000000001E-2"/>
    <n v="41061"/>
    <s v="5)"/>
    <s v="5)"/>
    <s v="5)"/>
    <s v="5)"/>
    <s v="5)"/>
    <s v="5)"/>
    <s v="5)"/>
    <s v="5)"/>
    <s v="5)"/>
    <n v="3.49"/>
    <n v="22740"/>
    <n v="6522"/>
  </r>
  <r>
    <x v="142"/>
    <n v="4"/>
    <n v="132135"/>
    <n v="458555"/>
    <n v="458555"/>
    <n v="458555"/>
    <n v="1651692"/>
    <n v="0.27800000000000002"/>
    <n v="0.27800000000000002"/>
    <n v="0.27800000000000002"/>
    <m/>
    <n v="7.3999999999999996E-2"/>
    <n v="0.09"/>
    <n v="0.112"/>
    <n v="7.6999999999999999E-2"/>
    <n v="5980079"/>
    <n v="1.39"/>
    <n v="851090"/>
    <n v="611422"/>
    <n v="1.31"/>
    <n v="759069"/>
    <n v="578487"/>
    <n v="1.57"/>
    <n v="850723"/>
    <n v="543083"/>
    <n v="1.56"/>
    <n v="872955"/>
    <n v="560272"/>
  </r>
  <r>
    <x v="143"/>
    <n v="5"/>
    <n v="22048"/>
    <n v="66523"/>
    <n v="66523"/>
    <n v="66523"/>
    <n v="275599"/>
    <n v="0.24099999999999999"/>
    <n v="0.24099999999999999"/>
    <n v="0.24099999999999999"/>
    <m/>
    <n v="7.0000000000000007E-2"/>
    <n v="8.5000000000000006E-2"/>
    <n v="0.105"/>
    <n v="0.122"/>
    <n v="543097"/>
    <n v="1.91"/>
    <n v="62300"/>
    <n v="32643"/>
    <n v="2.21"/>
    <n v="76310"/>
    <n v="34525"/>
    <n v="2.17"/>
    <n v="74655"/>
    <n v="34404"/>
    <n v="1.96"/>
    <n v="75714"/>
    <n v="38544"/>
  </r>
  <r>
    <x v="144"/>
    <n v="3"/>
    <n v="1244872"/>
    <n v="2728097"/>
    <n v="2492021"/>
    <n v="2592021"/>
    <n v="15560905"/>
    <n v="0.16"/>
    <n v="0.16700000000000001"/>
    <n v="0.17499999999999999"/>
    <m/>
    <n v="7.8E-2"/>
    <n v="9.6000000000000002E-2"/>
    <n v="0.12"/>
    <n v="7.3999999999999996E-2"/>
    <n v="35081333"/>
    <n v="1.52"/>
    <n v="6770413"/>
    <n v="4461454"/>
    <n v="1.47"/>
    <n v="7963196"/>
    <n v="5432539"/>
    <n v="1.49"/>
    <n v="7564404"/>
    <n v="5071324"/>
    <n v="1.43"/>
    <n v="7584028"/>
    <n v="5294021"/>
  </r>
  <r>
    <x v="145"/>
    <n v="5"/>
    <n v="18790"/>
    <n v="83152"/>
    <n v="83152"/>
    <n v="83152"/>
    <n v="234871"/>
    <n v="0.35399999999999998"/>
    <n v="0.35399999999999998"/>
    <n v="0.35399999999999998"/>
    <m/>
    <n v="7.0000000000000007E-2"/>
    <n v="8.5000000000000006E-2"/>
    <n v="0.105"/>
    <n v="0.183"/>
    <n v="453529"/>
    <n v="3.44"/>
    <n v="164394"/>
    <n v="47786"/>
    <n v="2.99"/>
    <n v="146981"/>
    <n v="49192"/>
    <n v="3.2"/>
    <n v="138273"/>
    <n v="43237"/>
    <n v="3.23"/>
    <n v="132965"/>
    <n v="41211"/>
  </r>
  <r>
    <x v="146"/>
    <n v="4"/>
    <n v="112373"/>
    <n v="323382"/>
    <n v="322721"/>
    <n v="322721"/>
    <n v="1404661"/>
    <n v="0.23"/>
    <n v="0.23"/>
    <n v="0.23"/>
    <m/>
    <n v="7.3999999999999996E-2"/>
    <n v="0.09"/>
    <n v="0.112"/>
    <n v="0.107"/>
    <n v="3005491"/>
    <n v="3.19"/>
    <n v="3011286"/>
    <n v="943224"/>
    <n v="3.33"/>
    <n v="3212332"/>
    <n v="963508"/>
    <n v="4.0599999999999996"/>
    <n v="3293882"/>
    <n v="810836"/>
    <n v="4.05"/>
    <n v="3751545"/>
    <n v="927050"/>
  </r>
  <r>
    <x v="147"/>
    <n v="4"/>
    <n v="133476"/>
    <n v="383573"/>
    <n v="382914"/>
    <n v="382914"/>
    <n v="1668454"/>
    <n v="0.23"/>
    <n v="0.23"/>
    <n v="0.23"/>
    <m/>
    <n v="7.3999999999999996E-2"/>
    <n v="0.09"/>
    <n v="0.112"/>
    <n v="0.109"/>
    <n v="3497581"/>
    <n v="4.0999999999999996"/>
    <n v="3041486"/>
    <n v="742596"/>
    <n v="4.1399999999999997"/>
    <n v="3265760"/>
    <n v="789174"/>
    <n v="4.88"/>
    <n v="3348046"/>
    <n v="686705"/>
    <n v="4.7300000000000004"/>
    <n v="3812094"/>
    <n v="806569"/>
  </r>
  <r>
    <x v="148"/>
    <n v="5"/>
    <n v="4211"/>
    <n v="33757"/>
    <n v="33757"/>
    <n v="33757"/>
    <n v="52637"/>
    <n v="0.64100000000000001"/>
    <n v="0.64100000000000001"/>
    <n v="0.64100000000000001"/>
    <m/>
    <n v="7.0000000000000007E-2"/>
    <n v="8.5000000000000006E-2"/>
    <n v="0.105"/>
    <n v="0.61599999999999999"/>
    <n v="54830"/>
    <n v="6.57"/>
    <n v="13274"/>
    <n v="2022"/>
    <n v="6.35"/>
    <n v="9734"/>
    <n v="1532"/>
    <n v="9.24"/>
    <n v="10467"/>
    <n v="1133"/>
    <n v="5.99"/>
    <n v="13086"/>
    <n v="2185"/>
  </r>
  <r>
    <x v="149"/>
    <n v="5"/>
    <n v="15255"/>
    <n v="33000"/>
    <n v="33000"/>
    <n v="33000"/>
    <n v="190682"/>
    <n v="0.17299999999999999"/>
    <n v="0.17299999999999999"/>
    <n v="0.17299999999999999"/>
    <m/>
    <n v="7.0000000000000007E-2"/>
    <n v="8.5000000000000006E-2"/>
    <n v="0.105"/>
    <n v="0.21"/>
    <n v="157405"/>
    <n v="1.92"/>
    <n v="19291"/>
    <n v="10061"/>
    <n v="2.74"/>
    <n v="21595"/>
    <n v="7887"/>
    <n v="3.07"/>
    <n v="25729"/>
    <n v="8370"/>
    <n v="3.5"/>
    <n v="27201"/>
    <n v="7774"/>
  </r>
  <r>
    <x v="150"/>
    <n v="3"/>
    <n v="1008689"/>
    <n v="2308010"/>
    <n v="2305510"/>
    <n v="2305510"/>
    <n v="12608615"/>
    <n v="0.183"/>
    <n v="0.183"/>
    <n v="0.183"/>
    <m/>
    <n v="7.8E-2"/>
    <n v="9.6000000000000002E-2"/>
    <n v="0.12"/>
    <n v="8.5000000000000006E-2"/>
    <n v="27214654"/>
    <n v="1.26"/>
    <n v="3806046"/>
    <n v="3011491"/>
    <n v="1.46"/>
    <n v="4827966"/>
    <n v="3309450"/>
    <n v="1.49"/>
    <n v="5317178"/>
    <n v="3579162"/>
    <n v="1.57"/>
    <n v="5352938"/>
    <n v="3412197"/>
  </r>
  <r>
    <x v="151"/>
    <n v="5"/>
    <n v="5969"/>
    <n v="36316"/>
    <n v="36316"/>
    <n v="36316"/>
    <n v="74619"/>
    <n v="0.48699999999999999"/>
    <n v="0.48699999999999999"/>
    <n v="0.48699999999999999"/>
    <m/>
    <n v="7.0000000000000007E-2"/>
    <n v="8.5000000000000006E-2"/>
    <n v="0.105"/>
    <n v="0.23899999999999999"/>
    <n v="152532"/>
    <n v="1.45"/>
    <n v="36553"/>
    <n v="25222"/>
    <n v="1.71"/>
    <n v="32776"/>
    <n v="19215"/>
    <n v="1.93"/>
    <n v="34451"/>
    <n v="17839"/>
    <n v="1.66"/>
    <n v="40596"/>
    <n v="24403"/>
  </r>
  <r>
    <x v="152"/>
    <n v="3"/>
    <n v="593308"/>
    <n v="2056326"/>
    <n v="2052326"/>
    <n v="2052326"/>
    <n v="7416353"/>
    <n v="0.27700000000000002"/>
    <n v="0.27700000000000002"/>
    <n v="0.27700000000000002"/>
    <m/>
    <n v="7.8E-2"/>
    <n v="9.6000000000000002E-2"/>
    <n v="0.12"/>
    <n v="6.6000000000000003E-2"/>
    <n v="31048657"/>
    <n v="2.83"/>
    <n v="11196435"/>
    <n v="3955299"/>
    <n v="2.76"/>
    <n v="11493786"/>
    <n v="4160581"/>
    <n v="2.4900000000000002"/>
    <n v="11811332"/>
    <n v="4738861"/>
    <n v="2.48"/>
    <n v="11397914"/>
    <n v="4593873"/>
  </r>
  <r>
    <x v="153"/>
    <n v="5"/>
    <n v="3748"/>
    <n v="35278"/>
    <n v="35278"/>
    <n v="35278"/>
    <n v="46852"/>
    <n v="0.753"/>
    <n v="0.753"/>
    <n v="0.753"/>
    <m/>
    <n v="7.0000000000000007E-2"/>
    <n v="8.5000000000000006E-2"/>
    <n v="0.105"/>
    <n v="0.252"/>
    <n v="140103"/>
    <n v="3"/>
    <n v="30032"/>
    <n v="9999"/>
    <n v="2.65"/>
    <n v="25912"/>
    <n v="9761"/>
    <n v="2.06"/>
    <n v="16436"/>
    <n v="7963"/>
    <n v="1.88"/>
    <n v="17140"/>
    <n v="9096"/>
  </r>
  <r>
    <x v="154"/>
    <n v="4"/>
    <n v="127593"/>
    <n v="317945"/>
    <n v="307068"/>
    <n v="307068"/>
    <n v="1594911"/>
    <n v="0.193"/>
    <n v="0.193"/>
    <n v="0.19900000000000001"/>
    <m/>
    <n v="7.3999999999999996E-2"/>
    <n v="0.09"/>
    <n v="0.112"/>
    <n v="9.7000000000000003E-2"/>
    <n v="3176561"/>
    <n v="1.61"/>
    <n v="469053"/>
    <n v="291274"/>
    <n v="1.75"/>
    <n v="544547"/>
    <n v="311286"/>
    <n v="1.85"/>
    <n v="525839"/>
    <n v="283778"/>
    <n v="1.88"/>
    <n v="528045"/>
    <n v="281318"/>
  </r>
  <r>
    <x v="155"/>
    <n v="3"/>
    <n v="1102897"/>
    <n v="2239779"/>
    <n v="2239779"/>
    <n v="2239779"/>
    <n v="13786212"/>
    <n v="0.16200000000000001"/>
    <n v="0.16200000000000001"/>
    <n v="0.16200000000000001"/>
    <m/>
    <n v="7.8E-2"/>
    <n v="9.6000000000000002E-2"/>
    <n v="0.12"/>
    <n v="7.8E-2"/>
    <n v="28722867"/>
    <n v="1.56"/>
    <n v="4881634"/>
    <n v="3132489"/>
    <n v="1.48"/>
    <n v="5468448"/>
    <n v="3706251"/>
    <n v="1.61"/>
    <n v="6622367"/>
    <n v="4111920"/>
    <n v="1.54"/>
    <n v="6794971"/>
    <n v="4412837"/>
  </r>
  <r>
    <x v="156"/>
    <n v="3"/>
    <n v="1122985"/>
    <n v="2261455"/>
    <n v="2261455"/>
    <n v="2261455"/>
    <n v="14037317"/>
    <n v="0.161"/>
    <n v="0.161"/>
    <n v="0.161"/>
    <m/>
    <n v="7.8E-2"/>
    <n v="9.6000000000000002E-2"/>
    <n v="0.12"/>
    <n v="7.0000000000000007E-2"/>
    <n v="32323368"/>
    <s v="4)"/>
    <s v="4)"/>
    <s v="4)"/>
    <s v="4)"/>
    <s v="4)"/>
    <s v="4)"/>
    <s v="4)"/>
    <s v="4)"/>
    <s v="4)"/>
    <s v="4)"/>
    <s v="4)"/>
    <s v="4)"/>
  </r>
  <r>
    <x v="157"/>
    <n v="3"/>
    <n v="595804"/>
    <n v="1473036"/>
    <n v="1024439"/>
    <n v="1473036"/>
    <n v="7447547"/>
    <n v="0.13800000000000001"/>
    <n v="0.19800000000000001"/>
    <n v="0.19800000000000001"/>
    <m/>
    <n v="7.8E-2"/>
    <n v="9.6000000000000002E-2"/>
    <n v="0.12"/>
    <n v="4.5999999999999999E-2"/>
    <n v="31827834"/>
    <n v="1.81"/>
    <n v="8203658"/>
    <n v="4541962"/>
    <n v="1.93"/>
    <n v="7825522"/>
    <n v="4063607"/>
    <n v="1.81"/>
    <n v="7731025"/>
    <n v="4279068"/>
    <n v="1.84"/>
    <n v="7947396"/>
    <n v="4308585"/>
  </r>
  <r>
    <x v="158"/>
    <n v="4"/>
    <n v="50042"/>
    <n v="103936"/>
    <n v="98315"/>
    <n v="98315"/>
    <n v="625523"/>
    <n v="0.157"/>
    <n v="0.157"/>
    <n v="0.16600000000000001"/>
    <m/>
    <n v="7.3999999999999996E-2"/>
    <n v="0.09"/>
    <n v="0.112"/>
    <n v="4.7E-2"/>
    <n v="2113577"/>
    <n v="1.6"/>
    <n v="230696"/>
    <n v="144057"/>
    <n v="1.51"/>
    <n v="261588"/>
    <n v="172757"/>
    <n v="1.5"/>
    <n v="270797"/>
    <n v="180708"/>
    <n v="1.53"/>
    <n v="293000"/>
    <n v="191453"/>
  </r>
  <r>
    <x v="159"/>
    <n v="4"/>
    <n v="127247"/>
    <n v="422570"/>
    <n v="422570"/>
    <n v="422570"/>
    <n v="1590584"/>
    <n v="0.26600000000000001"/>
    <n v="0.26600000000000001"/>
    <n v="0.26600000000000001"/>
    <m/>
    <n v="7.3999999999999996E-2"/>
    <n v="0.09"/>
    <n v="0.112"/>
    <n v="0.13"/>
    <n v="3245517"/>
    <n v="2.56"/>
    <n v="1189733"/>
    <n v="464408"/>
    <n v="2.52"/>
    <n v="1318363"/>
    <n v="522508"/>
    <n v="2.38"/>
    <n v="1409774"/>
    <n v="592129"/>
    <n v="2.16"/>
    <n v="1447715"/>
    <n v="669432"/>
  </r>
  <r>
    <x v="160"/>
    <n v="4"/>
    <n v="162599"/>
    <n v="477883"/>
    <n v="477883"/>
    <n v="477883"/>
    <n v="2032482"/>
    <n v="0.23499999999999999"/>
    <n v="0.23499999999999999"/>
    <n v="0.23499999999999999"/>
    <m/>
    <n v="7.3999999999999996E-2"/>
    <n v="0.09"/>
    <n v="0.112"/>
    <n v="0.1"/>
    <n v="4761107"/>
    <s v="4)"/>
    <s v="4)"/>
    <s v="4)"/>
    <s v="4)"/>
    <s v="4)"/>
    <s v="4)"/>
    <s v="4)"/>
    <s v="4)"/>
    <s v="4)"/>
    <s v="4)"/>
    <s v="4)"/>
    <s v="4)"/>
  </r>
  <r>
    <x v="161"/>
    <n v="4"/>
    <n v="271343"/>
    <n v="555584"/>
    <n v="470064"/>
    <n v="470064"/>
    <n v="3391787"/>
    <n v="0.13900000000000001"/>
    <n v="0.13900000000000001"/>
    <n v="0.16400000000000001"/>
    <m/>
    <n v="7.3999999999999996E-2"/>
    <n v="0.09"/>
    <n v="0.112"/>
    <n v="9.0999999999999998E-2"/>
    <n v="5181841"/>
    <n v="1.87"/>
    <n v="396839"/>
    <n v="212443"/>
    <n v="1.85"/>
    <n v="452125"/>
    <n v="243955"/>
    <n v="1.96"/>
    <n v="451785"/>
    <n v="230349"/>
    <n v="2.1800000000000002"/>
    <n v="542239"/>
    <n v="248556"/>
  </r>
  <r>
    <x v="162"/>
    <n v="3"/>
    <n v="574105"/>
    <n v="1301214"/>
    <n v="1301214"/>
    <n v="1301214"/>
    <n v="7176318"/>
    <n v="0.18099999999999999"/>
    <n v="0.18099999999999999"/>
    <n v="0.18099999999999999"/>
    <m/>
    <n v="7.8E-2"/>
    <n v="9.6000000000000002E-2"/>
    <n v="0.12"/>
    <n v="7.4999999999999997E-2"/>
    <n v="17306911"/>
    <n v="1.51"/>
    <n v="2190475"/>
    <n v="1453909"/>
    <n v="1.72"/>
    <n v="2583276"/>
    <n v="1502379"/>
    <n v="1.6"/>
    <n v="2639557"/>
    <n v="1654384"/>
    <n v="1.61"/>
    <n v="2770258"/>
    <n v="1716503"/>
  </r>
  <r>
    <x v="163"/>
    <n v="5"/>
    <n v="31765"/>
    <n v="71454"/>
    <n v="51418"/>
    <n v="51418"/>
    <n v="397066"/>
    <n v="0.129"/>
    <n v="0.129"/>
    <n v="0.18"/>
    <m/>
    <n v="7.0000000000000007E-2"/>
    <n v="8.5000000000000006E-2"/>
    <n v="0.105"/>
    <n v="6.0999999999999999E-2"/>
    <n v="842291"/>
    <n v="1.52"/>
    <n v="71938"/>
    <n v="47231"/>
    <n v="1.66"/>
    <n v="88271"/>
    <n v="53140"/>
    <n v="1.57"/>
    <n v="85918"/>
    <n v="54565"/>
    <n v="1.8"/>
    <n v="97982"/>
    <n v="543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496A01-1AA5-8543-98AA-1553108368CE}" name="PivotTable3" cacheId="12"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27" firstHeaderRow="1" firstDataRow="1" firstDataCol="1"/>
  <pivotFields count="28">
    <pivotField axis="axisRow" showAll="0">
      <items count="165">
        <item x="2"/>
        <item h="1" x="3"/>
        <item h="1" x="4"/>
        <item h="1" x="5"/>
        <item h="1" x="6"/>
        <item h="1" x="7"/>
        <item h="1" x="8"/>
        <item h="1" x="9"/>
        <item h="1" x="10"/>
        <item x="11"/>
        <item h="1" x="12"/>
        <item h="1" x="13"/>
        <item h="1" x="14"/>
        <item h="1" x="15"/>
        <item h="1" x="16"/>
        <item h="1" x="17"/>
        <item h="1" x="18"/>
        <item x="19"/>
        <item h="1" x="20"/>
        <item h="1" x="21"/>
        <item h="1" x="22"/>
        <item h="1" x="23"/>
        <item h="1" x="24"/>
        <item h="1" x="25"/>
        <item h="1" x="26"/>
        <item h="1" x="27"/>
        <item h="1" x="28"/>
        <item h="1" x="29"/>
        <item h="1" x="30"/>
        <item x="31"/>
        <item x="32"/>
        <item h="1" x="33"/>
        <item x="34"/>
        <item x="35"/>
        <item x="36"/>
        <item h="1" x="37"/>
        <item h="1" x="38"/>
        <item h="1" x="39"/>
        <item h="1" x="40"/>
        <item h="1" x="41"/>
        <item h="1" x="42"/>
        <item h="1" x="43"/>
        <item h="1" x="44"/>
        <item h="1" x="45"/>
        <item h="1" x="46"/>
        <item h="1" x="47"/>
        <item h="1" x="48"/>
        <item x="49"/>
        <item x="50"/>
        <item h="1" x="51"/>
        <item x="52"/>
        <item h="1" x="53"/>
        <item h="1" x="54"/>
        <item h="1" x="55"/>
        <item h="1" x="56"/>
        <item h="1" x="57"/>
        <item h="1" x="58"/>
        <item h="1" x="59"/>
        <item h="1" x="60"/>
        <item h="1" x="61"/>
        <item h="1" x="62"/>
        <item h="1" x="63"/>
        <item x="64"/>
        <item h="1" x="65"/>
        <item x="66"/>
        <item h="1" x="67"/>
        <item h="1" x="68"/>
        <item h="1" x="69"/>
        <item h="1" x="70"/>
        <item h="1" x="71"/>
        <item h="1" x="72"/>
        <item h="1" x="73"/>
        <item h="1" x="74"/>
        <item h="1" x="75"/>
        <item h="1" x="76"/>
        <item h="1" x="77"/>
        <item h="1" x="78"/>
        <item h="1" x="79"/>
        <item h="1" x="80"/>
        <item h="1" x="81"/>
        <item h="1" x="82"/>
        <item h="1" x="83"/>
        <item h="1" x="84"/>
        <item h="1" x="85"/>
        <item h="1" x="86"/>
        <item h="1" x="87"/>
        <item x="88"/>
        <item h="1" x="89"/>
        <item h="1" x="90"/>
        <item x="91"/>
        <item h="1" x="92"/>
        <item h="1" x="93"/>
        <item h="1" x="94"/>
        <item h="1" x="95"/>
        <item h="1" x="96"/>
        <item h="1" x="97"/>
        <item h="1" x="98"/>
        <item h="1" x="99"/>
        <item h="1" x="100"/>
        <item h="1" x="101"/>
        <item h="1" x="102"/>
        <item h="1" x="103"/>
        <item h="1" x="104"/>
        <item h="1" x="105"/>
        <item h="1" x="106"/>
        <item h="1" x="107"/>
        <item h="1" x="108"/>
        <item h="1" x="109"/>
        <item x="110"/>
        <item h="1" x="111"/>
        <item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x="135"/>
        <item h="1" x="136"/>
        <item x="137"/>
        <item h="1" x="138"/>
        <item h="1" x="139"/>
        <item h="1" x="140"/>
        <item h="1" x="141"/>
        <item h="1" x="142"/>
        <item h="1" x="1"/>
        <item h="1" x="143"/>
        <item x="144"/>
        <item h="1" x="145"/>
        <item h="1" x="146"/>
        <item h="1" x="147"/>
        <item h="1" x="148"/>
        <item h="1" x="149"/>
        <item x="150"/>
        <item h="1" x="151"/>
        <item h="1" x="152"/>
        <item h="1" x="153"/>
        <item h="1" x="154"/>
        <item x="155"/>
        <item h="1" x="156"/>
        <item h="1" x="157"/>
        <item h="1" x="158"/>
        <item h="1" x="159"/>
        <item h="1" x="160"/>
        <item h="1" x="161"/>
        <item x="162"/>
        <item h="1" x="163"/>
        <item h="1"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4">
    <i>
      <x/>
    </i>
    <i>
      <x v="9"/>
    </i>
    <i>
      <x v="17"/>
    </i>
    <i>
      <x v="29"/>
    </i>
    <i>
      <x v="30"/>
    </i>
    <i>
      <x v="32"/>
    </i>
    <i>
      <x v="33"/>
    </i>
    <i>
      <x v="34"/>
    </i>
    <i>
      <x v="47"/>
    </i>
    <i>
      <x v="48"/>
    </i>
    <i>
      <x v="50"/>
    </i>
    <i>
      <x v="62"/>
    </i>
    <i>
      <x v="64"/>
    </i>
    <i>
      <x v="86"/>
    </i>
    <i>
      <x v="89"/>
    </i>
    <i>
      <x v="108"/>
    </i>
    <i>
      <x v="110"/>
    </i>
    <i>
      <x v="133"/>
    </i>
    <i>
      <x v="135"/>
    </i>
    <i>
      <x v="143"/>
    </i>
    <i>
      <x v="149"/>
    </i>
    <i>
      <x v="154"/>
    </i>
    <i>
      <x v="161"/>
    </i>
    <i t="grand">
      <x/>
    </i>
  </rowItems>
  <colItems count="1">
    <i/>
  </colItems>
  <dataFields count="1">
    <dataField name="Summe von Risiko-gewichtete Positionen (RWA)"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8:AB170" totalsRowShown="0" headerRowDxfId="29" dataDxfId="28">
  <autoFilter ref="A8:AB170" xr:uid="{00000000-0009-0000-0100-000001000000}"/>
  <sortState xmlns:xlrd2="http://schemas.microsoft.com/office/spreadsheetml/2017/richdata2" ref="A9:AB170">
    <sortCondition ref="A8:A170"/>
  </sortState>
  <tableColumns count="28">
    <tableColumn id="1" xr3:uid="{00000000-0010-0000-0000-000001000000}" name="Spalte1" dataDxfId="27"/>
    <tableColumn id="2" xr3:uid="{00000000-0010-0000-0000-000002000000}" name="Spalte2" dataDxfId="26"/>
    <tableColumn id="3" xr3:uid="{00000000-0010-0000-0000-000003000000}" name="Spalte3" dataDxfId="25"/>
    <tableColumn id="4" xr3:uid="{00000000-0010-0000-0000-000004000000}" name="Spalte4" dataDxfId="24"/>
    <tableColumn id="5" xr3:uid="{00000000-0010-0000-0000-000005000000}" name="Spalte5" dataDxfId="23"/>
    <tableColumn id="6" xr3:uid="{00000000-0010-0000-0000-000006000000}" name="Spalte6" dataDxfId="22"/>
    <tableColumn id="7" xr3:uid="{00000000-0010-0000-0000-000007000000}" name="Spalte7" dataDxfId="21"/>
    <tableColumn id="8" xr3:uid="{00000000-0010-0000-0000-000008000000}" name="Spalte8" dataDxfId="20"/>
    <tableColumn id="9" xr3:uid="{00000000-0010-0000-0000-000009000000}" name="Spalte9" dataDxfId="19"/>
    <tableColumn id="10" xr3:uid="{00000000-0010-0000-0000-00000A000000}" name="Spalte10" dataDxfId="18"/>
    <tableColumn id="11" xr3:uid="{00000000-0010-0000-0000-00000B000000}" name="Spalte11" dataDxfId="17"/>
    <tableColumn id="12" xr3:uid="{00000000-0010-0000-0000-00000C000000}" name="Spalte12" dataDxfId="16"/>
    <tableColumn id="13" xr3:uid="{00000000-0010-0000-0000-00000D000000}" name="Spalte13" dataDxfId="15"/>
    <tableColumn id="14" xr3:uid="{00000000-0010-0000-0000-00000E000000}" name="Spalte14" dataDxfId="14"/>
    <tableColumn id="15" xr3:uid="{00000000-0010-0000-0000-00000F000000}" name="Spalte15" dataDxfId="13"/>
    <tableColumn id="16" xr3:uid="{00000000-0010-0000-0000-000010000000}" name="Spalte16" dataDxfId="12"/>
    <tableColumn id="17" xr3:uid="{00000000-0010-0000-0000-000011000000}" name="Spalte17" dataDxfId="11"/>
    <tableColumn id="18" xr3:uid="{00000000-0010-0000-0000-000012000000}" name="Spalte18" dataDxfId="10"/>
    <tableColumn id="19" xr3:uid="{00000000-0010-0000-0000-000013000000}" name="Spalte19" dataDxfId="9"/>
    <tableColumn id="20" xr3:uid="{00000000-0010-0000-0000-000014000000}" name="Spalte20" dataDxfId="8"/>
    <tableColumn id="21" xr3:uid="{00000000-0010-0000-0000-000015000000}" name="Spalte21" dataDxfId="7"/>
    <tableColumn id="22" xr3:uid="{00000000-0010-0000-0000-000016000000}" name="Spalte22" dataDxfId="6"/>
    <tableColumn id="23" xr3:uid="{00000000-0010-0000-0000-000017000000}" name="Spalte23" dataDxfId="5"/>
    <tableColumn id="24" xr3:uid="{00000000-0010-0000-0000-000018000000}" name="Spalte24" dataDxfId="4"/>
    <tableColumn id="25" xr3:uid="{00000000-0010-0000-0000-000019000000}" name="Spalte25" dataDxfId="3"/>
    <tableColumn id="26" xr3:uid="{00000000-0010-0000-0000-00001A000000}" name="Spalte26" dataDxfId="2"/>
    <tableColumn id="27" xr3:uid="{00000000-0010-0000-0000-00001B000000}" name="Spalte27" dataDxfId="1"/>
    <tableColumn id="28" xr3:uid="{00000000-0010-0000-0000-00001C000000}" name="Spalte28" dataDxfId="0"/>
  </tableColumns>
  <tableStyleInfo name="TableStyleLight16"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A53D0-D07C-464D-A43C-9A45D473B4D3}">
  <dimension ref="A3:B27"/>
  <sheetViews>
    <sheetView tabSelected="1" topLeftCell="B1" zoomScale="120" zoomScaleNormal="120" workbookViewId="0">
      <selection activeCell="B25" sqref="B25"/>
    </sheetView>
  </sheetViews>
  <sheetFormatPr baseColWidth="10" defaultRowHeight="13" x14ac:dyDescent="0.15"/>
  <cols>
    <col min="1" max="1" width="30.5" bestFit="1" customWidth="1"/>
    <col min="2" max="2" width="41.1640625" bestFit="1" customWidth="1"/>
  </cols>
  <sheetData>
    <row r="3" spans="1:2" x14ac:dyDescent="0.15">
      <c r="A3" s="51" t="s">
        <v>224</v>
      </c>
      <c r="B3" t="s">
        <v>226</v>
      </c>
    </row>
    <row r="4" spans="1:2" x14ac:dyDescent="0.15">
      <c r="A4" s="52" t="s">
        <v>89</v>
      </c>
      <c r="B4" s="53">
        <v>13533490</v>
      </c>
    </row>
    <row r="5" spans="1:2" x14ac:dyDescent="0.15">
      <c r="A5" s="52" t="s">
        <v>23</v>
      </c>
      <c r="B5" s="53">
        <v>7775801</v>
      </c>
    </row>
    <row r="6" spans="1:2" x14ac:dyDescent="0.15">
      <c r="A6" s="52" t="s">
        <v>56</v>
      </c>
      <c r="B6" s="53">
        <v>7540796</v>
      </c>
    </row>
    <row r="7" spans="1:2" x14ac:dyDescent="0.15">
      <c r="A7" s="52" t="s">
        <v>10</v>
      </c>
      <c r="B7" s="53">
        <v>12065818</v>
      </c>
    </row>
    <row r="8" spans="1:2" x14ac:dyDescent="0.15">
      <c r="A8" s="52" t="s">
        <v>11</v>
      </c>
      <c r="B8" s="53">
        <v>12683868</v>
      </c>
    </row>
    <row r="9" spans="1:2" x14ac:dyDescent="0.15">
      <c r="A9" s="52" t="s">
        <v>17</v>
      </c>
      <c r="B9" s="53">
        <v>7994263</v>
      </c>
    </row>
    <row r="10" spans="1:2" x14ac:dyDescent="0.15">
      <c r="A10" s="52" t="s">
        <v>15</v>
      </c>
      <c r="B10" s="53">
        <v>4809479</v>
      </c>
    </row>
    <row r="11" spans="1:2" x14ac:dyDescent="0.15">
      <c r="A11" s="52" t="s">
        <v>26</v>
      </c>
      <c r="B11" s="53">
        <v>18377776</v>
      </c>
    </row>
    <row r="12" spans="1:2" x14ac:dyDescent="0.15">
      <c r="A12" s="52" t="s">
        <v>13</v>
      </c>
      <c r="B12" s="53">
        <v>12309181</v>
      </c>
    </row>
    <row r="13" spans="1:2" x14ac:dyDescent="0.15">
      <c r="A13" s="52" t="s">
        <v>9</v>
      </c>
      <c r="B13" s="53">
        <v>23737911</v>
      </c>
    </row>
    <row r="14" spans="1:2" x14ac:dyDescent="0.15">
      <c r="A14" s="52" t="s">
        <v>24</v>
      </c>
      <c r="B14" s="53">
        <v>13420304</v>
      </c>
    </row>
    <row r="15" spans="1:2" x14ac:dyDescent="0.15">
      <c r="A15" s="52" t="s">
        <v>126</v>
      </c>
      <c r="B15" s="53">
        <v>5586670</v>
      </c>
    </row>
    <row r="16" spans="1:2" x14ac:dyDescent="0.15">
      <c r="A16" s="52" t="s">
        <v>113</v>
      </c>
      <c r="B16" s="53">
        <v>2271441</v>
      </c>
    </row>
    <row r="17" spans="1:2" x14ac:dyDescent="0.15">
      <c r="A17" s="52" t="s">
        <v>12</v>
      </c>
      <c r="B17" s="53">
        <v>3018771</v>
      </c>
    </row>
    <row r="18" spans="1:2" x14ac:dyDescent="0.15">
      <c r="A18" s="52" t="s">
        <v>25</v>
      </c>
      <c r="B18" s="53">
        <v>12729282</v>
      </c>
    </row>
    <row r="19" spans="1:2" x14ac:dyDescent="0.15">
      <c r="A19" s="52" t="s">
        <v>14</v>
      </c>
      <c r="B19" s="53">
        <v>22622151</v>
      </c>
    </row>
    <row r="20" spans="1:2" x14ac:dyDescent="0.15">
      <c r="A20" s="52" t="s">
        <v>68</v>
      </c>
      <c r="B20" s="53">
        <v>19922354</v>
      </c>
    </row>
    <row r="21" spans="1:2" x14ac:dyDescent="0.15">
      <c r="A21" s="52" t="s">
        <v>28</v>
      </c>
      <c r="B21" s="53">
        <v>3952707</v>
      </c>
    </row>
    <row r="22" spans="1:2" x14ac:dyDescent="0.15">
      <c r="A22" s="52" t="s">
        <v>29</v>
      </c>
      <c r="B22" s="53">
        <v>8837347</v>
      </c>
    </row>
    <row r="23" spans="1:2" x14ac:dyDescent="0.15">
      <c r="A23" s="52" t="s">
        <v>27</v>
      </c>
      <c r="B23" s="53">
        <v>15560905</v>
      </c>
    </row>
    <row r="24" spans="1:2" x14ac:dyDescent="0.15">
      <c r="A24" s="52" t="s">
        <v>18</v>
      </c>
      <c r="B24" s="53">
        <v>12608615</v>
      </c>
    </row>
    <row r="25" spans="1:2" x14ac:dyDescent="0.15">
      <c r="A25" s="52" t="s">
        <v>2</v>
      </c>
      <c r="B25" s="53">
        <v>13786212</v>
      </c>
    </row>
    <row r="26" spans="1:2" x14ac:dyDescent="0.15">
      <c r="A26" s="52" t="s">
        <v>30</v>
      </c>
      <c r="B26" s="53">
        <v>7176318</v>
      </c>
    </row>
    <row r="27" spans="1:2" x14ac:dyDescent="0.15">
      <c r="A27" s="52" t="s">
        <v>225</v>
      </c>
      <c r="B27" s="53">
        <v>262321460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176"/>
  <sheetViews>
    <sheetView zoomScaleNormal="100" workbookViewId="0">
      <pane ySplit="8" topLeftCell="A9" activePane="bottomLeft" state="frozen"/>
      <selection pane="bottomLeft" activeCell="A6" sqref="A6:AB170"/>
    </sheetView>
  </sheetViews>
  <sheetFormatPr baseColWidth="10" defaultColWidth="11.5" defaultRowHeight="11" x14ac:dyDescent="0.15"/>
  <cols>
    <col min="1" max="1" width="52.83203125" style="2" customWidth="1"/>
    <col min="2" max="2" width="10.33203125" style="2" customWidth="1"/>
    <col min="3" max="3" width="11.1640625" style="3" customWidth="1"/>
    <col min="4" max="4" width="12.33203125" style="3" bestFit="1" customWidth="1"/>
    <col min="5" max="5" width="15.33203125" style="3" bestFit="1" customWidth="1"/>
    <col min="6" max="6" width="9.83203125" style="3" bestFit="1" customWidth="1"/>
    <col min="7" max="7" width="10.6640625" style="3" customWidth="1"/>
    <col min="8" max="8" width="10.1640625" style="4" bestFit="1" customWidth="1"/>
    <col min="9" max="9" width="10.5" style="4" bestFit="1" customWidth="1"/>
    <col min="10" max="10" width="12.83203125" style="4" bestFit="1" customWidth="1"/>
    <col min="11" max="11" width="12.33203125" style="4" bestFit="1" customWidth="1"/>
    <col min="12" max="12" width="9.83203125" style="4" bestFit="1" customWidth="1"/>
    <col min="13" max="13" width="8.6640625" style="4" customWidth="1"/>
    <col min="14" max="14" width="12.83203125" style="4" bestFit="1" customWidth="1"/>
    <col min="15" max="15" width="9.83203125" style="4" bestFit="1" customWidth="1"/>
    <col min="16" max="16" width="11" style="3" bestFit="1" customWidth="1"/>
    <col min="17" max="17" width="9.83203125" style="5" bestFit="1" customWidth="1"/>
    <col min="18" max="18" width="10" style="3" bestFit="1" customWidth="1"/>
    <col min="19" max="19" width="13.5" style="3" bestFit="1" customWidth="1"/>
    <col min="20" max="20" width="9.83203125" style="5" bestFit="1" customWidth="1"/>
    <col min="21" max="21" width="10" style="3" bestFit="1" customWidth="1"/>
    <col min="22" max="22" width="13.5" style="3" bestFit="1" customWidth="1"/>
    <col min="23" max="23" width="9.83203125" style="5" bestFit="1" customWidth="1"/>
    <col min="24" max="24" width="10" style="3" bestFit="1" customWidth="1"/>
    <col min="25" max="25" width="13.5" style="3" bestFit="1" customWidth="1"/>
    <col min="26" max="26" width="9.83203125" style="5" bestFit="1" customWidth="1"/>
    <col min="27" max="27" width="10" style="3" bestFit="1" customWidth="1"/>
    <col min="28" max="28" width="13.5" style="3" bestFit="1" customWidth="1"/>
    <col min="29" max="29" width="13.5" style="3" customWidth="1"/>
    <col min="30" max="16384" width="11.5" style="2"/>
  </cols>
  <sheetData>
    <row r="1" spans="1:30" ht="25.5" customHeight="1" x14ac:dyDescent="0.15">
      <c r="A1" s="1" t="s">
        <v>209</v>
      </c>
    </row>
    <row r="2" spans="1:30" ht="19.5" customHeight="1" x14ac:dyDescent="0.15">
      <c r="A2" s="6" t="s">
        <v>210</v>
      </c>
      <c r="Q2" s="30"/>
    </row>
    <row r="3" spans="1:30" ht="19.5" customHeight="1" x14ac:dyDescent="0.15"/>
    <row r="4" spans="1:30" ht="30" customHeight="1" x14ac:dyDescent="0.15"/>
    <row r="5" spans="1:30" ht="13" x14ac:dyDescent="0.15">
      <c r="C5" s="7"/>
      <c r="D5" s="7"/>
      <c r="E5" s="7"/>
      <c r="F5" s="7"/>
      <c r="G5" s="7"/>
      <c r="H5" s="8"/>
      <c r="I5" s="8"/>
      <c r="J5" s="8"/>
      <c r="K5" s="8"/>
      <c r="L5" s="8"/>
      <c r="M5" s="9"/>
      <c r="N5" s="9"/>
      <c r="O5" s="9"/>
      <c r="P5" s="7"/>
      <c r="Q5" s="48" t="s">
        <v>157</v>
      </c>
      <c r="R5" s="49"/>
      <c r="S5" s="50"/>
      <c r="T5" s="48" t="s">
        <v>158</v>
      </c>
      <c r="U5" s="49"/>
      <c r="V5" s="50"/>
      <c r="W5" s="48" t="s">
        <v>159</v>
      </c>
      <c r="X5" s="49"/>
      <c r="Y5" s="50"/>
      <c r="Z5" s="48" t="s">
        <v>160</v>
      </c>
      <c r="AA5" s="49"/>
      <c r="AB5" s="50"/>
      <c r="AC5" s="28"/>
    </row>
    <row r="6" spans="1:30" ht="46.5" customHeight="1" x14ac:dyDescent="0.15">
      <c r="A6" s="10" t="s">
        <v>0</v>
      </c>
      <c r="B6" s="11" t="s">
        <v>161</v>
      </c>
      <c r="C6" s="12" t="s">
        <v>221</v>
      </c>
      <c r="D6" s="13" t="s">
        <v>162</v>
      </c>
      <c r="E6" s="14" t="s">
        <v>163</v>
      </c>
      <c r="F6" s="14" t="s">
        <v>164</v>
      </c>
      <c r="G6" s="14" t="s">
        <v>165</v>
      </c>
      <c r="H6" s="14" t="s">
        <v>166</v>
      </c>
      <c r="I6" s="14" t="s">
        <v>167</v>
      </c>
      <c r="J6" s="14" t="s">
        <v>168</v>
      </c>
      <c r="K6" s="14" t="s">
        <v>216</v>
      </c>
      <c r="L6" s="14" t="s">
        <v>217</v>
      </c>
      <c r="M6" s="14" t="s">
        <v>218</v>
      </c>
      <c r="N6" s="14" t="s">
        <v>219</v>
      </c>
      <c r="O6" s="14" t="s">
        <v>212</v>
      </c>
      <c r="P6" s="15" t="s">
        <v>211</v>
      </c>
      <c r="Q6" s="16" t="s">
        <v>169</v>
      </c>
      <c r="R6" s="15" t="s">
        <v>170</v>
      </c>
      <c r="S6" s="17" t="s">
        <v>171</v>
      </c>
      <c r="T6" s="16" t="s">
        <v>169</v>
      </c>
      <c r="U6" s="15" t="s">
        <v>170</v>
      </c>
      <c r="V6" s="17" t="s">
        <v>171</v>
      </c>
      <c r="W6" s="15" t="s">
        <v>169</v>
      </c>
      <c r="X6" s="15" t="s">
        <v>170</v>
      </c>
      <c r="Y6" s="15" t="s">
        <v>171</v>
      </c>
      <c r="Z6" s="16" t="s">
        <v>169</v>
      </c>
      <c r="AA6" s="15" t="s">
        <v>170</v>
      </c>
      <c r="AB6" s="17" t="s">
        <v>171</v>
      </c>
      <c r="AC6" s="15"/>
    </row>
    <row r="7" spans="1:30" ht="10.5" customHeight="1" x14ac:dyDescent="0.15">
      <c r="C7" s="7" t="s">
        <v>172</v>
      </c>
      <c r="D7" s="7" t="s">
        <v>172</v>
      </c>
      <c r="E7" s="7" t="s">
        <v>172</v>
      </c>
      <c r="F7" s="7" t="s">
        <v>172</v>
      </c>
      <c r="G7" s="7" t="s">
        <v>172</v>
      </c>
      <c r="H7" s="18"/>
      <c r="I7" s="18"/>
      <c r="J7" s="18"/>
      <c r="K7" s="18"/>
      <c r="L7" s="18"/>
      <c r="M7" s="19"/>
      <c r="N7" s="19"/>
      <c r="O7" s="19"/>
      <c r="P7" s="7" t="s">
        <v>172</v>
      </c>
      <c r="Q7" s="20"/>
      <c r="R7" s="7" t="s">
        <v>172</v>
      </c>
      <c r="S7" s="21" t="s">
        <v>172</v>
      </c>
      <c r="T7" s="20"/>
      <c r="U7" s="7" t="s">
        <v>172</v>
      </c>
      <c r="V7" s="21" t="s">
        <v>172</v>
      </c>
      <c r="X7" s="7" t="s">
        <v>172</v>
      </c>
      <c r="Y7" s="7" t="s">
        <v>172</v>
      </c>
      <c r="Z7" s="20"/>
      <c r="AA7" s="7" t="s">
        <v>172</v>
      </c>
      <c r="AB7" s="21" t="s">
        <v>172</v>
      </c>
      <c r="AC7" s="7"/>
    </row>
    <row r="8" spans="1:30" ht="23.25" hidden="1" customHeight="1" x14ac:dyDescent="0.15">
      <c r="A8" s="2" t="s">
        <v>173</v>
      </c>
      <c r="B8" s="2" t="s">
        <v>174</v>
      </c>
      <c r="C8" s="3" t="s">
        <v>175</v>
      </c>
      <c r="D8" s="3" t="s">
        <v>176</v>
      </c>
      <c r="E8" s="3" t="s">
        <v>177</v>
      </c>
      <c r="F8" s="3" t="s">
        <v>178</v>
      </c>
      <c r="G8" s="3" t="s">
        <v>179</v>
      </c>
      <c r="H8" s="4" t="s">
        <v>180</v>
      </c>
      <c r="I8" s="4" t="s">
        <v>181</v>
      </c>
      <c r="J8" s="4" t="s">
        <v>182</v>
      </c>
      <c r="K8" s="4" t="s">
        <v>183</v>
      </c>
      <c r="L8" s="4" t="s">
        <v>184</v>
      </c>
      <c r="M8" s="4" t="s">
        <v>185</v>
      </c>
      <c r="N8" s="4" t="s">
        <v>186</v>
      </c>
      <c r="O8" s="4" t="s">
        <v>187</v>
      </c>
      <c r="P8" s="3" t="s">
        <v>188</v>
      </c>
      <c r="Q8" s="5" t="s">
        <v>189</v>
      </c>
      <c r="R8" s="3" t="s">
        <v>190</v>
      </c>
      <c r="S8" s="3" t="s">
        <v>191</v>
      </c>
      <c r="T8" s="5" t="s">
        <v>192</v>
      </c>
      <c r="U8" s="3" t="s">
        <v>193</v>
      </c>
      <c r="V8" s="3" t="s">
        <v>194</v>
      </c>
      <c r="W8" s="5" t="s">
        <v>195</v>
      </c>
      <c r="X8" s="3" t="s">
        <v>196</v>
      </c>
      <c r="Y8" s="3" t="s">
        <v>197</v>
      </c>
      <c r="Z8" s="5" t="s">
        <v>198</v>
      </c>
      <c r="AA8" s="3" t="s">
        <v>199</v>
      </c>
      <c r="AB8" s="3" t="s">
        <v>200</v>
      </c>
    </row>
    <row r="9" spans="1:30" ht="10.5" customHeight="1" x14ac:dyDescent="0.15">
      <c r="A9" s="24" t="s">
        <v>89</v>
      </c>
      <c r="B9" s="43">
        <v>3</v>
      </c>
      <c r="C9" s="44">
        <v>1082679</v>
      </c>
      <c r="D9" s="44">
        <v>2518973</v>
      </c>
      <c r="E9" s="44">
        <v>2518973</v>
      </c>
      <c r="F9" s="44">
        <v>2518973</v>
      </c>
      <c r="G9" s="44">
        <v>13533490</v>
      </c>
      <c r="H9" s="45">
        <v>0.186</v>
      </c>
      <c r="I9" s="45">
        <v>0.186</v>
      </c>
      <c r="J9" s="45">
        <v>0.186</v>
      </c>
      <c r="K9" s="45"/>
      <c r="L9" s="45">
        <v>7.8E-2</v>
      </c>
      <c r="M9" s="45">
        <v>9.6000000000000002E-2</v>
      </c>
      <c r="N9" s="45">
        <v>0.12</v>
      </c>
      <c r="O9" s="45">
        <v>8.5000000000000006E-2</v>
      </c>
      <c r="P9" s="44">
        <v>29486134</v>
      </c>
      <c r="Q9" s="46">
        <v>1.63</v>
      </c>
      <c r="R9" s="44">
        <v>6661518</v>
      </c>
      <c r="S9" s="44">
        <v>4084861</v>
      </c>
      <c r="T9" s="46">
        <v>1.53</v>
      </c>
      <c r="U9" s="44">
        <v>7278466</v>
      </c>
      <c r="V9" s="44">
        <v>4743232</v>
      </c>
      <c r="W9" s="46">
        <v>1.66</v>
      </c>
      <c r="X9" s="44">
        <v>8197893</v>
      </c>
      <c r="Y9" s="44">
        <v>4928525</v>
      </c>
      <c r="Z9" s="46">
        <v>1.72</v>
      </c>
      <c r="AA9" s="44">
        <v>7731198</v>
      </c>
      <c r="AB9" s="44">
        <v>4496122</v>
      </c>
      <c r="AD9" s="30"/>
    </row>
    <row r="10" spans="1:30" ht="10.5" customHeight="1" x14ac:dyDescent="0.15">
      <c r="A10" s="25" t="s">
        <v>3</v>
      </c>
      <c r="B10" s="47">
        <v>4</v>
      </c>
      <c r="C10" s="27">
        <v>112993</v>
      </c>
      <c r="D10" s="27">
        <v>217826</v>
      </c>
      <c r="E10" s="27">
        <v>217826</v>
      </c>
      <c r="F10" s="27">
        <v>217826</v>
      </c>
      <c r="G10" s="27">
        <v>1412412</v>
      </c>
      <c r="H10" s="29">
        <v>0.154</v>
      </c>
      <c r="I10" s="29">
        <v>0.154</v>
      </c>
      <c r="J10" s="29">
        <v>0.154</v>
      </c>
      <c r="K10" s="29"/>
      <c r="L10" s="29">
        <v>7.3999999999999996E-2</v>
      </c>
      <c r="M10" s="29">
        <v>0.09</v>
      </c>
      <c r="N10" s="29">
        <v>0.112</v>
      </c>
      <c r="O10" s="29">
        <v>8.2000000000000003E-2</v>
      </c>
      <c r="P10" s="27">
        <v>2669188</v>
      </c>
      <c r="Q10" s="26">
        <v>1.36</v>
      </c>
      <c r="R10" s="27">
        <v>280278</v>
      </c>
      <c r="S10" s="27">
        <v>206484</v>
      </c>
      <c r="T10" s="26">
        <v>1.47</v>
      </c>
      <c r="U10" s="27">
        <v>283117</v>
      </c>
      <c r="V10" s="27">
        <v>192279</v>
      </c>
      <c r="W10" s="26">
        <v>1.55</v>
      </c>
      <c r="X10" s="27">
        <v>283093</v>
      </c>
      <c r="Y10" s="27">
        <v>182608</v>
      </c>
      <c r="Z10" s="26">
        <v>1.22</v>
      </c>
      <c r="AA10" s="27">
        <v>278452</v>
      </c>
      <c r="AB10" s="27">
        <v>228601</v>
      </c>
      <c r="AD10" s="30"/>
    </row>
    <row r="11" spans="1:30" ht="10.5" customHeight="1" x14ac:dyDescent="0.15">
      <c r="A11" s="24" t="s">
        <v>100</v>
      </c>
      <c r="B11" s="43">
        <v>5</v>
      </c>
      <c r="C11" s="44">
        <v>8021</v>
      </c>
      <c r="D11" s="44">
        <v>24445</v>
      </c>
      <c r="E11" s="44">
        <v>24445</v>
      </c>
      <c r="F11" s="44">
        <v>24445</v>
      </c>
      <c r="G11" s="44">
        <v>100258</v>
      </c>
      <c r="H11" s="45">
        <v>0.24399999999999999</v>
      </c>
      <c r="I11" s="45">
        <v>0.24399999999999999</v>
      </c>
      <c r="J11" s="45">
        <v>0.24399999999999999</v>
      </c>
      <c r="K11" s="45"/>
      <c r="L11" s="45">
        <v>7.0000000000000007E-2</v>
      </c>
      <c r="M11" s="45">
        <v>8.5000000000000006E-2</v>
      </c>
      <c r="N11" s="45">
        <v>0.105</v>
      </c>
      <c r="O11" s="45">
        <v>0.11700000000000001</v>
      </c>
      <c r="P11" s="44">
        <v>208761</v>
      </c>
      <c r="Q11" s="46">
        <v>1.88</v>
      </c>
      <c r="R11" s="44">
        <v>117031</v>
      </c>
      <c r="S11" s="44">
        <v>62323</v>
      </c>
      <c r="T11" s="46">
        <v>2.12</v>
      </c>
      <c r="U11" s="44">
        <v>128811</v>
      </c>
      <c r="V11" s="44">
        <v>60818</v>
      </c>
      <c r="W11" s="46">
        <v>2.0699999999999998</v>
      </c>
      <c r="X11" s="44">
        <v>115808</v>
      </c>
      <c r="Y11" s="44">
        <v>56038</v>
      </c>
      <c r="Z11" s="46">
        <v>1.98</v>
      </c>
      <c r="AA11" s="44">
        <v>99312</v>
      </c>
      <c r="AB11" s="44">
        <v>50165</v>
      </c>
      <c r="AD11" s="30"/>
    </row>
    <row r="12" spans="1:30" ht="10.5" customHeight="1" x14ac:dyDescent="0.15">
      <c r="A12" s="25" t="s">
        <v>8</v>
      </c>
      <c r="B12" s="47">
        <v>4</v>
      </c>
      <c r="C12" s="27">
        <v>128341</v>
      </c>
      <c r="D12" s="27">
        <v>325508</v>
      </c>
      <c r="E12" s="27">
        <v>325508</v>
      </c>
      <c r="F12" s="27">
        <v>325508</v>
      </c>
      <c r="G12" s="27">
        <v>1604267</v>
      </c>
      <c r="H12" s="29">
        <v>0.20300000000000001</v>
      </c>
      <c r="I12" s="29">
        <v>0.20300000000000001</v>
      </c>
      <c r="J12" s="29">
        <v>0.20300000000000001</v>
      </c>
      <c r="K12" s="29"/>
      <c r="L12" s="29">
        <v>7.3999999999999996E-2</v>
      </c>
      <c r="M12" s="29">
        <v>0.09</v>
      </c>
      <c r="N12" s="29">
        <v>0.112</v>
      </c>
      <c r="O12" s="29">
        <v>9.7000000000000003E-2</v>
      </c>
      <c r="P12" s="27">
        <v>3361410</v>
      </c>
      <c r="Q12" s="26">
        <v>1.47</v>
      </c>
      <c r="R12" s="27">
        <v>476977</v>
      </c>
      <c r="S12" s="27">
        <v>325348</v>
      </c>
      <c r="T12" s="26">
        <v>1.57</v>
      </c>
      <c r="U12" s="27">
        <v>509133</v>
      </c>
      <c r="V12" s="27">
        <v>324223</v>
      </c>
      <c r="W12" s="26">
        <v>1.62</v>
      </c>
      <c r="X12" s="27">
        <v>570002</v>
      </c>
      <c r="Y12" s="27">
        <v>351507</v>
      </c>
      <c r="Z12" s="26">
        <v>1.69</v>
      </c>
      <c r="AA12" s="27">
        <v>562630</v>
      </c>
      <c r="AB12" s="27">
        <v>333157</v>
      </c>
      <c r="AD12" s="30"/>
    </row>
    <row r="13" spans="1:30" ht="10.5" customHeight="1" x14ac:dyDescent="0.15">
      <c r="A13" s="24" t="s">
        <v>101</v>
      </c>
      <c r="B13" s="43">
        <v>4</v>
      </c>
      <c r="C13" s="44">
        <v>23037</v>
      </c>
      <c r="D13" s="44">
        <v>73087</v>
      </c>
      <c r="E13" s="44">
        <v>53087</v>
      </c>
      <c r="F13" s="44">
        <v>73087</v>
      </c>
      <c r="G13" s="44">
        <v>287960</v>
      </c>
      <c r="H13" s="45">
        <v>0.184</v>
      </c>
      <c r="I13" s="45">
        <v>0.254</v>
      </c>
      <c r="J13" s="45">
        <v>0.254</v>
      </c>
      <c r="K13" s="45"/>
      <c r="L13" s="45">
        <v>7.3999999999999996E-2</v>
      </c>
      <c r="M13" s="45">
        <v>0.09</v>
      </c>
      <c r="N13" s="45">
        <v>0.112</v>
      </c>
      <c r="O13" s="45">
        <v>6.0999999999999999E-2</v>
      </c>
      <c r="P13" s="44">
        <v>1189944</v>
      </c>
      <c r="Q13" s="46">
        <v>3.06</v>
      </c>
      <c r="R13" s="44">
        <v>330148</v>
      </c>
      <c r="S13" s="44">
        <v>107926</v>
      </c>
      <c r="T13" s="46">
        <v>2.85</v>
      </c>
      <c r="U13" s="44">
        <v>334931</v>
      </c>
      <c r="V13" s="44">
        <v>117476</v>
      </c>
      <c r="W13" s="46">
        <v>3.01</v>
      </c>
      <c r="X13" s="44">
        <v>372891</v>
      </c>
      <c r="Y13" s="44">
        <v>124050</v>
      </c>
      <c r="Z13" s="46">
        <v>3.82</v>
      </c>
      <c r="AA13" s="44">
        <v>447233</v>
      </c>
      <c r="AB13" s="44">
        <v>117161</v>
      </c>
      <c r="AD13" s="30"/>
    </row>
    <row r="14" spans="1:30" ht="10.5" customHeight="1" x14ac:dyDescent="0.15">
      <c r="A14" s="25" t="s">
        <v>39</v>
      </c>
      <c r="B14" s="47">
        <v>4</v>
      </c>
      <c r="C14" s="27">
        <v>255523</v>
      </c>
      <c r="D14" s="27">
        <v>419124</v>
      </c>
      <c r="E14" s="27">
        <v>369124</v>
      </c>
      <c r="F14" s="27">
        <v>369124</v>
      </c>
      <c r="G14" s="27">
        <v>3194042</v>
      </c>
      <c r="H14" s="29">
        <v>0.11600000000000001</v>
      </c>
      <c r="I14" s="29">
        <v>0.11600000000000001</v>
      </c>
      <c r="J14" s="29">
        <v>0.13100000000000001</v>
      </c>
      <c r="K14" s="29"/>
      <c r="L14" s="29">
        <v>7.3999999999999996E-2</v>
      </c>
      <c r="M14" s="29">
        <v>0.09</v>
      </c>
      <c r="N14" s="29">
        <v>0.112</v>
      </c>
      <c r="O14" s="29">
        <v>0.05</v>
      </c>
      <c r="P14" s="27">
        <v>7421272</v>
      </c>
      <c r="Q14" s="26">
        <v>1.61</v>
      </c>
      <c r="R14" s="27">
        <v>1265613</v>
      </c>
      <c r="S14" s="27">
        <v>785171</v>
      </c>
      <c r="T14" s="26">
        <v>1.62</v>
      </c>
      <c r="U14" s="27">
        <v>1427515</v>
      </c>
      <c r="V14" s="27">
        <v>880015</v>
      </c>
      <c r="W14" s="26">
        <v>1.61</v>
      </c>
      <c r="X14" s="27">
        <v>1419971</v>
      </c>
      <c r="Y14" s="27">
        <v>881008</v>
      </c>
      <c r="Z14" s="26">
        <v>1.61</v>
      </c>
      <c r="AA14" s="27">
        <v>1424806</v>
      </c>
      <c r="AB14" s="27">
        <v>885671</v>
      </c>
      <c r="AD14" s="30"/>
    </row>
    <row r="15" spans="1:30" ht="10.5" customHeight="1" x14ac:dyDescent="0.15">
      <c r="A15" s="24" t="s">
        <v>102</v>
      </c>
      <c r="B15" s="43">
        <v>5</v>
      </c>
      <c r="C15" s="44">
        <v>3165</v>
      </c>
      <c r="D15" s="44">
        <v>29608</v>
      </c>
      <c r="E15" s="44">
        <v>29608</v>
      </c>
      <c r="F15" s="44">
        <v>29608</v>
      </c>
      <c r="G15" s="44">
        <v>39567</v>
      </c>
      <c r="H15" s="45">
        <v>0.748</v>
      </c>
      <c r="I15" s="45">
        <v>0.748</v>
      </c>
      <c r="J15" s="45">
        <v>0.748</v>
      </c>
      <c r="K15" s="45"/>
      <c r="L15" s="45">
        <v>7.0000000000000007E-2</v>
      </c>
      <c r="M15" s="45">
        <v>8.5000000000000006E-2</v>
      </c>
      <c r="N15" s="45">
        <v>0.105</v>
      </c>
      <c r="O15" s="45">
        <v>0.251</v>
      </c>
      <c r="P15" s="44">
        <v>118138</v>
      </c>
      <c r="Q15" s="46">
        <v>1.2</v>
      </c>
      <c r="R15" s="44">
        <v>16240</v>
      </c>
      <c r="S15" s="44">
        <v>13565</v>
      </c>
      <c r="T15" s="46">
        <v>1.27</v>
      </c>
      <c r="U15" s="44">
        <v>25016</v>
      </c>
      <c r="V15" s="44">
        <v>19655</v>
      </c>
      <c r="W15" s="46">
        <v>1.5</v>
      </c>
      <c r="X15" s="44">
        <v>30117</v>
      </c>
      <c r="Y15" s="44">
        <v>20051</v>
      </c>
      <c r="Z15" s="46">
        <v>1.4</v>
      </c>
      <c r="AA15" s="44">
        <v>23210</v>
      </c>
      <c r="AB15" s="44">
        <v>16544</v>
      </c>
      <c r="AD15" s="30"/>
    </row>
    <row r="16" spans="1:30" ht="10.5" customHeight="1" x14ac:dyDescent="0.15">
      <c r="A16" s="25" t="s">
        <v>128</v>
      </c>
      <c r="B16" s="47">
        <v>5</v>
      </c>
      <c r="C16" s="27">
        <v>8030</v>
      </c>
      <c r="D16" s="27">
        <v>31767</v>
      </c>
      <c r="E16" s="27">
        <v>31767</v>
      </c>
      <c r="F16" s="27">
        <v>31767</v>
      </c>
      <c r="G16" s="27">
        <v>100370</v>
      </c>
      <c r="H16" s="29">
        <v>0.316</v>
      </c>
      <c r="I16" s="29">
        <v>0.316</v>
      </c>
      <c r="J16" s="29">
        <v>0.316</v>
      </c>
      <c r="K16" s="29"/>
      <c r="L16" s="29">
        <v>7.0000000000000007E-2</v>
      </c>
      <c r="M16" s="29">
        <v>8.5000000000000006E-2</v>
      </c>
      <c r="N16" s="29">
        <v>0.105</v>
      </c>
      <c r="O16" s="29">
        <v>6.2E-2</v>
      </c>
      <c r="P16" s="27">
        <v>511380</v>
      </c>
      <c r="Q16" s="26">
        <v>1.71</v>
      </c>
      <c r="R16" s="27">
        <v>61218</v>
      </c>
      <c r="S16" s="27">
        <v>35709</v>
      </c>
      <c r="T16" s="26">
        <v>1.58</v>
      </c>
      <c r="U16" s="27">
        <v>65500</v>
      </c>
      <c r="V16" s="27">
        <v>41586</v>
      </c>
      <c r="W16" s="26">
        <v>1.45</v>
      </c>
      <c r="X16" s="27">
        <v>57298</v>
      </c>
      <c r="Y16" s="27">
        <v>39605</v>
      </c>
      <c r="Z16" s="26">
        <v>2.0099999999999998</v>
      </c>
      <c r="AA16" s="27">
        <v>74940</v>
      </c>
      <c r="AB16" s="27">
        <v>37287</v>
      </c>
      <c r="AD16" s="30"/>
    </row>
    <row r="17" spans="1:30" ht="10.5" customHeight="1" x14ac:dyDescent="0.15">
      <c r="A17" s="24" t="s">
        <v>46</v>
      </c>
      <c r="B17" s="43">
        <v>5</v>
      </c>
      <c r="C17" s="44">
        <v>35981</v>
      </c>
      <c r="D17" s="44">
        <v>126300</v>
      </c>
      <c r="E17" s="44">
        <v>126300</v>
      </c>
      <c r="F17" s="44">
        <v>126300</v>
      </c>
      <c r="G17" s="44">
        <v>449758</v>
      </c>
      <c r="H17" s="45">
        <v>0.28100000000000003</v>
      </c>
      <c r="I17" s="45">
        <v>0.28100000000000003</v>
      </c>
      <c r="J17" s="45">
        <v>0.28100000000000003</v>
      </c>
      <c r="K17" s="45"/>
      <c r="L17" s="45">
        <v>7.0000000000000007E-2</v>
      </c>
      <c r="M17" s="45">
        <v>8.5000000000000006E-2</v>
      </c>
      <c r="N17" s="45">
        <v>0.105</v>
      </c>
      <c r="O17" s="45">
        <v>0.17399999999999999</v>
      </c>
      <c r="P17" s="44">
        <v>724576</v>
      </c>
      <c r="Q17" s="46">
        <v>4.63</v>
      </c>
      <c r="R17" s="44">
        <v>177002</v>
      </c>
      <c r="S17" s="44">
        <v>38193</v>
      </c>
      <c r="T17" s="46">
        <v>5.18</v>
      </c>
      <c r="U17" s="44">
        <v>207631</v>
      </c>
      <c r="V17" s="44">
        <v>40058</v>
      </c>
      <c r="W17" s="46">
        <v>5.09</v>
      </c>
      <c r="X17" s="44">
        <v>197053</v>
      </c>
      <c r="Y17" s="44">
        <v>38679</v>
      </c>
      <c r="Z17" s="46">
        <v>5.6</v>
      </c>
      <c r="AA17" s="44">
        <v>192209</v>
      </c>
      <c r="AB17" s="44">
        <v>34316</v>
      </c>
      <c r="AD17" s="30"/>
    </row>
    <row r="18" spans="1:30" ht="10.5" customHeight="1" x14ac:dyDescent="0.15">
      <c r="A18" s="25" t="s">
        <v>23</v>
      </c>
      <c r="B18" s="47">
        <v>4</v>
      </c>
      <c r="C18" s="27">
        <v>622064</v>
      </c>
      <c r="D18" s="27">
        <v>1299893</v>
      </c>
      <c r="E18" s="27">
        <v>1299893</v>
      </c>
      <c r="F18" s="27">
        <v>1299893</v>
      </c>
      <c r="G18" s="27">
        <v>7775801</v>
      </c>
      <c r="H18" s="29">
        <v>0.16700000000000001</v>
      </c>
      <c r="I18" s="29">
        <v>0.16700000000000001</v>
      </c>
      <c r="J18" s="29">
        <v>0.16700000000000001</v>
      </c>
      <c r="K18" s="29"/>
      <c r="L18" s="29">
        <v>7.3999999999999996E-2</v>
      </c>
      <c r="M18" s="29">
        <v>0.09</v>
      </c>
      <c r="N18" s="29">
        <v>0.112</v>
      </c>
      <c r="O18" s="29">
        <v>8.4000000000000005E-2</v>
      </c>
      <c r="P18" s="27">
        <v>15536722</v>
      </c>
      <c r="Q18" s="26">
        <v>1.66</v>
      </c>
      <c r="R18" s="27">
        <v>2350176</v>
      </c>
      <c r="S18" s="27">
        <v>1415200</v>
      </c>
      <c r="T18" s="26">
        <v>1.68</v>
      </c>
      <c r="U18" s="27">
        <v>2815653</v>
      </c>
      <c r="V18" s="27">
        <v>1674095</v>
      </c>
      <c r="W18" s="26">
        <v>1.9</v>
      </c>
      <c r="X18" s="27">
        <v>2899711</v>
      </c>
      <c r="Y18" s="27">
        <v>1528253</v>
      </c>
      <c r="Z18" s="26">
        <v>2</v>
      </c>
      <c r="AA18" s="27">
        <v>3021647</v>
      </c>
      <c r="AB18" s="27">
        <v>1511405</v>
      </c>
      <c r="AD18" s="30"/>
    </row>
    <row r="19" spans="1:30" ht="10.5" customHeight="1" x14ac:dyDescent="0.15">
      <c r="A19" s="24" t="s">
        <v>99</v>
      </c>
      <c r="B19" s="43">
        <v>4</v>
      </c>
      <c r="C19" s="44">
        <v>180607</v>
      </c>
      <c r="D19" s="44">
        <v>404683</v>
      </c>
      <c r="E19" s="44">
        <v>404683</v>
      </c>
      <c r="F19" s="44">
        <v>404683</v>
      </c>
      <c r="G19" s="44">
        <v>2257593</v>
      </c>
      <c r="H19" s="45">
        <v>0.17899999999999999</v>
      </c>
      <c r="I19" s="45">
        <v>0.17899999999999999</v>
      </c>
      <c r="J19" s="45">
        <v>0.17899999999999999</v>
      </c>
      <c r="K19" s="45"/>
      <c r="L19" s="45">
        <v>7.3999999999999996E-2</v>
      </c>
      <c r="M19" s="45">
        <v>0.09</v>
      </c>
      <c r="N19" s="45">
        <v>0.112</v>
      </c>
      <c r="O19" s="45">
        <v>7.6999999999999999E-2</v>
      </c>
      <c r="P19" s="44">
        <v>5245296</v>
      </c>
      <c r="Q19" s="46">
        <v>1.75</v>
      </c>
      <c r="R19" s="44">
        <v>742250</v>
      </c>
      <c r="S19" s="44">
        <v>424935</v>
      </c>
      <c r="T19" s="46">
        <v>1.87</v>
      </c>
      <c r="U19" s="44">
        <v>893876</v>
      </c>
      <c r="V19" s="44">
        <v>477842</v>
      </c>
      <c r="W19" s="46">
        <v>1.82</v>
      </c>
      <c r="X19" s="44">
        <v>885507</v>
      </c>
      <c r="Y19" s="44">
        <v>486406</v>
      </c>
      <c r="Z19" s="46">
        <v>1.85</v>
      </c>
      <c r="AA19" s="44">
        <v>889658</v>
      </c>
      <c r="AB19" s="44">
        <v>481009</v>
      </c>
      <c r="AD19" s="30"/>
    </row>
    <row r="20" spans="1:30" ht="10.5" customHeight="1" x14ac:dyDescent="0.15">
      <c r="A20" s="25" t="s">
        <v>115</v>
      </c>
      <c r="B20" s="47">
        <v>5</v>
      </c>
      <c r="C20" s="27">
        <v>22239</v>
      </c>
      <c r="D20" s="27">
        <v>69907</v>
      </c>
      <c r="E20" s="27">
        <v>69907</v>
      </c>
      <c r="F20" s="27">
        <v>69907</v>
      </c>
      <c r="G20" s="27">
        <v>277986</v>
      </c>
      <c r="H20" s="29">
        <v>0.251</v>
      </c>
      <c r="I20" s="29">
        <v>0.251</v>
      </c>
      <c r="J20" s="29">
        <v>0.251</v>
      </c>
      <c r="K20" s="29"/>
      <c r="L20" s="29">
        <v>7.0000000000000007E-2</v>
      </c>
      <c r="M20" s="29">
        <v>8.5000000000000006E-2</v>
      </c>
      <c r="N20" s="29">
        <v>0.105</v>
      </c>
      <c r="O20" s="29">
        <v>0.14000000000000001</v>
      </c>
      <c r="P20" s="27">
        <v>498277</v>
      </c>
      <c r="Q20" s="26">
        <v>1.35</v>
      </c>
      <c r="R20" s="27">
        <v>52547</v>
      </c>
      <c r="S20" s="27">
        <v>38932</v>
      </c>
      <c r="T20" s="26">
        <v>1.51</v>
      </c>
      <c r="U20" s="27">
        <v>54205</v>
      </c>
      <c r="V20" s="27">
        <v>35933</v>
      </c>
      <c r="W20" s="26">
        <v>1.42</v>
      </c>
      <c r="X20" s="27">
        <v>60189</v>
      </c>
      <c r="Y20" s="27">
        <v>42274</v>
      </c>
      <c r="Z20" s="26">
        <v>1.41</v>
      </c>
      <c r="AA20" s="27">
        <v>60432</v>
      </c>
      <c r="AB20" s="27">
        <v>42876</v>
      </c>
      <c r="AD20" s="30"/>
    </row>
    <row r="21" spans="1:30" ht="10.5" customHeight="1" x14ac:dyDescent="0.15">
      <c r="A21" s="24" t="s">
        <v>139</v>
      </c>
      <c r="B21" s="43">
        <v>5</v>
      </c>
      <c r="C21" s="44">
        <v>44082</v>
      </c>
      <c r="D21" s="44">
        <v>210383</v>
      </c>
      <c r="E21" s="44">
        <v>210383</v>
      </c>
      <c r="F21" s="44">
        <v>210383</v>
      </c>
      <c r="G21" s="44">
        <v>551025</v>
      </c>
      <c r="H21" s="45">
        <v>0.38200000000000001</v>
      </c>
      <c r="I21" s="45">
        <v>0.38200000000000001</v>
      </c>
      <c r="J21" s="45">
        <v>0.38200000000000001</v>
      </c>
      <c r="K21" s="45"/>
      <c r="L21" s="45">
        <v>7.0000000000000007E-2</v>
      </c>
      <c r="M21" s="45">
        <v>8.5000000000000006E-2</v>
      </c>
      <c r="N21" s="45">
        <v>0.105</v>
      </c>
      <c r="O21" s="45">
        <v>0.26100000000000001</v>
      </c>
      <c r="P21" s="44">
        <v>806202</v>
      </c>
      <c r="Q21" s="46">
        <v>2.02</v>
      </c>
      <c r="R21" s="44">
        <v>333562</v>
      </c>
      <c r="S21" s="44">
        <v>165006</v>
      </c>
      <c r="T21" s="46">
        <v>1.6</v>
      </c>
      <c r="U21" s="44">
        <v>367233</v>
      </c>
      <c r="V21" s="44">
        <v>230055</v>
      </c>
      <c r="W21" s="46">
        <v>1.78</v>
      </c>
      <c r="X21" s="44">
        <v>301742</v>
      </c>
      <c r="Y21" s="44">
        <v>169324</v>
      </c>
      <c r="Z21" s="46">
        <v>1.9</v>
      </c>
      <c r="AA21" s="44">
        <v>284009</v>
      </c>
      <c r="AB21" s="44">
        <v>149241</v>
      </c>
      <c r="AD21" s="30"/>
    </row>
    <row r="22" spans="1:30" ht="10.5" customHeight="1" x14ac:dyDescent="0.15">
      <c r="A22" s="25" t="s">
        <v>150</v>
      </c>
      <c r="B22" s="47">
        <v>4</v>
      </c>
      <c r="C22" s="27">
        <v>110549</v>
      </c>
      <c r="D22" s="27">
        <v>1125089</v>
      </c>
      <c r="E22" s="27">
        <v>1124319</v>
      </c>
      <c r="F22" s="27">
        <v>1124319</v>
      </c>
      <c r="G22" s="27">
        <v>1381860</v>
      </c>
      <c r="H22" s="29">
        <v>0.81399999999999995</v>
      </c>
      <c r="I22" s="29">
        <v>0.81399999999999995</v>
      </c>
      <c r="J22" s="29">
        <v>0.81399999999999995</v>
      </c>
      <c r="K22" s="29"/>
      <c r="L22" s="29">
        <v>7.3999999999999996E-2</v>
      </c>
      <c r="M22" s="29">
        <v>0.09</v>
      </c>
      <c r="N22" s="29">
        <v>0.112</v>
      </c>
      <c r="O22" s="29">
        <v>0.47399999999999998</v>
      </c>
      <c r="P22" s="27">
        <v>2371547</v>
      </c>
      <c r="Q22" s="26">
        <v>1.59</v>
      </c>
      <c r="R22" s="27">
        <v>942096</v>
      </c>
      <c r="S22" s="27">
        <v>592703</v>
      </c>
      <c r="T22" s="26">
        <v>1.6</v>
      </c>
      <c r="U22" s="27">
        <v>1137333</v>
      </c>
      <c r="V22" s="27">
        <v>709811</v>
      </c>
      <c r="W22" s="26">
        <v>1.89</v>
      </c>
      <c r="X22" s="27">
        <v>1368351</v>
      </c>
      <c r="Y22" s="27">
        <v>723199</v>
      </c>
      <c r="Z22" s="26">
        <v>2.0299999999999998</v>
      </c>
      <c r="AA22" s="27">
        <v>1134047</v>
      </c>
      <c r="AB22" s="27">
        <v>559441</v>
      </c>
      <c r="AD22" s="30"/>
    </row>
    <row r="23" spans="1:30" ht="10.5" customHeight="1" x14ac:dyDescent="0.15">
      <c r="A23" s="24" t="s">
        <v>151</v>
      </c>
      <c r="B23" s="43">
        <v>4</v>
      </c>
      <c r="C23" s="44">
        <v>151182</v>
      </c>
      <c r="D23" s="44">
        <v>312120</v>
      </c>
      <c r="E23" s="44">
        <v>210189</v>
      </c>
      <c r="F23" s="44">
        <v>210189</v>
      </c>
      <c r="G23" s="44">
        <v>1889776</v>
      </c>
      <c r="H23" s="45">
        <v>0.111</v>
      </c>
      <c r="I23" s="45">
        <v>0.111</v>
      </c>
      <c r="J23" s="45">
        <v>0.16500000000000001</v>
      </c>
      <c r="K23" s="45"/>
      <c r="L23" s="45">
        <v>7.3999999999999996E-2</v>
      </c>
      <c r="M23" s="45">
        <v>0.09</v>
      </c>
      <c r="N23" s="45">
        <v>0.112</v>
      </c>
      <c r="O23" s="45">
        <v>5.0999999999999997E-2</v>
      </c>
      <c r="P23" s="44">
        <v>4157762</v>
      </c>
      <c r="Q23" s="46">
        <v>1.41</v>
      </c>
      <c r="R23" s="44">
        <v>362243</v>
      </c>
      <c r="S23" s="44">
        <v>256851</v>
      </c>
      <c r="T23" s="46">
        <v>1.54</v>
      </c>
      <c r="U23" s="44">
        <v>428362</v>
      </c>
      <c r="V23" s="44">
        <v>277912</v>
      </c>
      <c r="W23" s="46">
        <v>1.72</v>
      </c>
      <c r="X23" s="44">
        <v>458351</v>
      </c>
      <c r="Y23" s="44">
        <v>265915</v>
      </c>
      <c r="Z23" s="46">
        <v>1.72</v>
      </c>
      <c r="AA23" s="44">
        <v>503846</v>
      </c>
      <c r="AB23" s="44">
        <v>293160</v>
      </c>
      <c r="AD23" s="30"/>
    </row>
    <row r="24" spans="1:30" ht="10.5" customHeight="1" x14ac:dyDescent="0.15">
      <c r="A24" s="25" t="s">
        <v>66</v>
      </c>
      <c r="B24" s="47">
        <v>5</v>
      </c>
      <c r="C24" s="27">
        <v>37932</v>
      </c>
      <c r="D24" s="27">
        <v>84756</v>
      </c>
      <c r="E24" s="27">
        <v>74725</v>
      </c>
      <c r="F24" s="27">
        <v>74725</v>
      </c>
      <c r="G24" s="27">
        <v>474148</v>
      </c>
      <c r="H24" s="29">
        <v>0.158</v>
      </c>
      <c r="I24" s="29">
        <v>0.158</v>
      </c>
      <c r="J24" s="29">
        <v>0.17899999999999999</v>
      </c>
      <c r="K24" s="29"/>
      <c r="L24" s="29">
        <v>7.0000000000000007E-2</v>
      </c>
      <c r="M24" s="29">
        <v>8.5000000000000006E-2</v>
      </c>
      <c r="N24" s="29">
        <v>0.105</v>
      </c>
      <c r="O24" s="29">
        <v>7.3999999999999996E-2</v>
      </c>
      <c r="P24" s="27">
        <v>1011038</v>
      </c>
      <c r="Q24" s="26">
        <v>2.23</v>
      </c>
      <c r="R24" s="27">
        <v>108037</v>
      </c>
      <c r="S24" s="27">
        <v>48435</v>
      </c>
      <c r="T24" s="26">
        <v>2.4300000000000002</v>
      </c>
      <c r="U24" s="27">
        <v>109016</v>
      </c>
      <c r="V24" s="27">
        <v>44889</v>
      </c>
      <c r="W24" s="26">
        <v>2.16</v>
      </c>
      <c r="X24" s="27">
        <v>110505</v>
      </c>
      <c r="Y24" s="27">
        <v>51098</v>
      </c>
      <c r="Z24" s="26">
        <v>2.5499999999999998</v>
      </c>
      <c r="AA24" s="27">
        <v>124379</v>
      </c>
      <c r="AB24" s="27">
        <v>48831</v>
      </c>
      <c r="AD24" s="30"/>
    </row>
    <row r="25" spans="1:30" ht="10.5" customHeight="1" x14ac:dyDescent="0.15">
      <c r="A25" s="24" t="s">
        <v>75</v>
      </c>
      <c r="B25" s="43">
        <v>4</v>
      </c>
      <c r="C25" s="44">
        <v>426839</v>
      </c>
      <c r="D25" s="44">
        <v>684254</v>
      </c>
      <c r="E25" s="44">
        <v>493506</v>
      </c>
      <c r="F25" s="44">
        <v>583506</v>
      </c>
      <c r="G25" s="44">
        <v>5335493</v>
      </c>
      <c r="H25" s="45">
        <v>9.1999999999999998E-2</v>
      </c>
      <c r="I25" s="45">
        <v>0.109</v>
      </c>
      <c r="J25" s="45">
        <v>0.128</v>
      </c>
      <c r="K25" s="45"/>
      <c r="L25" s="45">
        <v>7.3999999999999996E-2</v>
      </c>
      <c r="M25" s="45">
        <v>0.09</v>
      </c>
      <c r="N25" s="45">
        <v>0.112</v>
      </c>
      <c r="O25" s="45">
        <v>5.7000000000000002E-2</v>
      </c>
      <c r="P25" s="44">
        <v>10253002</v>
      </c>
      <c r="Q25" s="46">
        <v>1.79</v>
      </c>
      <c r="R25" s="44">
        <v>1256788</v>
      </c>
      <c r="S25" s="44">
        <v>702296</v>
      </c>
      <c r="T25" s="46">
        <v>2.4300000000000002</v>
      </c>
      <c r="U25" s="44">
        <v>1549082</v>
      </c>
      <c r="V25" s="44">
        <v>637971</v>
      </c>
      <c r="W25" s="46">
        <v>2.44</v>
      </c>
      <c r="X25" s="44">
        <v>1785296</v>
      </c>
      <c r="Y25" s="44">
        <v>732693</v>
      </c>
      <c r="Z25" s="46">
        <v>2.46</v>
      </c>
      <c r="AA25" s="44">
        <v>1802498</v>
      </c>
      <c r="AB25" s="44">
        <v>732308</v>
      </c>
      <c r="AD25" s="30"/>
    </row>
    <row r="26" spans="1:30" ht="10.5" customHeight="1" x14ac:dyDescent="0.15">
      <c r="A26" s="25" t="s">
        <v>56</v>
      </c>
      <c r="B26" s="47">
        <v>3</v>
      </c>
      <c r="C26" s="27">
        <v>603264</v>
      </c>
      <c r="D26" s="27">
        <v>1329337</v>
      </c>
      <c r="E26" s="27">
        <v>1238737</v>
      </c>
      <c r="F26" s="27">
        <v>1328737</v>
      </c>
      <c r="G26" s="27">
        <v>7540796</v>
      </c>
      <c r="H26" s="29">
        <v>0.16400000000000001</v>
      </c>
      <c r="I26" s="29">
        <v>0.17599999999999999</v>
      </c>
      <c r="J26" s="29">
        <v>0.17599999999999999</v>
      </c>
      <c r="K26" s="29"/>
      <c r="L26" s="29">
        <v>7.8E-2</v>
      </c>
      <c r="M26" s="29">
        <v>9.6000000000000002E-2</v>
      </c>
      <c r="N26" s="29">
        <v>0.12</v>
      </c>
      <c r="O26" s="29">
        <v>7.6999999999999999E-2</v>
      </c>
      <c r="P26" s="27">
        <v>17212844</v>
      </c>
      <c r="Q26" s="26">
        <v>1.42</v>
      </c>
      <c r="R26" s="27">
        <v>2310287</v>
      </c>
      <c r="S26" s="27">
        <v>1626665</v>
      </c>
      <c r="T26" s="26">
        <v>1.38</v>
      </c>
      <c r="U26" s="27">
        <v>2789483</v>
      </c>
      <c r="V26" s="27">
        <v>2024836</v>
      </c>
      <c r="W26" s="26">
        <v>1.43</v>
      </c>
      <c r="X26" s="27">
        <v>2944017</v>
      </c>
      <c r="Y26" s="27">
        <v>2052688</v>
      </c>
      <c r="Z26" s="26">
        <v>1.83</v>
      </c>
      <c r="AA26" s="27">
        <v>3120069</v>
      </c>
      <c r="AB26" s="27">
        <v>1704853</v>
      </c>
      <c r="AD26" s="30"/>
    </row>
    <row r="27" spans="1:30" ht="10.5" customHeight="1" x14ac:dyDescent="0.15">
      <c r="A27" s="24" t="s">
        <v>20</v>
      </c>
      <c r="B27" s="43">
        <v>5</v>
      </c>
      <c r="C27" s="44">
        <v>50079</v>
      </c>
      <c r="D27" s="44">
        <v>114549</v>
      </c>
      <c r="E27" s="44">
        <v>105017</v>
      </c>
      <c r="F27" s="44">
        <v>105017</v>
      </c>
      <c r="G27" s="44">
        <v>625983</v>
      </c>
      <c r="H27" s="45">
        <v>0.16800000000000001</v>
      </c>
      <c r="I27" s="45">
        <v>0.16800000000000001</v>
      </c>
      <c r="J27" s="45">
        <v>0.183</v>
      </c>
      <c r="K27" s="45"/>
      <c r="L27" s="45">
        <v>7.0000000000000007E-2</v>
      </c>
      <c r="M27" s="45">
        <v>8.5000000000000006E-2</v>
      </c>
      <c r="N27" s="45">
        <v>0.105</v>
      </c>
      <c r="O27" s="45">
        <v>8.5000000000000006E-2</v>
      </c>
      <c r="P27" s="44">
        <v>1237757</v>
      </c>
      <c r="Q27" s="46">
        <v>1.31</v>
      </c>
      <c r="R27" s="44">
        <v>136684</v>
      </c>
      <c r="S27" s="44">
        <v>104415</v>
      </c>
      <c r="T27" s="46">
        <v>1.91</v>
      </c>
      <c r="U27" s="44">
        <v>178439</v>
      </c>
      <c r="V27" s="44">
        <v>93329</v>
      </c>
      <c r="W27" s="46">
        <v>2.19</v>
      </c>
      <c r="X27" s="44">
        <v>222305</v>
      </c>
      <c r="Y27" s="44">
        <v>101398</v>
      </c>
      <c r="Z27" s="46">
        <v>2.48</v>
      </c>
      <c r="AA27" s="44">
        <v>255195</v>
      </c>
      <c r="AB27" s="44">
        <v>102790</v>
      </c>
      <c r="AD27" s="30"/>
    </row>
    <row r="28" spans="1:30" ht="10.5" customHeight="1" x14ac:dyDescent="0.15">
      <c r="A28" s="25" t="s">
        <v>43</v>
      </c>
      <c r="B28" s="47">
        <v>3</v>
      </c>
      <c r="C28" s="27">
        <v>809727</v>
      </c>
      <c r="D28" s="27">
        <v>2875159</v>
      </c>
      <c r="E28" s="27">
        <v>2875159</v>
      </c>
      <c r="F28" s="27">
        <v>2875159</v>
      </c>
      <c r="G28" s="27">
        <v>10121584</v>
      </c>
      <c r="H28" s="29">
        <v>0.28399999999999997</v>
      </c>
      <c r="I28" s="29">
        <v>0.28399999999999997</v>
      </c>
      <c r="J28" s="29">
        <v>0.28399999999999997</v>
      </c>
      <c r="K28" s="29"/>
      <c r="L28" s="29">
        <v>7.8E-2</v>
      </c>
      <c r="M28" s="29">
        <v>9.6000000000000002E-2</v>
      </c>
      <c r="N28" s="29">
        <v>0.12</v>
      </c>
      <c r="O28" s="29">
        <v>0.124</v>
      </c>
      <c r="P28" s="27">
        <v>23115264</v>
      </c>
      <c r="Q28" s="26">
        <v>1.7</v>
      </c>
      <c r="R28" s="27">
        <v>7286354</v>
      </c>
      <c r="S28" s="27">
        <v>4276961</v>
      </c>
      <c r="T28" s="26">
        <v>1.67</v>
      </c>
      <c r="U28" s="27">
        <v>8312569</v>
      </c>
      <c r="V28" s="27">
        <v>4984674</v>
      </c>
      <c r="W28" s="26">
        <v>1.66</v>
      </c>
      <c r="X28" s="27">
        <v>7513426</v>
      </c>
      <c r="Y28" s="27">
        <v>4513211</v>
      </c>
      <c r="Z28" s="26">
        <v>1.83</v>
      </c>
      <c r="AA28" s="27">
        <v>7301944</v>
      </c>
      <c r="AB28" s="27">
        <v>3988317</v>
      </c>
      <c r="AD28" s="30"/>
    </row>
    <row r="29" spans="1:30" ht="10.5" customHeight="1" x14ac:dyDescent="0.15">
      <c r="A29" s="24" t="s">
        <v>35</v>
      </c>
      <c r="B29" s="43">
        <v>3</v>
      </c>
      <c r="C29" s="44">
        <v>1545636</v>
      </c>
      <c r="D29" s="44">
        <v>4057820</v>
      </c>
      <c r="E29" s="44">
        <v>3444729</v>
      </c>
      <c r="F29" s="44">
        <v>3924729</v>
      </c>
      <c r="G29" s="44">
        <v>19320448</v>
      </c>
      <c r="H29" s="45">
        <v>0.17799999999999999</v>
      </c>
      <c r="I29" s="45">
        <v>0.20300000000000001</v>
      </c>
      <c r="J29" s="45">
        <v>0.21</v>
      </c>
      <c r="K29" s="45"/>
      <c r="L29" s="45">
        <v>7.8E-2</v>
      </c>
      <c r="M29" s="45">
        <v>9.6000000000000002E-2</v>
      </c>
      <c r="N29" s="45">
        <v>0.12</v>
      </c>
      <c r="O29" s="45">
        <v>4.2999999999999997E-2</v>
      </c>
      <c r="P29" s="44">
        <v>92145239</v>
      </c>
      <c r="Q29" s="46">
        <v>1.47</v>
      </c>
      <c r="R29" s="44">
        <v>15096932</v>
      </c>
      <c r="S29" s="44">
        <v>10236631</v>
      </c>
      <c r="T29" s="46">
        <v>1.66</v>
      </c>
      <c r="U29" s="44">
        <v>21899878</v>
      </c>
      <c r="V29" s="44">
        <v>13176814</v>
      </c>
      <c r="W29" s="46">
        <v>1.56</v>
      </c>
      <c r="X29" s="44">
        <v>21794868</v>
      </c>
      <c r="Y29" s="44">
        <v>14000889</v>
      </c>
      <c r="Z29" s="46">
        <v>1.54</v>
      </c>
      <c r="AA29" s="44">
        <v>20918482</v>
      </c>
      <c r="AB29" s="44">
        <v>13581963</v>
      </c>
      <c r="AD29" s="30"/>
    </row>
    <row r="30" spans="1:30" ht="10.5" customHeight="1" x14ac:dyDescent="0.15">
      <c r="A30" s="25" t="s">
        <v>67</v>
      </c>
      <c r="B30" s="47">
        <v>4</v>
      </c>
      <c r="C30" s="27">
        <v>276935</v>
      </c>
      <c r="D30" s="27">
        <v>527591</v>
      </c>
      <c r="E30" s="27">
        <v>527591</v>
      </c>
      <c r="F30" s="27">
        <v>527591</v>
      </c>
      <c r="G30" s="27">
        <v>3461687</v>
      </c>
      <c r="H30" s="29">
        <v>0.152</v>
      </c>
      <c r="I30" s="29">
        <v>0.152</v>
      </c>
      <c r="J30" s="29">
        <v>0.152</v>
      </c>
      <c r="K30" s="29"/>
      <c r="L30" s="29">
        <v>7.3999999999999996E-2</v>
      </c>
      <c r="M30" s="29">
        <v>0.09</v>
      </c>
      <c r="N30" s="29">
        <v>0.112</v>
      </c>
      <c r="O30" s="29">
        <v>7.4999999999999997E-2</v>
      </c>
      <c r="P30" s="27">
        <v>7079290</v>
      </c>
      <c r="Q30" s="26">
        <v>1.3</v>
      </c>
      <c r="R30" s="27">
        <v>1271731</v>
      </c>
      <c r="S30" s="27">
        <v>980155</v>
      </c>
      <c r="T30" s="26">
        <v>1.31</v>
      </c>
      <c r="U30" s="27">
        <v>1498145</v>
      </c>
      <c r="V30" s="27">
        <v>1145734</v>
      </c>
      <c r="W30" s="26">
        <v>1.45</v>
      </c>
      <c r="X30" s="27">
        <v>1582212</v>
      </c>
      <c r="Y30" s="27">
        <v>1094303</v>
      </c>
      <c r="Z30" s="26">
        <v>1.35</v>
      </c>
      <c r="AA30" s="27">
        <v>1585445</v>
      </c>
      <c r="AB30" s="27">
        <v>1174553</v>
      </c>
      <c r="AD30" s="30"/>
    </row>
    <row r="31" spans="1:30" ht="10.5" customHeight="1" x14ac:dyDescent="0.15">
      <c r="A31" s="24" t="s">
        <v>127</v>
      </c>
      <c r="B31" s="43">
        <v>5</v>
      </c>
      <c r="C31" s="44">
        <v>22951</v>
      </c>
      <c r="D31" s="44">
        <v>49847</v>
      </c>
      <c r="E31" s="44">
        <v>44424</v>
      </c>
      <c r="F31" s="44">
        <v>44424</v>
      </c>
      <c r="G31" s="44">
        <v>286894</v>
      </c>
      <c r="H31" s="45">
        <v>0.155</v>
      </c>
      <c r="I31" s="45">
        <v>0.155</v>
      </c>
      <c r="J31" s="45">
        <v>0.17399999999999999</v>
      </c>
      <c r="K31" s="45"/>
      <c r="L31" s="45">
        <v>7.0000000000000007E-2</v>
      </c>
      <c r="M31" s="45">
        <v>8.5000000000000006E-2</v>
      </c>
      <c r="N31" s="45">
        <v>0.105</v>
      </c>
      <c r="O31" s="45">
        <v>7.5999999999999998E-2</v>
      </c>
      <c r="P31" s="44">
        <v>585352</v>
      </c>
      <c r="Q31" s="46">
        <v>1.31</v>
      </c>
      <c r="R31" s="44">
        <v>58145</v>
      </c>
      <c r="S31" s="44">
        <v>44415</v>
      </c>
      <c r="T31" s="46">
        <v>1.64</v>
      </c>
      <c r="U31" s="44">
        <v>70719</v>
      </c>
      <c r="V31" s="44">
        <v>43112</v>
      </c>
      <c r="W31" s="46">
        <v>1.67</v>
      </c>
      <c r="X31" s="44">
        <v>91095</v>
      </c>
      <c r="Y31" s="44">
        <v>54496</v>
      </c>
      <c r="Z31" s="46">
        <v>1.76</v>
      </c>
      <c r="AA31" s="44">
        <v>84683</v>
      </c>
      <c r="AB31" s="44">
        <v>48214</v>
      </c>
      <c r="AD31" s="30"/>
    </row>
    <row r="32" spans="1:30" ht="10.5" customHeight="1" x14ac:dyDescent="0.15">
      <c r="A32" s="25" t="s">
        <v>138</v>
      </c>
      <c r="B32" s="47">
        <v>5</v>
      </c>
      <c r="C32" s="27">
        <v>5045</v>
      </c>
      <c r="D32" s="27">
        <v>22424</v>
      </c>
      <c r="E32" s="27">
        <v>22424</v>
      </c>
      <c r="F32" s="27">
        <v>22424</v>
      </c>
      <c r="G32" s="27">
        <v>63068</v>
      </c>
      <c r="H32" s="29">
        <v>0.35599999999999998</v>
      </c>
      <c r="I32" s="29">
        <v>0.35599999999999998</v>
      </c>
      <c r="J32" s="29">
        <v>0.35599999999999998</v>
      </c>
      <c r="K32" s="29"/>
      <c r="L32" s="29">
        <v>7.0000000000000007E-2</v>
      </c>
      <c r="M32" s="29">
        <v>8.5000000000000006E-2</v>
      </c>
      <c r="N32" s="29">
        <v>0.105</v>
      </c>
      <c r="O32" s="29">
        <v>8.5000000000000006E-2</v>
      </c>
      <c r="P32" s="27">
        <v>265360</v>
      </c>
      <c r="Q32" s="26">
        <v>2.64</v>
      </c>
      <c r="R32" s="27">
        <v>327610</v>
      </c>
      <c r="S32" s="27">
        <v>124327</v>
      </c>
      <c r="T32" s="26">
        <v>2.71</v>
      </c>
      <c r="U32" s="27">
        <v>111459</v>
      </c>
      <c r="V32" s="27">
        <v>41141</v>
      </c>
      <c r="W32" s="26">
        <v>2.33</v>
      </c>
      <c r="X32" s="27">
        <v>95123</v>
      </c>
      <c r="Y32" s="27">
        <v>40896</v>
      </c>
      <c r="Z32" s="26">
        <v>3.62</v>
      </c>
      <c r="AA32" s="27">
        <v>110930</v>
      </c>
      <c r="AB32" s="27">
        <v>30652</v>
      </c>
      <c r="AD32" s="30"/>
    </row>
    <row r="33" spans="1:30" ht="10.5" customHeight="1" x14ac:dyDescent="0.15">
      <c r="A33" s="24" t="s">
        <v>41</v>
      </c>
      <c r="B33" s="43">
        <v>3</v>
      </c>
      <c r="C33" s="44">
        <v>469585</v>
      </c>
      <c r="D33" s="44">
        <v>1210485</v>
      </c>
      <c r="E33" s="44">
        <v>1109120</v>
      </c>
      <c r="F33" s="44">
        <v>1109120</v>
      </c>
      <c r="G33" s="44">
        <v>5869812</v>
      </c>
      <c r="H33" s="45">
        <v>0.189</v>
      </c>
      <c r="I33" s="45">
        <v>0.189</v>
      </c>
      <c r="J33" s="45">
        <v>0.20599999999999999</v>
      </c>
      <c r="K33" s="45"/>
      <c r="L33" s="45">
        <v>7.8E-2</v>
      </c>
      <c r="M33" s="45">
        <v>9.6000000000000002E-2</v>
      </c>
      <c r="N33" s="45">
        <v>0.12</v>
      </c>
      <c r="O33" s="45">
        <v>5.5E-2</v>
      </c>
      <c r="P33" s="44">
        <v>20294531</v>
      </c>
      <c r="Q33" s="46">
        <v>1.44</v>
      </c>
      <c r="R33" s="44">
        <v>4201792</v>
      </c>
      <c r="S33" s="44">
        <v>2916368</v>
      </c>
      <c r="T33" s="46">
        <v>1.57</v>
      </c>
      <c r="U33" s="44">
        <v>4830456</v>
      </c>
      <c r="V33" s="44">
        <v>3081478</v>
      </c>
      <c r="W33" s="46">
        <v>1.47</v>
      </c>
      <c r="X33" s="44">
        <v>4683792</v>
      </c>
      <c r="Y33" s="44">
        <v>3193057</v>
      </c>
      <c r="Z33" s="46">
        <v>1.61</v>
      </c>
      <c r="AA33" s="44">
        <v>4769731</v>
      </c>
      <c r="AB33" s="44">
        <v>2953971</v>
      </c>
      <c r="AD33" s="30"/>
    </row>
    <row r="34" spans="1:30" ht="10.5" customHeight="1" x14ac:dyDescent="0.15">
      <c r="A34" s="25" t="s">
        <v>19</v>
      </c>
      <c r="B34" s="47">
        <v>5</v>
      </c>
      <c r="C34" s="27">
        <v>41876</v>
      </c>
      <c r="D34" s="27">
        <v>85535</v>
      </c>
      <c r="E34" s="27">
        <v>62674</v>
      </c>
      <c r="F34" s="27">
        <v>62674</v>
      </c>
      <c r="G34" s="27">
        <v>523445</v>
      </c>
      <c r="H34" s="29">
        <v>0.12</v>
      </c>
      <c r="I34" s="29">
        <v>0.12</v>
      </c>
      <c r="J34" s="29">
        <v>0.16300000000000001</v>
      </c>
      <c r="K34" s="29"/>
      <c r="L34" s="29">
        <v>7.0000000000000007E-2</v>
      </c>
      <c r="M34" s="29">
        <v>8.5000000000000006E-2</v>
      </c>
      <c r="N34" s="29">
        <v>0.105</v>
      </c>
      <c r="O34" s="29">
        <v>5.2999999999999999E-2</v>
      </c>
      <c r="P34" s="27">
        <v>1185688</v>
      </c>
      <c r="Q34" s="26">
        <v>1.25</v>
      </c>
      <c r="R34" s="27">
        <v>135001</v>
      </c>
      <c r="S34" s="27">
        <v>107595</v>
      </c>
      <c r="T34" s="26">
        <v>1.61</v>
      </c>
      <c r="U34" s="27">
        <v>171925</v>
      </c>
      <c r="V34" s="27">
        <v>106926</v>
      </c>
      <c r="W34" s="26">
        <v>1.98</v>
      </c>
      <c r="X34" s="27">
        <v>202511</v>
      </c>
      <c r="Y34" s="27">
        <v>102148</v>
      </c>
      <c r="Z34" s="26">
        <v>1.68</v>
      </c>
      <c r="AA34" s="27">
        <v>193211</v>
      </c>
      <c r="AB34" s="27">
        <v>114991</v>
      </c>
      <c r="AD34" s="30"/>
    </row>
    <row r="35" spans="1:30" ht="10.5" customHeight="1" x14ac:dyDescent="0.15">
      <c r="A35" s="24" t="s">
        <v>136</v>
      </c>
      <c r="B35" s="43">
        <v>5</v>
      </c>
      <c r="C35" s="44">
        <v>9096</v>
      </c>
      <c r="D35" s="44">
        <v>54832</v>
      </c>
      <c r="E35" s="44">
        <v>54832</v>
      </c>
      <c r="F35" s="44">
        <v>54832</v>
      </c>
      <c r="G35" s="44">
        <v>113704</v>
      </c>
      <c r="H35" s="45">
        <v>0.48199999999999998</v>
      </c>
      <c r="I35" s="45">
        <v>0.48199999999999998</v>
      </c>
      <c r="J35" s="45">
        <v>0.48199999999999998</v>
      </c>
      <c r="K35" s="45"/>
      <c r="L35" s="45">
        <v>7.0000000000000007E-2</v>
      </c>
      <c r="M35" s="45">
        <v>8.5000000000000006E-2</v>
      </c>
      <c r="N35" s="45">
        <v>0.105</v>
      </c>
      <c r="O35" s="45">
        <v>0.29299999999999998</v>
      </c>
      <c r="P35" s="44">
        <v>187458</v>
      </c>
      <c r="Q35" s="46">
        <v>9.52</v>
      </c>
      <c r="R35" s="44">
        <v>297016</v>
      </c>
      <c r="S35" s="44">
        <v>31200</v>
      </c>
      <c r="T35" s="46">
        <v>10.27</v>
      </c>
      <c r="U35" s="44">
        <v>301501</v>
      </c>
      <c r="V35" s="44">
        <v>29355</v>
      </c>
      <c r="W35" s="46">
        <v>9.2899999999999991</v>
      </c>
      <c r="X35" s="44">
        <v>335529</v>
      </c>
      <c r="Y35" s="44">
        <v>36113</v>
      </c>
      <c r="Z35" s="46">
        <v>10.14</v>
      </c>
      <c r="AA35" s="44">
        <v>330558</v>
      </c>
      <c r="AB35" s="44">
        <v>32600</v>
      </c>
      <c r="AD35" s="30"/>
    </row>
    <row r="36" spans="1:30" ht="10.5" customHeight="1" x14ac:dyDescent="0.15">
      <c r="A36" s="25" t="s">
        <v>133</v>
      </c>
      <c r="B36" s="47">
        <v>5</v>
      </c>
      <c r="C36" s="27">
        <v>215951</v>
      </c>
      <c r="D36" s="27">
        <v>320245</v>
      </c>
      <c r="E36" s="27">
        <v>230245</v>
      </c>
      <c r="F36" s="27">
        <v>270245</v>
      </c>
      <c r="G36" s="27">
        <v>2699383</v>
      </c>
      <c r="H36" s="29">
        <v>8.5000000000000006E-2</v>
      </c>
      <c r="I36" s="29">
        <v>0.1</v>
      </c>
      <c r="J36" s="29">
        <v>0.11899999999999999</v>
      </c>
      <c r="K36" s="29"/>
      <c r="L36" s="29">
        <v>7.0000000000000007E-2</v>
      </c>
      <c r="M36" s="29">
        <v>8.5000000000000006E-2</v>
      </c>
      <c r="N36" s="29">
        <v>0.105</v>
      </c>
      <c r="O36" s="29">
        <v>7.0000000000000007E-2</v>
      </c>
      <c r="P36" s="27">
        <v>3862447</v>
      </c>
      <c r="Q36" s="31" t="s">
        <v>201</v>
      </c>
      <c r="R36" s="32" t="s">
        <v>201</v>
      </c>
      <c r="S36" s="32" t="s">
        <v>201</v>
      </c>
      <c r="T36" s="31" t="s">
        <v>201</v>
      </c>
      <c r="U36" s="32" t="s">
        <v>201</v>
      </c>
      <c r="V36" s="32" t="s">
        <v>201</v>
      </c>
      <c r="W36" s="31" t="s">
        <v>201</v>
      </c>
      <c r="X36" s="32" t="s">
        <v>201</v>
      </c>
      <c r="Y36" s="32" t="s">
        <v>201</v>
      </c>
      <c r="Z36" s="31" t="s">
        <v>201</v>
      </c>
      <c r="AA36" s="32" t="s">
        <v>201</v>
      </c>
      <c r="AB36" s="32" t="s">
        <v>201</v>
      </c>
      <c r="AD36" s="30"/>
    </row>
    <row r="37" spans="1:30" ht="10.5" customHeight="1" x14ac:dyDescent="0.15">
      <c r="A37" s="24" t="s">
        <v>202</v>
      </c>
      <c r="B37" s="43">
        <v>4</v>
      </c>
      <c r="C37" s="44">
        <v>31963</v>
      </c>
      <c r="D37" s="44">
        <v>178542</v>
      </c>
      <c r="E37" s="44">
        <v>169451</v>
      </c>
      <c r="F37" s="44">
        <v>169451</v>
      </c>
      <c r="G37" s="44">
        <v>399541</v>
      </c>
      <c r="H37" s="45">
        <v>0.42399999999999999</v>
      </c>
      <c r="I37" s="45">
        <v>0.42399999999999999</v>
      </c>
      <c r="J37" s="45">
        <v>0.44700000000000001</v>
      </c>
      <c r="K37" s="45"/>
      <c r="L37" s="45">
        <v>7.3999999999999996E-2</v>
      </c>
      <c r="M37" s="45">
        <v>0.09</v>
      </c>
      <c r="N37" s="45">
        <v>0.112</v>
      </c>
      <c r="O37" s="45">
        <v>0.16200000000000001</v>
      </c>
      <c r="P37" s="44">
        <v>1043464</v>
      </c>
      <c r="Q37" s="46">
        <v>7.45</v>
      </c>
      <c r="R37" s="44">
        <v>613046</v>
      </c>
      <c r="S37" s="44">
        <v>82284</v>
      </c>
      <c r="T37" s="46">
        <v>6.46</v>
      </c>
      <c r="U37" s="44">
        <v>767140</v>
      </c>
      <c r="V37" s="44">
        <v>118694</v>
      </c>
      <c r="W37" s="46">
        <v>7.33</v>
      </c>
      <c r="X37" s="44">
        <v>725910</v>
      </c>
      <c r="Y37" s="44">
        <v>98987</v>
      </c>
      <c r="Z37" s="46">
        <v>5.38</v>
      </c>
      <c r="AA37" s="44">
        <v>814103</v>
      </c>
      <c r="AB37" s="44">
        <v>151354</v>
      </c>
      <c r="AD37" s="30"/>
    </row>
    <row r="38" spans="1:30" ht="10.5" customHeight="1" x14ac:dyDescent="0.15">
      <c r="A38" s="25" t="s">
        <v>10</v>
      </c>
      <c r="B38" s="47">
        <v>3</v>
      </c>
      <c r="C38" s="27">
        <v>965265</v>
      </c>
      <c r="D38" s="27">
        <v>2150415</v>
      </c>
      <c r="E38" s="27">
        <v>2150415</v>
      </c>
      <c r="F38" s="27">
        <v>2150415</v>
      </c>
      <c r="G38" s="27">
        <v>12065818</v>
      </c>
      <c r="H38" s="29">
        <v>0.17799999999999999</v>
      </c>
      <c r="I38" s="29">
        <v>0.17799999999999999</v>
      </c>
      <c r="J38" s="29">
        <v>0.17799999999999999</v>
      </c>
      <c r="K38" s="29"/>
      <c r="L38" s="29">
        <v>7.8E-2</v>
      </c>
      <c r="M38" s="29">
        <v>9.6000000000000002E-2</v>
      </c>
      <c r="N38" s="29">
        <v>0.12</v>
      </c>
      <c r="O38" s="29">
        <v>9.2999999999999999E-2</v>
      </c>
      <c r="P38" s="27">
        <v>23175852</v>
      </c>
      <c r="Q38" s="26">
        <v>1.54</v>
      </c>
      <c r="R38" s="27">
        <v>3418689</v>
      </c>
      <c r="S38" s="27">
        <v>2218576</v>
      </c>
      <c r="T38" s="26">
        <v>1.7</v>
      </c>
      <c r="U38" s="27">
        <v>3963353</v>
      </c>
      <c r="V38" s="27">
        <v>2327049</v>
      </c>
      <c r="W38" s="26">
        <v>1.5</v>
      </c>
      <c r="X38" s="27">
        <v>3989491</v>
      </c>
      <c r="Y38" s="27">
        <v>2653283</v>
      </c>
      <c r="Z38" s="26">
        <v>1.66</v>
      </c>
      <c r="AA38" s="27">
        <v>4425307</v>
      </c>
      <c r="AB38" s="27">
        <v>2659820</v>
      </c>
      <c r="AD38" s="30"/>
    </row>
    <row r="39" spans="1:30" ht="10.5" customHeight="1" x14ac:dyDescent="0.15">
      <c r="A39" s="24" t="s">
        <v>11</v>
      </c>
      <c r="B39" s="43">
        <v>3</v>
      </c>
      <c r="C39" s="44">
        <v>1014709</v>
      </c>
      <c r="D39" s="44">
        <v>2048639</v>
      </c>
      <c r="E39" s="44">
        <v>1682938</v>
      </c>
      <c r="F39" s="44">
        <v>1907593</v>
      </c>
      <c r="G39" s="44">
        <v>12683868</v>
      </c>
      <c r="H39" s="45">
        <v>0.13300000000000001</v>
      </c>
      <c r="I39" s="45">
        <v>0.15</v>
      </c>
      <c r="J39" s="45">
        <v>0.16200000000000001</v>
      </c>
      <c r="K39" s="45"/>
      <c r="L39" s="45">
        <v>7.8E-2</v>
      </c>
      <c r="M39" s="45">
        <v>9.6000000000000002E-2</v>
      </c>
      <c r="N39" s="45">
        <v>0.12</v>
      </c>
      <c r="O39" s="45">
        <v>8.2000000000000003E-2</v>
      </c>
      <c r="P39" s="44">
        <v>23197006</v>
      </c>
      <c r="Q39" s="46">
        <v>1.52</v>
      </c>
      <c r="R39" s="44">
        <v>5177828</v>
      </c>
      <c r="S39" s="44">
        <v>3400167</v>
      </c>
      <c r="T39" s="46">
        <v>1.76</v>
      </c>
      <c r="U39" s="44">
        <v>6152956</v>
      </c>
      <c r="V39" s="44">
        <v>3494417</v>
      </c>
      <c r="W39" s="46">
        <v>1.77</v>
      </c>
      <c r="X39" s="44">
        <v>6510589</v>
      </c>
      <c r="Y39" s="44">
        <v>3672387</v>
      </c>
      <c r="Z39" s="46">
        <v>1.77</v>
      </c>
      <c r="AA39" s="44">
        <v>7110293</v>
      </c>
      <c r="AB39" s="44">
        <v>4007700</v>
      </c>
      <c r="AD39" s="30"/>
    </row>
    <row r="40" spans="1:30" ht="10.5" customHeight="1" x14ac:dyDescent="0.15">
      <c r="A40" s="25" t="s">
        <v>16</v>
      </c>
      <c r="B40" s="47">
        <v>4</v>
      </c>
      <c r="C40" s="27">
        <v>124919</v>
      </c>
      <c r="D40" s="27">
        <v>256993</v>
      </c>
      <c r="E40" s="27">
        <v>256993</v>
      </c>
      <c r="F40" s="27">
        <v>256993</v>
      </c>
      <c r="G40" s="27">
        <v>1561486</v>
      </c>
      <c r="H40" s="29">
        <v>0.16500000000000001</v>
      </c>
      <c r="I40" s="29">
        <v>0.16500000000000001</v>
      </c>
      <c r="J40" s="29">
        <v>0.16500000000000001</v>
      </c>
      <c r="K40" s="29"/>
      <c r="L40" s="29">
        <v>7.3999999999999996E-2</v>
      </c>
      <c r="M40" s="29">
        <v>0.09</v>
      </c>
      <c r="N40" s="29">
        <v>0.112</v>
      </c>
      <c r="O40" s="29">
        <v>7.3999999999999996E-2</v>
      </c>
      <c r="P40" s="27">
        <v>3481880</v>
      </c>
      <c r="Q40" s="26">
        <v>1.32</v>
      </c>
      <c r="R40" s="27">
        <v>498453</v>
      </c>
      <c r="S40" s="27">
        <v>377674</v>
      </c>
      <c r="T40" s="26">
        <v>1.18</v>
      </c>
      <c r="U40" s="27">
        <v>622804</v>
      </c>
      <c r="V40" s="27">
        <v>529847</v>
      </c>
      <c r="W40" s="26">
        <v>1.32</v>
      </c>
      <c r="X40" s="27">
        <v>713859</v>
      </c>
      <c r="Y40" s="27">
        <v>538808</v>
      </c>
      <c r="Z40" s="26">
        <v>1.44</v>
      </c>
      <c r="AA40" s="27">
        <v>746890</v>
      </c>
      <c r="AB40" s="27">
        <v>517772</v>
      </c>
      <c r="AD40" s="30"/>
    </row>
    <row r="41" spans="1:30" ht="10.5" customHeight="1" x14ac:dyDescent="0.15">
      <c r="A41" s="24" t="s">
        <v>17</v>
      </c>
      <c r="B41" s="43">
        <v>3</v>
      </c>
      <c r="C41" s="44">
        <v>639541</v>
      </c>
      <c r="D41" s="44">
        <v>1395192</v>
      </c>
      <c r="E41" s="44">
        <v>1332903</v>
      </c>
      <c r="F41" s="44">
        <v>1332903</v>
      </c>
      <c r="G41" s="44">
        <v>7994263</v>
      </c>
      <c r="H41" s="45">
        <v>0.16700000000000001</v>
      </c>
      <c r="I41" s="45">
        <v>0.16700000000000001</v>
      </c>
      <c r="J41" s="45">
        <v>0.17499999999999999</v>
      </c>
      <c r="K41" s="45"/>
      <c r="L41" s="45">
        <v>7.8E-2</v>
      </c>
      <c r="M41" s="45">
        <v>9.6000000000000002E-2</v>
      </c>
      <c r="N41" s="45">
        <v>0.12</v>
      </c>
      <c r="O41" s="45">
        <v>7.6999999999999999E-2</v>
      </c>
      <c r="P41" s="44">
        <v>17231876</v>
      </c>
      <c r="Q41" s="46">
        <v>1.31</v>
      </c>
      <c r="R41" s="44">
        <v>2592096</v>
      </c>
      <c r="S41" s="44">
        <v>1975834</v>
      </c>
      <c r="T41" s="46">
        <v>1.24</v>
      </c>
      <c r="U41" s="44">
        <v>3134778</v>
      </c>
      <c r="V41" s="44">
        <v>2529179</v>
      </c>
      <c r="W41" s="46">
        <v>1.31</v>
      </c>
      <c r="X41" s="44">
        <v>3191528</v>
      </c>
      <c r="Y41" s="44">
        <v>2439514</v>
      </c>
      <c r="Z41" s="46">
        <v>1.38</v>
      </c>
      <c r="AA41" s="44">
        <v>3111046</v>
      </c>
      <c r="AB41" s="44">
        <v>2249946</v>
      </c>
      <c r="AD41" s="30"/>
    </row>
    <row r="42" spans="1:30" ht="10.5" customHeight="1" x14ac:dyDescent="0.15">
      <c r="A42" s="25" t="s">
        <v>15</v>
      </c>
      <c r="B42" s="47">
        <v>4</v>
      </c>
      <c r="C42" s="27">
        <v>384758</v>
      </c>
      <c r="D42" s="27">
        <v>911071</v>
      </c>
      <c r="E42" s="27">
        <v>889721</v>
      </c>
      <c r="F42" s="27">
        <v>889721</v>
      </c>
      <c r="G42" s="27">
        <v>4809479</v>
      </c>
      <c r="H42" s="29">
        <v>0.185</v>
      </c>
      <c r="I42" s="29">
        <v>0.185</v>
      </c>
      <c r="J42" s="29">
        <v>0.189</v>
      </c>
      <c r="K42" s="29"/>
      <c r="L42" s="29">
        <v>7.3999999999999996E-2</v>
      </c>
      <c r="M42" s="29">
        <v>0.09</v>
      </c>
      <c r="N42" s="29">
        <v>0.112</v>
      </c>
      <c r="O42" s="29">
        <v>0.09</v>
      </c>
      <c r="P42" s="27">
        <v>9868137</v>
      </c>
      <c r="Q42" s="26">
        <v>1.31</v>
      </c>
      <c r="R42" s="27">
        <v>1594383</v>
      </c>
      <c r="S42" s="27">
        <v>1218530</v>
      </c>
      <c r="T42" s="26">
        <v>1.41</v>
      </c>
      <c r="U42" s="27">
        <v>1756161</v>
      </c>
      <c r="V42" s="27">
        <v>1249755</v>
      </c>
      <c r="W42" s="26">
        <v>1.49</v>
      </c>
      <c r="X42" s="27">
        <v>1775785</v>
      </c>
      <c r="Y42" s="27">
        <v>1192847</v>
      </c>
      <c r="Z42" s="26">
        <v>1.55</v>
      </c>
      <c r="AA42" s="27">
        <v>1825468</v>
      </c>
      <c r="AB42" s="27">
        <v>1177588</v>
      </c>
      <c r="AD42" s="30"/>
    </row>
    <row r="43" spans="1:30" ht="10.5" customHeight="1" x14ac:dyDescent="0.15">
      <c r="A43" s="24" t="s">
        <v>26</v>
      </c>
      <c r="B43" s="43">
        <v>3</v>
      </c>
      <c r="C43" s="44">
        <v>1470222</v>
      </c>
      <c r="D43" s="44">
        <v>3273875</v>
      </c>
      <c r="E43" s="44">
        <v>3251581</v>
      </c>
      <c r="F43" s="44">
        <v>3251581</v>
      </c>
      <c r="G43" s="44">
        <v>18377776</v>
      </c>
      <c r="H43" s="45">
        <v>0.17699999999999999</v>
      </c>
      <c r="I43" s="45">
        <v>0.17699999999999999</v>
      </c>
      <c r="J43" s="45">
        <v>0.17799999999999999</v>
      </c>
      <c r="K43" s="45"/>
      <c r="L43" s="45">
        <v>7.8E-2</v>
      </c>
      <c r="M43" s="45">
        <v>9.6000000000000002E-2</v>
      </c>
      <c r="N43" s="45">
        <v>0.12</v>
      </c>
      <c r="O43" s="45">
        <v>5.8000000000000003E-2</v>
      </c>
      <c r="P43" s="44">
        <v>55996132</v>
      </c>
      <c r="Q43" s="46">
        <v>1.29</v>
      </c>
      <c r="R43" s="44">
        <v>9029744</v>
      </c>
      <c r="S43" s="44">
        <v>6972892</v>
      </c>
      <c r="T43" s="46">
        <v>1.3</v>
      </c>
      <c r="U43" s="44">
        <v>10408606</v>
      </c>
      <c r="V43" s="44">
        <v>8033253</v>
      </c>
      <c r="W43" s="46">
        <v>1.28</v>
      </c>
      <c r="X43" s="44">
        <v>11141732</v>
      </c>
      <c r="Y43" s="44">
        <v>8701611</v>
      </c>
      <c r="Z43" s="46">
        <v>1.45</v>
      </c>
      <c r="AA43" s="44">
        <v>11179271</v>
      </c>
      <c r="AB43" s="44">
        <v>7700869</v>
      </c>
      <c r="AD43" s="30"/>
    </row>
    <row r="44" spans="1:30" ht="10.5" customHeight="1" x14ac:dyDescent="0.15">
      <c r="A44" s="25" t="s">
        <v>123</v>
      </c>
      <c r="B44" s="47">
        <v>5</v>
      </c>
      <c r="C44" s="27">
        <v>29969</v>
      </c>
      <c r="D44" s="27">
        <v>75550</v>
      </c>
      <c r="E44" s="27">
        <v>72370</v>
      </c>
      <c r="F44" s="27">
        <v>72370</v>
      </c>
      <c r="G44" s="27">
        <v>374610</v>
      </c>
      <c r="H44" s="29">
        <v>0.193</v>
      </c>
      <c r="I44" s="29">
        <v>0.193</v>
      </c>
      <c r="J44" s="29">
        <v>0.20200000000000001</v>
      </c>
      <c r="K44" s="29"/>
      <c r="L44" s="29">
        <v>7.0000000000000007E-2</v>
      </c>
      <c r="M44" s="29">
        <v>8.5000000000000006E-2</v>
      </c>
      <c r="N44" s="29">
        <v>0.105</v>
      </c>
      <c r="O44" s="29">
        <v>8.6999999999999994E-2</v>
      </c>
      <c r="P44" s="27">
        <v>831220</v>
      </c>
      <c r="Q44" s="26">
        <v>2.16</v>
      </c>
      <c r="R44" s="27">
        <v>175279</v>
      </c>
      <c r="S44" s="27">
        <v>80967</v>
      </c>
      <c r="T44" s="26">
        <v>3.08</v>
      </c>
      <c r="U44" s="27">
        <v>193638</v>
      </c>
      <c r="V44" s="27">
        <v>62941</v>
      </c>
      <c r="W44" s="26">
        <v>2.0299999999999998</v>
      </c>
      <c r="X44" s="27">
        <v>141242</v>
      </c>
      <c r="Y44" s="27">
        <v>69624</v>
      </c>
      <c r="Z44" s="26">
        <v>2.2000000000000002</v>
      </c>
      <c r="AA44" s="27">
        <v>152368</v>
      </c>
      <c r="AB44" s="27">
        <v>69169</v>
      </c>
      <c r="AD44" s="30"/>
    </row>
    <row r="45" spans="1:30" ht="10.5" customHeight="1" x14ac:dyDescent="0.15">
      <c r="A45" s="24" t="s">
        <v>76</v>
      </c>
      <c r="B45" s="43">
        <v>5</v>
      </c>
      <c r="C45" s="44">
        <v>271138</v>
      </c>
      <c r="D45" s="44">
        <v>481330</v>
      </c>
      <c r="E45" s="44">
        <v>481330</v>
      </c>
      <c r="F45" s="44">
        <v>481330</v>
      </c>
      <c r="G45" s="44">
        <v>3389219</v>
      </c>
      <c r="H45" s="45">
        <v>0.14199999999999999</v>
      </c>
      <c r="I45" s="45">
        <v>0.14199999999999999</v>
      </c>
      <c r="J45" s="45">
        <v>0.14199999999999999</v>
      </c>
      <c r="K45" s="45"/>
      <c r="L45" s="45">
        <v>7.0000000000000007E-2</v>
      </c>
      <c r="M45" s="45">
        <v>8.5000000000000006E-2</v>
      </c>
      <c r="N45" s="45">
        <v>0.105</v>
      </c>
      <c r="O45" s="45">
        <v>0.112</v>
      </c>
      <c r="P45" s="44">
        <v>4291067</v>
      </c>
      <c r="Q45" s="46">
        <v>1.45</v>
      </c>
      <c r="R45" s="44">
        <v>732629</v>
      </c>
      <c r="S45" s="44">
        <v>504953</v>
      </c>
      <c r="T45" s="46">
        <v>1.9</v>
      </c>
      <c r="U45" s="44">
        <v>659378</v>
      </c>
      <c r="V45" s="44">
        <v>346557</v>
      </c>
      <c r="W45" s="46">
        <v>1.83</v>
      </c>
      <c r="X45" s="44">
        <v>682381</v>
      </c>
      <c r="Y45" s="44">
        <v>372015</v>
      </c>
      <c r="Z45" s="46">
        <v>1.65</v>
      </c>
      <c r="AA45" s="44">
        <v>584865</v>
      </c>
      <c r="AB45" s="44">
        <v>354360</v>
      </c>
      <c r="AD45" s="30"/>
    </row>
    <row r="46" spans="1:30" ht="10.5" customHeight="1" x14ac:dyDescent="0.15">
      <c r="A46" s="25" t="s">
        <v>90</v>
      </c>
      <c r="B46" s="47">
        <v>5</v>
      </c>
      <c r="C46" s="27">
        <v>4763</v>
      </c>
      <c r="D46" s="27">
        <v>19997</v>
      </c>
      <c r="E46" s="27">
        <v>19997</v>
      </c>
      <c r="F46" s="27">
        <v>19997</v>
      </c>
      <c r="G46" s="27">
        <v>59541</v>
      </c>
      <c r="H46" s="29">
        <v>0.33600000000000002</v>
      </c>
      <c r="I46" s="29">
        <v>0.33600000000000002</v>
      </c>
      <c r="J46" s="29">
        <v>0.33600000000000002</v>
      </c>
      <c r="K46" s="29"/>
      <c r="L46" s="29">
        <v>7.0000000000000007E-2</v>
      </c>
      <c r="M46" s="29">
        <v>8.5000000000000006E-2</v>
      </c>
      <c r="N46" s="29">
        <v>0.105</v>
      </c>
      <c r="O46" s="29">
        <v>0.129</v>
      </c>
      <c r="P46" s="27">
        <v>155165</v>
      </c>
      <c r="Q46" s="26">
        <v>1.42</v>
      </c>
      <c r="R46" s="27">
        <v>23590</v>
      </c>
      <c r="S46" s="27">
        <v>16636</v>
      </c>
      <c r="T46" s="26">
        <v>1.41</v>
      </c>
      <c r="U46" s="27">
        <v>26271</v>
      </c>
      <c r="V46" s="27">
        <v>18649</v>
      </c>
      <c r="W46" s="26">
        <v>1.57</v>
      </c>
      <c r="X46" s="27">
        <v>28078</v>
      </c>
      <c r="Y46" s="27">
        <v>17901</v>
      </c>
      <c r="Z46" s="26">
        <v>1.68</v>
      </c>
      <c r="AA46" s="27">
        <v>26220</v>
      </c>
      <c r="AB46" s="27">
        <v>15564</v>
      </c>
      <c r="AD46" s="30"/>
    </row>
    <row r="47" spans="1:30" ht="10.5" customHeight="1" x14ac:dyDescent="0.15">
      <c r="A47" s="24" t="s">
        <v>146</v>
      </c>
      <c r="B47" s="43">
        <v>5</v>
      </c>
      <c r="C47" s="44">
        <v>34915</v>
      </c>
      <c r="D47" s="44">
        <v>79433</v>
      </c>
      <c r="E47" s="44">
        <v>77833</v>
      </c>
      <c r="F47" s="44">
        <v>77833</v>
      </c>
      <c r="G47" s="44">
        <v>436435</v>
      </c>
      <c r="H47" s="45">
        <v>0.17799999999999999</v>
      </c>
      <c r="I47" s="45">
        <v>0.17799999999999999</v>
      </c>
      <c r="J47" s="45">
        <v>0.182</v>
      </c>
      <c r="K47" s="45"/>
      <c r="L47" s="45">
        <v>7.0000000000000007E-2</v>
      </c>
      <c r="M47" s="45">
        <v>8.5000000000000006E-2</v>
      </c>
      <c r="N47" s="45">
        <v>0.105</v>
      </c>
      <c r="O47" s="45">
        <v>7.6999999999999999E-2</v>
      </c>
      <c r="P47" s="44">
        <v>1010402</v>
      </c>
      <c r="Q47" s="46">
        <v>2.33</v>
      </c>
      <c r="R47" s="44">
        <v>61851</v>
      </c>
      <c r="S47" s="44">
        <v>26567</v>
      </c>
      <c r="T47" s="46">
        <v>1.74</v>
      </c>
      <c r="U47" s="44">
        <v>74892</v>
      </c>
      <c r="V47" s="44">
        <v>42958</v>
      </c>
      <c r="W47" s="46">
        <v>2.06</v>
      </c>
      <c r="X47" s="44">
        <v>96360</v>
      </c>
      <c r="Y47" s="44">
        <v>46839</v>
      </c>
      <c r="Z47" s="46">
        <v>2.21</v>
      </c>
      <c r="AA47" s="44">
        <v>84651</v>
      </c>
      <c r="AB47" s="44">
        <v>38306</v>
      </c>
      <c r="AD47" s="30"/>
    </row>
    <row r="48" spans="1:30" ht="10.5" customHeight="1" x14ac:dyDescent="0.15">
      <c r="A48" s="25" t="s">
        <v>104</v>
      </c>
      <c r="B48" s="47">
        <v>5</v>
      </c>
      <c r="C48" s="27">
        <v>35570</v>
      </c>
      <c r="D48" s="27">
        <v>84362</v>
      </c>
      <c r="E48" s="27">
        <v>84362</v>
      </c>
      <c r="F48" s="27">
        <v>84362</v>
      </c>
      <c r="G48" s="27">
        <v>444630</v>
      </c>
      <c r="H48" s="29">
        <v>0.19</v>
      </c>
      <c r="I48" s="29">
        <v>0.19</v>
      </c>
      <c r="J48" s="29">
        <v>0.19</v>
      </c>
      <c r="K48" s="29"/>
      <c r="L48" s="29">
        <v>7.0000000000000007E-2</v>
      </c>
      <c r="M48" s="29">
        <v>8.5000000000000006E-2</v>
      </c>
      <c r="N48" s="29">
        <v>0.105</v>
      </c>
      <c r="O48" s="29">
        <v>9.7000000000000003E-2</v>
      </c>
      <c r="P48" s="27">
        <v>870004</v>
      </c>
      <c r="Q48" s="26">
        <v>6.03</v>
      </c>
      <c r="R48" s="27">
        <v>381946</v>
      </c>
      <c r="S48" s="27">
        <v>63339</v>
      </c>
      <c r="T48" s="26">
        <v>4.28</v>
      </c>
      <c r="U48" s="27">
        <v>226596</v>
      </c>
      <c r="V48" s="27">
        <v>52910</v>
      </c>
      <c r="W48" s="26">
        <v>2.71</v>
      </c>
      <c r="X48" s="27">
        <v>145380</v>
      </c>
      <c r="Y48" s="27">
        <v>53642</v>
      </c>
      <c r="Z48" s="26">
        <v>2.13</v>
      </c>
      <c r="AA48" s="27">
        <v>141204</v>
      </c>
      <c r="AB48" s="27">
        <v>66330</v>
      </c>
      <c r="AD48" s="30"/>
    </row>
    <row r="49" spans="1:30" ht="10.5" customHeight="1" x14ac:dyDescent="0.15">
      <c r="A49" s="24" t="s">
        <v>147</v>
      </c>
      <c r="B49" s="43">
        <v>5</v>
      </c>
      <c r="C49" s="44">
        <v>48461</v>
      </c>
      <c r="D49" s="44">
        <v>104738</v>
      </c>
      <c r="E49" s="44">
        <v>104738</v>
      </c>
      <c r="F49" s="44">
        <v>104738</v>
      </c>
      <c r="G49" s="44">
        <v>605757</v>
      </c>
      <c r="H49" s="45">
        <v>0.17299999999999999</v>
      </c>
      <c r="I49" s="45">
        <v>0.17299999999999999</v>
      </c>
      <c r="J49" s="45">
        <v>0.17299999999999999</v>
      </c>
      <c r="K49" s="45"/>
      <c r="L49" s="45">
        <v>7.0000000000000007E-2</v>
      </c>
      <c r="M49" s="45">
        <v>8.5000000000000006E-2</v>
      </c>
      <c r="N49" s="45">
        <v>0.105</v>
      </c>
      <c r="O49" s="45">
        <v>9.8000000000000004E-2</v>
      </c>
      <c r="P49" s="44">
        <v>1063944</v>
      </c>
      <c r="Q49" s="46">
        <v>1.26</v>
      </c>
      <c r="R49" s="44">
        <v>175502</v>
      </c>
      <c r="S49" s="44">
        <v>139216</v>
      </c>
      <c r="T49" s="46">
        <v>1.2</v>
      </c>
      <c r="U49" s="44">
        <v>173318</v>
      </c>
      <c r="V49" s="44">
        <v>143898</v>
      </c>
      <c r="W49" s="46">
        <v>1.23</v>
      </c>
      <c r="X49" s="44">
        <v>185807</v>
      </c>
      <c r="Y49" s="44">
        <v>150562</v>
      </c>
      <c r="Z49" s="46">
        <v>1.3</v>
      </c>
      <c r="AA49" s="44">
        <v>226846</v>
      </c>
      <c r="AB49" s="44">
        <v>174698</v>
      </c>
      <c r="AD49" s="30"/>
    </row>
    <row r="50" spans="1:30" ht="10.5" customHeight="1" x14ac:dyDescent="0.15">
      <c r="A50" s="25" t="s">
        <v>61</v>
      </c>
      <c r="B50" s="47">
        <v>3</v>
      </c>
      <c r="C50" s="27">
        <v>377751</v>
      </c>
      <c r="D50" s="27">
        <v>1416563</v>
      </c>
      <c r="E50" s="27">
        <v>1402869</v>
      </c>
      <c r="F50" s="27">
        <v>1416563</v>
      </c>
      <c r="G50" s="27">
        <v>4721893</v>
      </c>
      <c r="H50" s="29">
        <v>0.29699999999999999</v>
      </c>
      <c r="I50" s="29">
        <v>0.3</v>
      </c>
      <c r="J50" s="29">
        <v>0.3</v>
      </c>
      <c r="K50" s="29"/>
      <c r="L50" s="29">
        <v>7.8E-2</v>
      </c>
      <c r="M50" s="29">
        <v>9.6000000000000002E-2</v>
      </c>
      <c r="N50" s="29">
        <v>0.12</v>
      </c>
      <c r="O50" s="29">
        <v>0.121</v>
      </c>
      <c r="P50" s="27">
        <v>11746290</v>
      </c>
      <c r="Q50" s="26">
        <v>2.08</v>
      </c>
      <c r="R50" s="27">
        <v>11073941</v>
      </c>
      <c r="S50" s="27">
        <v>5332479</v>
      </c>
      <c r="T50" s="26">
        <v>2.25</v>
      </c>
      <c r="U50" s="27">
        <v>12751132</v>
      </c>
      <c r="V50" s="27">
        <v>5673288</v>
      </c>
      <c r="W50" s="26">
        <v>2.2400000000000002</v>
      </c>
      <c r="X50" s="27">
        <v>12992623</v>
      </c>
      <c r="Y50" s="27">
        <v>5792335</v>
      </c>
      <c r="Z50" s="26">
        <v>2.2799999999999998</v>
      </c>
      <c r="AA50" s="27">
        <v>12736732</v>
      </c>
      <c r="AB50" s="27">
        <v>5583262</v>
      </c>
      <c r="AD50" s="30"/>
    </row>
    <row r="51" spans="1:30" ht="10.5" customHeight="1" x14ac:dyDescent="0.15">
      <c r="A51" s="24" t="s">
        <v>124</v>
      </c>
      <c r="B51" s="43">
        <v>5</v>
      </c>
      <c r="C51" s="44">
        <v>14563</v>
      </c>
      <c r="D51" s="44">
        <v>80559</v>
      </c>
      <c r="E51" s="44">
        <v>80559</v>
      </c>
      <c r="F51" s="44">
        <v>80559</v>
      </c>
      <c r="G51" s="44">
        <v>182033</v>
      </c>
      <c r="H51" s="45">
        <v>0.443</v>
      </c>
      <c r="I51" s="45">
        <v>0.443</v>
      </c>
      <c r="J51" s="45">
        <v>0.443</v>
      </c>
      <c r="K51" s="45"/>
      <c r="L51" s="45">
        <v>7.0000000000000007E-2</v>
      </c>
      <c r="M51" s="45">
        <v>8.5000000000000006E-2</v>
      </c>
      <c r="N51" s="45">
        <v>0.105</v>
      </c>
      <c r="O51" s="45">
        <v>9.9000000000000005E-2</v>
      </c>
      <c r="P51" s="44">
        <v>816181</v>
      </c>
      <c r="Q51" s="46">
        <v>1.97</v>
      </c>
      <c r="R51" s="44">
        <v>47803</v>
      </c>
      <c r="S51" s="44">
        <v>24283</v>
      </c>
      <c r="T51" s="46">
        <v>1.72</v>
      </c>
      <c r="U51" s="44">
        <v>43060</v>
      </c>
      <c r="V51" s="44">
        <v>25106</v>
      </c>
      <c r="W51" s="46">
        <v>2.02</v>
      </c>
      <c r="X51" s="44">
        <v>49389</v>
      </c>
      <c r="Y51" s="44">
        <v>24508</v>
      </c>
      <c r="Z51" s="46">
        <v>1.89</v>
      </c>
      <c r="AA51" s="44">
        <v>52649</v>
      </c>
      <c r="AB51" s="44">
        <v>27910</v>
      </c>
      <c r="AD51" s="30"/>
    </row>
    <row r="52" spans="1:30" ht="10.5" customHeight="1" x14ac:dyDescent="0.15">
      <c r="A52" s="25" t="s">
        <v>59</v>
      </c>
      <c r="B52" s="47">
        <v>5</v>
      </c>
      <c r="C52" s="27">
        <v>7176</v>
      </c>
      <c r="D52" s="27">
        <v>54803</v>
      </c>
      <c r="E52" s="27">
        <v>52224</v>
      </c>
      <c r="F52" s="27">
        <v>52224</v>
      </c>
      <c r="G52" s="27">
        <v>89695</v>
      </c>
      <c r="H52" s="29">
        <v>0.58199999999999996</v>
      </c>
      <c r="I52" s="29">
        <v>0.58199999999999996</v>
      </c>
      <c r="J52" s="29">
        <v>0.61099999999999999</v>
      </c>
      <c r="K52" s="29"/>
      <c r="L52" s="29">
        <v>7.0000000000000007E-2</v>
      </c>
      <c r="M52" s="29">
        <v>8.5000000000000006E-2</v>
      </c>
      <c r="N52" s="29">
        <v>0.105</v>
      </c>
      <c r="O52" s="29">
        <v>0.16200000000000001</v>
      </c>
      <c r="P52" s="27">
        <v>321669</v>
      </c>
      <c r="Q52" s="26">
        <v>1.43</v>
      </c>
      <c r="R52" s="27">
        <v>37115</v>
      </c>
      <c r="S52" s="27">
        <v>26028</v>
      </c>
      <c r="T52" s="26">
        <v>1.29</v>
      </c>
      <c r="U52" s="27">
        <v>48927</v>
      </c>
      <c r="V52" s="27">
        <v>38061</v>
      </c>
      <c r="W52" s="26">
        <v>1.36</v>
      </c>
      <c r="X52" s="27">
        <v>49897</v>
      </c>
      <c r="Y52" s="27">
        <v>36651</v>
      </c>
      <c r="Z52" s="26">
        <v>1.43</v>
      </c>
      <c r="AA52" s="27">
        <v>51027</v>
      </c>
      <c r="AB52" s="27">
        <v>35752</v>
      </c>
      <c r="AD52" s="30"/>
    </row>
    <row r="53" spans="1:30" ht="10.5" customHeight="1" x14ac:dyDescent="0.15">
      <c r="A53" s="24" t="s">
        <v>96</v>
      </c>
      <c r="B53" s="43">
        <v>4</v>
      </c>
      <c r="C53" s="44">
        <v>58592</v>
      </c>
      <c r="D53" s="44">
        <v>177849</v>
      </c>
      <c r="E53" s="44">
        <v>177849</v>
      </c>
      <c r="F53" s="44">
        <v>177849</v>
      </c>
      <c r="G53" s="44">
        <v>732394</v>
      </c>
      <c r="H53" s="45">
        <v>0.24299999999999999</v>
      </c>
      <c r="I53" s="45">
        <v>0.24299999999999999</v>
      </c>
      <c r="J53" s="45">
        <v>0.24299999999999999</v>
      </c>
      <c r="K53" s="45"/>
      <c r="L53" s="45">
        <v>7.3999999999999996E-2</v>
      </c>
      <c r="M53" s="45">
        <v>0.09</v>
      </c>
      <c r="N53" s="45">
        <v>0.112</v>
      </c>
      <c r="O53" s="45">
        <v>0.13</v>
      </c>
      <c r="P53" s="44">
        <v>1366638</v>
      </c>
      <c r="Q53" s="46">
        <v>1.84</v>
      </c>
      <c r="R53" s="44">
        <v>706516</v>
      </c>
      <c r="S53" s="44">
        <v>384463</v>
      </c>
      <c r="T53" s="46">
        <v>1.87</v>
      </c>
      <c r="U53" s="44">
        <v>882197</v>
      </c>
      <c r="V53" s="44">
        <v>470889</v>
      </c>
      <c r="W53" s="46">
        <v>2.12</v>
      </c>
      <c r="X53" s="44">
        <v>840260</v>
      </c>
      <c r="Y53" s="44">
        <v>396853</v>
      </c>
      <c r="Z53" s="46">
        <v>1.92</v>
      </c>
      <c r="AA53" s="44">
        <v>880951</v>
      </c>
      <c r="AB53" s="44">
        <v>459970</v>
      </c>
      <c r="AD53" s="30"/>
    </row>
    <row r="54" spans="1:30" ht="10.5" customHeight="1" x14ac:dyDescent="0.15">
      <c r="A54" s="25" t="s">
        <v>63</v>
      </c>
      <c r="B54" s="47">
        <v>5</v>
      </c>
      <c r="C54" s="27">
        <v>13032</v>
      </c>
      <c r="D54" s="27">
        <v>51885</v>
      </c>
      <c r="E54" s="27">
        <v>51885</v>
      </c>
      <c r="F54" s="27">
        <v>51885</v>
      </c>
      <c r="G54" s="27">
        <v>162905</v>
      </c>
      <c r="H54" s="29">
        <v>0.31900000000000001</v>
      </c>
      <c r="I54" s="29">
        <v>0.31900000000000001</v>
      </c>
      <c r="J54" s="29">
        <v>0.31900000000000001</v>
      </c>
      <c r="K54" s="29"/>
      <c r="L54" s="29">
        <v>7.0000000000000007E-2</v>
      </c>
      <c r="M54" s="29">
        <v>8.5000000000000006E-2</v>
      </c>
      <c r="N54" s="29">
        <v>0.105</v>
      </c>
      <c r="O54" s="29">
        <v>0.153</v>
      </c>
      <c r="P54" s="27">
        <v>340039</v>
      </c>
      <c r="Q54" s="26">
        <v>1.35</v>
      </c>
      <c r="R54" s="27">
        <v>107251</v>
      </c>
      <c r="S54" s="27">
        <v>79563</v>
      </c>
      <c r="T54" s="26">
        <v>1.71</v>
      </c>
      <c r="U54" s="27">
        <v>100720</v>
      </c>
      <c r="V54" s="27">
        <v>58993</v>
      </c>
      <c r="W54" s="26">
        <v>1.86</v>
      </c>
      <c r="X54" s="27">
        <v>121488</v>
      </c>
      <c r="Y54" s="27">
        <v>65273</v>
      </c>
      <c r="Z54" s="26">
        <v>1.79</v>
      </c>
      <c r="AA54" s="27">
        <v>102350</v>
      </c>
      <c r="AB54" s="27">
        <v>57149</v>
      </c>
      <c r="AD54" s="30"/>
    </row>
    <row r="55" spans="1:30" ht="10.5" customHeight="1" x14ac:dyDescent="0.15">
      <c r="A55" s="24" t="s">
        <v>77</v>
      </c>
      <c r="B55" s="43">
        <v>4</v>
      </c>
      <c r="C55" s="44">
        <v>74738</v>
      </c>
      <c r="D55" s="44">
        <v>166839</v>
      </c>
      <c r="E55" s="44">
        <v>116839</v>
      </c>
      <c r="F55" s="44">
        <v>166839</v>
      </c>
      <c r="G55" s="44">
        <v>934222</v>
      </c>
      <c r="H55" s="45">
        <v>0.125</v>
      </c>
      <c r="I55" s="45">
        <v>0.17899999999999999</v>
      </c>
      <c r="J55" s="45">
        <v>0.17899999999999999</v>
      </c>
      <c r="K55" s="45"/>
      <c r="L55" s="45">
        <v>7.3999999999999996E-2</v>
      </c>
      <c r="M55" s="45">
        <v>0.09</v>
      </c>
      <c r="N55" s="45">
        <v>0.112</v>
      </c>
      <c r="O55" s="45">
        <v>4.8000000000000001E-2</v>
      </c>
      <c r="P55" s="44">
        <v>3453325</v>
      </c>
      <c r="Q55" s="46">
        <v>1.69</v>
      </c>
      <c r="R55" s="44">
        <v>353013</v>
      </c>
      <c r="S55" s="44">
        <v>209199</v>
      </c>
      <c r="T55" s="46">
        <v>1.56</v>
      </c>
      <c r="U55" s="44">
        <v>367901</v>
      </c>
      <c r="V55" s="44">
        <v>235485</v>
      </c>
      <c r="W55" s="46">
        <v>1.62</v>
      </c>
      <c r="X55" s="44">
        <v>366189</v>
      </c>
      <c r="Y55" s="44">
        <v>225851</v>
      </c>
      <c r="Z55" s="46">
        <v>2.12</v>
      </c>
      <c r="AA55" s="44">
        <v>608856</v>
      </c>
      <c r="AB55" s="44">
        <v>286911</v>
      </c>
      <c r="AD55" s="30"/>
    </row>
    <row r="56" spans="1:30" ht="10.5" customHeight="1" x14ac:dyDescent="0.15">
      <c r="A56" s="25" t="s">
        <v>13</v>
      </c>
      <c r="B56" s="47">
        <v>3</v>
      </c>
      <c r="C56" s="27">
        <v>984734</v>
      </c>
      <c r="D56" s="27">
        <v>2513535</v>
      </c>
      <c r="E56" s="27">
        <v>2481867</v>
      </c>
      <c r="F56" s="27">
        <v>2481867</v>
      </c>
      <c r="G56" s="27">
        <v>12309181</v>
      </c>
      <c r="H56" s="29">
        <v>0.20200000000000001</v>
      </c>
      <c r="I56" s="29">
        <v>0.20200000000000001</v>
      </c>
      <c r="J56" s="29">
        <v>0.20399999999999999</v>
      </c>
      <c r="K56" s="29"/>
      <c r="L56" s="29">
        <v>7.8E-2</v>
      </c>
      <c r="M56" s="29">
        <v>9.6000000000000002E-2</v>
      </c>
      <c r="N56" s="29">
        <v>0.12</v>
      </c>
      <c r="O56" s="29">
        <v>9.7000000000000003E-2</v>
      </c>
      <c r="P56" s="27">
        <v>25630755</v>
      </c>
      <c r="Q56" s="26">
        <v>1.1100000000000001</v>
      </c>
      <c r="R56" s="27">
        <v>3621424</v>
      </c>
      <c r="S56" s="27">
        <v>3252450</v>
      </c>
      <c r="T56" s="26">
        <v>1.28</v>
      </c>
      <c r="U56" s="27">
        <v>4526294</v>
      </c>
      <c r="V56" s="27">
        <v>3536791</v>
      </c>
      <c r="W56" s="26">
        <v>1.33</v>
      </c>
      <c r="X56" s="27">
        <v>4167254</v>
      </c>
      <c r="Y56" s="27">
        <v>3131152</v>
      </c>
      <c r="Z56" s="26">
        <v>1.32</v>
      </c>
      <c r="AA56" s="27">
        <v>4687661</v>
      </c>
      <c r="AB56" s="27">
        <v>3551701</v>
      </c>
      <c r="AD56" s="30"/>
    </row>
    <row r="57" spans="1:30" ht="10.5" customHeight="1" x14ac:dyDescent="0.15">
      <c r="A57" s="24" t="s">
        <v>9</v>
      </c>
      <c r="B57" s="43">
        <v>3</v>
      </c>
      <c r="C57" s="44">
        <v>1899033</v>
      </c>
      <c r="D57" s="44">
        <v>4043283</v>
      </c>
      <c r="E57" s="44">
        <v>3912062</v>
      </c>
      <c r="F57" s="44">
        <v>4042062</v>
      </c>
      <c r="G57" s="44">
        <v>23737911</v>
      </c>
      <c r="H57" s="45">
        <v>0.16500000000000001</v>
      </c>
      <c r="I57" s="45">
        <v>0.17</v>
      </c>
      <c r="J57" s="45">
        <v>0.17</v>
      </c>
      <c r="K57" s="45"/>
      <c r="L57" s="45">
        <v>7.8E-2</v>
      </c>
      <c r="M57" s="45">
        <v>9.6000000000000002E-2</v>
      </c>
      <c r="N57" s="45">
        <v>0.12</v>
      </c>
      <c r="O57" s="45">
        <v>8.2000000000000003E-2</v>
      </c>
      <c r="P57" s="44">
        <v>49351993</v>
      </c>
      <c r="Q57" s="46">
        <v>1.39</v>
      </c>
      <c r="R57" s="44">
        <v>7569746</v>
      </c>
      <c r="S57" s="44">
        <v>5427727</v>
      </c>
      <c r="T57" s="46">
        <v>1.84</v>
      </c>
      <c r="U57" s="44">
        <v>10141355</v>
      </c>
      <c r="V57" s="44">
        <v>5501765</v>
      </c>
      <c r="W57" s="46">
        <v>2.42</v>
      </c>
      <c r="X57" s="44">
        <v>10305200</v>
      </c>
      <c r="Y57" s="44">
        <v>4260198</v>
      </c>
      <c r="Z57" s="46">
        <v>2.2999999999999998</v>
      </c>
      <c r="AA57" s="44">
        <v>10954850</v>
      </c>
      <c r="AB57" s="44">
        <v>4755465</v>
      </c>
      <c r="AD57" s="30"/>
    </row>
    <row r="58" spans="1:30" ht="10.5" customHeight="1" x14ac:dyDescent="0.15">
      <c r="A58" s="25" t="s">
        <v>97</v>
      </c>
      <c r="B58" s="47">
        <v>5</v>
      </c>
      <c r="C58" s="27">
        <v>12877</v>
      </c>
      <c r="D58" s="27">
        <v>31939</v>
      </c>
      <c r="E58" s="27">
        <v>31939</v>
      </c>
      <c r="F58" s="27">
        <v>31939</v>
      </c>
      <c r="G58" s="27">
        <v>160962</v>
      </c>
      <c r="H58" s="29">
        <v>0.19800000000000001</v>
      </c>
      <c r="I58" s="29">
        <v>0.19800000000000001</v>
      </c>
      <c r="J58" s="29">
        <v>0.19800000000000001</v>
      </c>
      <c r="K58" s="29"/>
      <c r="L58" s="29">
        <v>7.0000000000000007E-2</v>
      </c>
      <c r="M58" s="29">
        <v>8.5000000000000006E-2</v>
      </c>
      <c r="N58" s="29">
        <v>0.105</v>
      </c>
      <c r="O58" s="29">
        <v>0.05</v>
      </c>
      <c r="P58" s="27">
        <v>595121</v>
      </c>
      <c r="Q58" s="26">
        <v>1.6</v>
      </c>
      <c r="R58" s="27">
        <v>113437</v>
      </c>
      <c r="S58" s="27">
        <v>70706</v>
      </c>
      <c r="T58" s="26">
        <v>1.67</v>
      </c>
      <c r="U58" s="27">
        <v>140413</v>
      </c>
      <c r="V58" s="27">
        <v>84205</v>
      </c>
      <c r="W58" s="26">
        <v>1.94</v>
      </c>
      <c r="X58" s="27">
        <v>158801</v>
      </c>
      <c r="Y58" s="27">
        <v>81736</v>
      </c>
      <c r="Z58" s="26">
        <v>1.97</v>
      </c>
      <c r="AA58" s="27">
        <v>153829</v>
      </c>
      <c r="AB58" s="27">
        <v>78233</v>
      </c>
      <c r="AD58" s="30"/>
    </row>
    <row r="59" spans="1:30" ht="10.5" customHeight="1" x14ac:dyDescent="0.15">
      <c r="A59" s="24" t="s">
        <v>24</v>
      </c>
      <c r="B59" s="43">
        <v>3</v>
      </c>
      <c r="C59" s="44">
        <v>1073624</v>
      </c>
      <c r="D59" s="44">
        <v>2548367</v>
      </c>
      <c r="E59" s="44">
        <v>2548367</v>
      </c>
      <c r="F59" s="44">
        <v>2548367</v>
      </c>
      <c r="G59" s="44">
        <v>13420304</v>
      </c>
      <c r="H59" s="45">
        <v>0.19</v>
      </c>
      <c r="I59" s="45">
        <v>0.19</v>
      </c>
      <c r="J59" s="45">
        <v>0.19</v>
      </c>
      <c r="K59" s="45"/>
      <c r="L59" s="45">
        <v>7.8E-2</v>
      </c>
      <c r="M59" s="45">
        <v>9.6000000000000002E-2</v>
      </c>
      <c r="N59" s="45">
        <v>0.12</v>
      </c>
      <c r="O59" s="45">
        <v>7.8E-2</v>
      </c>
      <c r="P59" s="44">
        <v>32463846</v>
      </c>
      <c r="Q59" s="46">
        <v>1.35</v>
      </c>
      <c r="R59" s="44">
        <v>5130822</v>
      </c>
      <c r="S59" s="44">
        <v>3792769</v>
      </c>
      <c r="T59" s="46">
        <v>1.73</v>
      </c>
      <c r="U59" s="44">
        <v>6409514</v>
      </c>
      <c r="V59" s="44">
        <v>3708339</v>
      </c>
      <c r="W59" s="46">
        <v>1.95</v>
      </c>
      <c r="X59" s="44">
        <v>7170721</v>
      </c>
      <c r="Y59" s="44">
        <v>3670469</v>
      </c>
      <c r="Z59" s="46">
        <v>1.96</v>
      </c>
      <c r="AA59" s="44">
        <v>7545146</v>
      </c>
      <c r="AB59" s="44">
        <v>3853452</v>
      </c>
      <c r="AD59" s="30"/>
    </row>
    <row r="60" spans="1:30" ht="10.5" customHeight="1" x14ac:dyDescent="0.15">
      <c r="A60" s="25" t="s">
        <v>5</v>
      </c>
      <c r="B60" s="47">
        <v>4</v>
      </c>
      <c r="C60" s="27">
        <v>54526</v>
      </c>
      <c r="D60" s="27">
        <v>122449</v>
      </c>
      <c r="E60" s="27">
        <v>89694</v>
      </c>
      <c r="F60" s="27">
        <v>89694</v>
      </c>
      <c r="G60" s="27">
        <v>681577</v>
      </c>
      <c r="H60" s="29">
        <v>0.13200000000000001</v>
      </c>
      <c r="I60" s="29">
        <v>0.13200000000000001</v>
      </c>
      <c r="J60" s="29">
        <v>0.18</v>
      </c>
      <c r="K60" s="29"/>
      <c r="L60" s="29">
        <v>7.3999999999999996E-2</v>
      </c>
      <c r="M60" s="29">
        <v>0.09</v>
      </c>
      <c r="N60" s="29">
        <v>0.112</v>
      </c>
      <c r="O60" s="29">
        <v>6.3E-2</v>
      </c>
      <c r="P60" s="27">
        <v>1428451</v>
      </c>
      <c r="Q60" s="26">
        <v>2.89</v>
      </c>
      <c r="R60" s="27">
        <v>151859</v>
      </c>
      <c r="S60" s="27">
        <v>52531</v>
      </c>
      <c r="T60" s="26">
        <v>3.47</v>
      </c>
      <c r="U60" s="27">
        <v>160189</v>
      </c>
      <c r="V60" s="27">
        <v>46103</v>
      </c>
      <c r="W60" s="26">
        <v>3.5</v>
      </c>
      <c r="X60" s="27">
        <v>171024</v>
      </c>
      <c r="Y60" s="27">
        <v>48925</v>
      </c>
      <c r="Z60" s="26">
        <v>3.18</v>
      </c>
      <c r="AA60" s="27">
        <v>191237</v>
      </c>
      <c r="AB60" s="27">
        <v>60172</v>
      </c>
      <c r="AD60" s="30"/>
    </row>
    <row r="61" spans="1:30" ht="10.5" customHeight="1" x14ac:dyDescent="0.15">
      <c r="A61" s="24" t="s">
        <v>51</v>
      </c>
      <c r="B61" s="43">
        <v>5</v>
      </c>
      <c r="C61" s="44">
        <v>11038</v>
      </c>
      <c r="D61" s="44">
        <v>109998</v>
      </c>
      <c r="E61" s="44">
        <v>109736</v>
      </c>
      <c r="F61" s="44">
        <v>109736</v>
      </c>
      <c r="G61" s="44">
        <v>137973</v>
      </c>
      <c r="H61" s="45">
        <v>0.79500000000000004</v>
      </c>
      <c r="I61" s="45">
        <v>0.79500000000000004</v>
      </c>
      <c r="J61" s="45">
        <v>0.79700000000000004</v>
      </c>
      <c r="K61" s="45"/>
      <c r="L61" s="45">
        <v>7.0000000000000007E-2</v>
      </c>
      <c r="M61" s="45">
        <v>8.5000000000000006E-2</v>
      </c>
      <c r="N61" s="45">
        <v>0.105</v>
      </c>
      <c r="O61" s="45">
        <v>0.42099999999999999</v>
      </c>
      <c r="P61" s="44">
        <v>260804</v>
      </c>
      <c r="Q61" s="46">
        <v>5.44</v>
      </c>
      <c r="R61" s="44">
        <v>255439</v>
      </c>
      <c r="S61" s="44">
        <v>46953</v>
      </c>
      <c r="T61" s="46">
        <v>6.32</v>
      </c>
      <c r="U61" s="44">
        <v>410717</v>
      </c>
      <c r="V61" s="44">
        <v>65037</v>
      </c>
      <c r="W61" s="46">
        <v>6.2</v>
      </c>
      <c r="X61" s="44">
        <v>477236</v>
      </c>
      <c r="Y61" s="44">
        <v>76987</v>
      </c>
      <c r="Z61" s="46">
        <v>6.34</v>
      </c>
      <c r="AA61" s="44">
        <v>529071</v>
      </c>
      <c r="AB61" s="44">
        <v>83409</v>
      </c>
      <c r="AD61" s="30"/>
    </row>
    <row r="62" spans="1:30" ht="10.5" customHeight="1" x14ac:dyDescent="0.15">
      <c r="A62" s="25" t="s">
        <v>107</v>
      </c>
      <c r="B62" s="47">
        <v>3</v>
      </c>
      <c r="C62" s="27">
        <v>573178</v>
      </c>
      <c r="D62" s="27">
        <v>1416929</v>
      </c>
      <c r="E62" s="27">
        <v>1416929</v>
      </c>
      <c r="F62" s="27">
        <v>1416929</v>
      </c>
      <c r="G62" s="27">
        <v>7164731</v>
      </c>
      <c r="H62" s="29">
        <v>0.19800000000000001</v>
      </c>
      <c r="I62" s="29">
        <v>0.19800000000000001</v>
      </c>
      <c r="J62" s="29">
        <v>0.19800000000000001</v>
      </c>
      <c r="K62" s="29"/>
      <c r="L62" s="29">
        <v>7.8E-2</v>
      </c>
      <c r="M62" s="29">
        <v>9.6000000000000002E-2</v>
      </c>
      <c r="N62" s="29">
        <v>0.12</v>
      </c>
      <c r="O62" s="29">
        <v>8.8999999999999996E-2</v>
      </c>
      <c r="P62" s="27">
        <v>15987300</v>
      </c>
      <c r="Q62" s="26">
        <v>1.41</v>
      </c>
      <c r="R62" s="27">
        <v>8122542</v>
      </c>
      <c r="S62" s="27">
        <v>5740923</v>
      </c>
      <c r="T62" s="26">
        <v>1.41</v>
      </c>
      <c r="U62" s="27">
        <v>8151333</v>
      </c>
      <c r="V62" s="27">
        <v>5771854</v>
      </c>
      <c r="W62" s="26">
        <v>1.35</v>
      </c>
      <c r="X62" s="27">
        <v>8811019</v>
      </c>
      <c r="Y62" s="27">
        <v>6523915</v>
      </c>
      <c r="Z62" s="26">
        <v>1.47</v>
      </c>
      <c r="AA62" s="27">
        <v>8099940</v>
      </c>
      <c r="AB62" s="27">
        <v>5502222</v>
      </c>
      <c r="AD62" s="30"/>
    </row>
    <row r="63" spans="1:30" ht="10.5" customHeight="1" x14ac:dyDescent="0.15">
      <c r="A63" s="24" t="s">
        <v>37</v>
      </c>
      <c r="B63" s="43">
        <v>5</v>
      </c>
      <c r="C63" s="44">
        <v>31074</v>
      </c>
      <c r="D63" s="44">
        <v>68808</v>
      </c>
      <c r="E63" s="44">
        <v>68808</v>
      </c>
      <c r="F63" s="44">
        <v>68808</v>
      </c>
      <c r="G63" s="44">
        <v>388425</v>
      </c>
      <c r="H63" s="45">
        <v>0.17699999999999999</v>
      </c>
      <c r="I63" s="45">
        <v>0.17699999999999999</v>
      </c>
      <c r="J63" s="45">
        <v>0.17699999999999999</v>
      </c>
      <c r="K63" s="45"/>
      <c r="L63" s="45">
        <v>7.0000000000000007E-2</v>
      </c>
      <c r="M63" s="45">
        <v>8.5000000000000006E-2</v>
      </c>
      <c r="N63" s="45">
        <v>0.105</v>
      </c>
      <c r="O63" s="45">
        <v>0.10100000000000001</v>
      </c>
      <c r="P63" s="44">
        <v>679887</v>
      </c>
      <c r="Q63" s="33" t="s">
        <v>201</v>
      </c>
      <c r="R63" s="34" t="s">
        <v>201</v>
      </c>
      <c r="S63" s="34" t="s">
        <v>201</v>
      </c>
      <c r="T63" s="33" t="s">
        <v>201</v>
      </c>
      <c r="U63" s="34" t="s">
        <v>201</v>
      </c>
      <c r="V63" s="34" t="s">
        <v>201</v>
      </c>
      <c r="W63" s="33" t="s">
        <v>201</v>
      </c>
      <c r="X63" s="34" t="s">
        <v>201</v>
      </c>
      <c r="Y63" s="34" t="s">
        <v>201</v>
      </c>
      <c r="Z63" s="33" t="s">
        <v>201</v>
      </c>
      <c r="AA63" s="34" t="s">
        <v>201</v>
      </c>
      <c r="AB63" s="34" t="s">
        <v>201</v>
      </c>
      <c r="AD63" s="30"/>
    </row>
    <row r="64" spans="1:30" ht="10.5" customHeight="1" x14ac:dyDescent="0.15">
      <c r="A64" s="25" t="s">
        <v>85</v>
      </c>
      <c r="B64" s="47">
        <v>3</v>
      </c>
      <c r="C64" s="27">
        <v>697994</v>
      </c>
      <c r="D64" s="27">
        <v>1862425</v>
      </c>
      <c r="E64" s="27">
        <v>1531475</v>
      </c>
      <c r="F64" s="27">
        <v>1531475</v>
      </c>
      <c r="G64" s="27">
        <v>8724919</v>
      </c>
      <c r="H64" s="29">
        <v>0.17599999999999999</v>
      </c>
      <c r="I64" s="29">
        <v>0.17599999999999999</v>
      </c>
      <c r="J64" s="29">
        <v>0.21299999999999999</v>
      </c>
      <c r="K64" s="29"/>
      <c r="L64" s="29">
        <v>7.8E-2</v>
      </c>
      <c r="M64" s="29">
        <v>9.6000000000000002E-2</v>
      </c>
      <c r="N64" s="29">
        <v>0.12</v>
      </c>
      <c r="O64" s="29">
        <v>7.9000000000000001E-2</v>
      </c>
      <c r="P64" s="27">
        <v>19289752</v>
      </c>
      <c r="Q64" s="26">
        <v>1.82</v>
      </c>
      <c r="R64" s="27">
        <v>2965085</v>
      </c>
      <c r="S64" s="27">
        <v>1630774</v>
      </c>
      <c r="T64" s="26">
        <v>2.25</v>
      </c>
      <c r="U64" s="27">
        <v>2884063</v>
      </c>
      <c r="V64" s="27">
        <v>1282780</v>
      </c>
      <c r="W64" s="26">
        <v>2.31</v>
      </c>
      <c r="X64" s="27">
        <v>3204874</v>
      </c>
      <c r="Y64" s="27">
        <v>1389475</v>
      </c>
      <c r="Z64" s="26">
        <v>2.44</v>
      </c>
      <c r="AA64" s="27">
        <v>3288461</v>
      </c>
      <c r="AB64" s="27">
        <v>1349939</v>
      </c>
      <c r="AD64" s="30"/>
    </row>
    <row r="65" spans="1:30" ht="10.5" customHeight="1" x14ac:dyDescent="0.15">
      <c r="A65" s="24" t="s">
        <v>4</v>
      </c>
      <c r="B65" s="43">
        <v>5</v>
      </c>
      <c r="C65" s="44">
        <v>3345</v>
      </c>
      <c r="D65" s="44">
        <v>9004</v>
      </c>
      <c r="E65" s="44">
        <v>7635</v>
      </c>
      <c r="F65" s="44">
        <v>7635</v>
      </c>
      <c r="G65" s="44">
        <v>41816</v>
      </c>
      <c r="H65" s="45">
        <v>0.183</v>
      </c>
      <c r="I65" s="45">
        <v>0.183</v>
      </c>
      <c r="J65" s="45">
        <v>0.215</v>
      </c>
      <c r="K65" s="45"/>
      <c r="L65" s="45">
        <v>7.0000000000000007E-2</v>
      </c>
      <c r="M65" s="45">
        <v>8.5000000000000006E-2</v>
      </c>
      <c r="N65" s="45">
        <v>0.105</v>
      </c>
      <c r="O65" s="45">
        <v>0.08</v>
      </c>
      <c r="P65" s="44">
        <v>94877</v>
      </c>
      <c r="Q65" s="46">
        <v>2.04</v>
      </c>
      <c r="R65" s="44">
        <v>14948</v>
      </c>
      <c r="S65" s="44">
        <v>7325</v>
      </c>
      <c r="T65" s="46">
        <v>2.16</v>
      </c>
      <c r="U65" s="44">
        <v>16408</v>
      </c>
      <c r="V65" s="44">
        <v>7612</v>
      </c>
      <c r="W65" s="46">
        <v>2.0299999999999998</v>
      </c>
      <c r="X65" s="44">
        <v>16417</v>
      </c>
      <c r="Y65" s="44">
        <v>8093</v>
      </c>
      <c r="Z65" s="46">
        <v>2.21</v>
      </c>
      <c r="AA65" s="44">
        <v>16872</v>
      </c>
      <c r="AB65" s="44">
        <v>7650</v>
      </c>
      <c r="AD65" s="30"/>
    </row>
    <row r="66" spans="1:30" ht="10.5" customHeight="1" x14ac:dyDescent="0.15">
      <c r="A66" s="25" t="s">
        <v>33</v>
      </c>
      <c r="B66" s="47">
        <v>5</v>
      </c>
      <c r="C66" s="27">
        <v>21519</v>
      </c>
      <c r="D66" s="27">
        <v>47856</v>
      </c>
      <c r="E66" s="27">
        <v>42356</v>
      </c>
      <c r="F66" s="27">
        <v>42356</v>
      </c>
      <c r="G66" s="27">
        <v>268993</v>
      </c>
      <c r="H66" s="29">
        <v>0.157</v>
      </c>
      <c r="I66" s="29">
        <v>0.157</v>
      </c>
      <c r="J66" s="29">
        <v>0.17799999999999999</v>
      </c>
      <c r="K66" s="29"/>
      <c r="L66" s="29">
        <v>7.0000000000000007E-2</v>
      </c>
      <c r="M66" s="29">
        <v>8.5000000000000006E-2</v>
      </c>
      <c r="N66" s="29">
        <v>0.105</v>
      </c>
      <c r="O66" s="29">
        <v>7.8E-2</v>
      </c>
      <c r="P66" s="27">
        <v>545095</v>
      </c>
      <c r="Q66" s="26">
        <v>5.62</v>
      </c>
      <c r="R66" s="27">
        <v>82377</v>
      </c>
      <c r="S66" s="27">
        <v>14660</v>
      </c>
      <c r="T66" s="26">
        <v>5.2</v>
      </c>
      <c r="U66" s="27">
        <v>81350</v>
      </c>
      <c r="V66" s="27">
        <v>15645</v>
      </c>
      <c r="W66" s="26">
        <v>5.73</v>
      </c>
      <c r="X66" s="27">
        <v>88104</v>
      </c>
      <c r="Y66" s="27">
        <v>15376</v>
      </c>
      <c r="Z66" s="26">
        <v>10.56</v>
      </c>
      <c r="AA66" s="27">
        <v>90188</v>
      </c>
      <c r="AB66" s="27">
        <v>8544</v>
      </c>
      <c r="AD66" s="30"/>
    </row>
    <row r="67" spans="1:30" ht="10.5" customHeight="1" x14ac:dyDescent="0.15">
      <c r="A67" s="24" t="s">
        <v>74</v>
      </c>
      <c r="B67" s="43">
        <v>4</v>
      </c>
      <c r="C67" s="44">
        <v>62961</v>
      </c>
      <c r="D67" s="44">
        <v>225186</v>
      </c>
      <c r="E67" s="44">
        <v>225186</v>
      </c>
      <c r="F67" s="44">
        <v>225186</v>
      </c>
      <c r="G67" s="44">
        <v>787018</v>
      </c>
      <c r="H67" s="45">
        <v>0.28599999999999998</v>
      </c>
      <c r="I67" s="45">
        <v>0.28599999999999998</v>
      </c>
      <c r="J67" s="45">
        <v>0.28599999999999998</v>
      </c>
      <c r="K67" s="45"/>
      <c r="L67" s="45">
        <v>7.3999999999999996E-2</v>
      </c>
      <c r="M67" s="45">
        <v>0.09</v>
      </c>
      <c r="N67" s="45">
        <v>0.112</v>
      </c>
      <c r="O67" s="45">
        <v>6.6000000000000003E-2</v>
      </c>
      <c r="P67" s="44">
        <v>3398272</v>
      </c>
      <c r="Q67" s="46">
        <v>2.4500000000000002</v>
      </c>
      <c r="R67" s="44">
        <v>501675</v>
      </c>
      <c r="S67" s="44">
        <v>204365</v>
      </c>
      <c r="T67" s="46">
        <v>3.05</v>
      </c>
      <c r="U67" s="44">
        <v>726847</v>
      </c>
      <c r="V67" s="44">
        <v>238456</v>
      </c>
      <c r="W67" s="46">
        <v>2.78</v>
      </c>
      <c r="X67" s="44">
        <v>633863</v>
      </c>
      <c r="Y67" s="44">
        <v>227682</v>
      </c>
      <c r="Z67" s="46">
        <v>4.09</v>
      </c>
      <c r="AA67" s="44">
        <v>913412</v>
      </c>
      <c r="AB67" s="44">
        <v>223255</v>
      </c>
      <c r="AD67" s="30"/>
    </row>
    <row r="68" spans="1:30" ht="10.5" customHeight="1" x14ac:dyDescent="0.15">
      <c r="A68" s="25" t="s">
        <v>144</v>
      </c>
      <c r="B68" s="47">
        <v>4</v>
      </c>
      <c r="C68" s="27">
        <v>452950</v>
      </c>
      <c r="D68" s="27">
        <v>1000436</v>
      </c>
      <c r="E68" s="27">
        <v>850436</v>
      </c>
      <c r="F68" s="27">
        <v>1000436</v>
      </c>
      <c r="G68" s="27">
        <v>5661879</v>
      </c>
      <c r="H68" s="29">
        <v>0.15</v>
      </c>
      <c r="I68" s="29">
        <v>0.17699999999999999</v>
      </c>
      <c r="J68" s="29">
        <v>0.17699999999999999</v>
      </c>
      <c r="K68" s="29"/>
      <c r="L68" s="29">
        <v>7.3999999999999996E-2</v>
      </c>
      <c r="M68" s="29">
        <v>0.09</v>
      </c>
      <c r="N68" s="29">
        <v>0.112</v>
      </c>
      <c r="O68" s="29">
        <v>0.14399999999999999</v>
      </c>
      <c r="P68" s="27">
        <v>6947127</v>
      </c>
      <c r="Q68" s="26">
        <v>3.29</v>
      </c>
      <c r="R68" s="27">
        <v>514574</v>
      </c>
      <c r="S68" s="27">
        <v>156626</v>
      </c>
      <c r="T68" s="26">
        <v>8.6</v>
      </c>
      <c r="U68" s="27">
        <v>527912</v>
      </c>
      <c r="V68" s="27">
        <v>61350</v>
      </c>
      <c r="W68" s="26">
        <v>6.09</v>
      </c>
      <c r="X68" s="27">
        <v>503634</v>
      </c>
      <c r="Y68" s="27">
        <v>82645</v>
      </c>
      <c r="Z68" s="26">
        <v>9.6999999999999993</v>
      </c>
      <c r="AA68" s="27">
        <v>545205</v>
      </c>
      <c r="AB68" s="27">
        <v>56225</v>
      </c>
      <c r="AD68" s="30"/>
    </row>
    <row r="69" spans="1:30" ht="10.5" customHeight="1" x14ac:dyDescent="0.15">
      <c r="A69" s="24" t="s">
        <v>95</v>
      </c>
      <c r="B69" s="43">
        <v>5</v>
      </c>
      <c r="C69" s="44">
        <v>39330</v>
      </c>
      <c r="D69" s="44">
        <v>73653</v>
      </c>
      <c r="E69" s="44">
        <v>73653</v>
      </c>
      <c r="F69" s="44">
        <v>73653</v>
      </c>
      <c r="G69" s="44">
        <v>491627</v>
      </c>
      <c r="H69" s="45">
        <v>0.15</v>
      </c>
      <c r="I69" s="45">
        <v>0.15</v>
      </c>
      <c r="J69" s="45">
        <v>0.15</v>
      </c>
      <c r="K69" s="45"/>
      <c r="L69" s="45">
        <v>7.0000000000000007E-2</v>
      </c>
      <c r="M69" s="45">
        <v>8.5000000000000006E-2</v>
      </c>
      <c r="N69" s="45">
        <v>0.105</v>
      </c>
      <c r="O69" s="45">
        <v>0.05</v>
      </c>
      <c r="P69" s="44">
        <v>1463574</v>
      </c>
      <c r="Q69" s="46">
        <v>5.29</v>
      </c>
      <c r="R69" s="44">
        <v>606159</v>
      </c>
      <c r="S69" s="44">
        <v>114479</v>
      </c>
      <c r="T69" s="46">
        <v>4.8099999999999996</v>
      </c>
      <c r="U69" s="44">
        <v>725103</v>
      </c>
      <c r="V69" s="44">
        <v>150701</v>
      </c>
      <c r="W69" s="46">
        <v>3.43</v>
      </c>
      <c r="X69" s="44">
        <v>776762</v>
      </c>
      <c r="Y69" s="44">
        <v>226286</v>
      </c>
      <c r="Z69" s="46">
        <v>3.61</v>
      </c>
      <c r="AA69" s="44">
        <v>852283</v>
      </c>
      <c r="AB69" s="44">
        <v>235944</v>
      </c>
      <c r="AD69" s="30"/>
    </row>
    <row r="70" spans="1:30" ht="10.5" customHeight="1" x14ac:dyDescent="0.15">
      <c r="A70" s="25" t="s">
        <v>142</v>
      </c>
      <c r="B70" s="47">
        <v>5</v>
      </c>
      <c r="C70" s="27">
        <v>5345</v>
      </c>
      <c r="D70" s="27">
        <v>14073</v>
      </c>
      <c r="E70" s="27">
        <v>14073</v>
      </c>
      <c r="F70" s="27">
        <v>14073</v>
      </c>
      <c r="G70" s="27">
        <v>66814</v>
      </c>
      <c r="H70" s="29">
        <v>0.21099999999999999</v>
      </c>
      <c r="I70" s="29">
        <v>0.21099999999999999</v>
      </c>
      <c r="J70" s="29">
        <v>0.21099999999999999</v>
      </c>
      <c r="K70" s="29"/>
      <c r="L70" s="29">
        <v>7.0000000000000007E-2</v>
      </c>
      <c r="M70" s="29">
        <v>8.5000000000000006E-2</v>
      </c>
      <c r="N70" s="29">
        <v>0.105</v>
      </c>
      <c r="O70" s="29">
        <v>7.2999999999999995E-2</v>
      </c>
      <c r="P70" s="27">
        <v>193270</v>
      </c>
      <c r="Q70" s="31" t="s">
        <v>214</v>
      </c>
      <c r="R70" s="32" t="s">
        <v>214</v>
      </c>
      <c r="S70" s="32" t="s">
        <v>214</v>
      </c>
      <c r="T70" s="31" t="s">
        <v>214</v>
      </c>
      <c r="U70" s="32" t="s">
        <v>214</v>
      </c>
      <c r="V70" s="32" t="s">
        <v>214</v>
      </c>
      <c r="W70" s="31" t="s">
        <v>214</v>
      </c>
      <c r="X70" s="32" t="s">
        <v>214</v>
      </c>
      <c r="Y70" s="32" t="s">
        <v>214</v>
      </c>
      <c r="Z70" s="26">
        <v>2.04</v>
      </c>
      <c r="AA70" s="27">
        <v>263240</v>
      </c>
      <c r="AB70" s="27">
        <v>129046</v>
      </c>
      <c r="AD70" s="30"/>
    </row>
    <row r="71" spans="1:30" ht="10.5" customHeight="1" x14ac:dyDescent="0.15">
      <c r="A71" s="24" t="s">
        <v>126</v>
      </c>
      <c r="B71" s="43">
        <v>4</v>
      </c>
      <c r="C71" s="44">
        <v>446934</v>
      </c>
      <c r="D71" s="44">
        <v>1145830</v>
      </c>
      <c r="E71" s="44">
        <v>1129182</v>
      </c>
      <c r="F71" s="44">
        <v>1129182</v>
      </c>
      <c r="G71" s="44">
        <v>5586670</v>
      </c>
      <c r="H71" s="45">
        <v>0.20200000000000001</v>
      </c>
      <c r="I71" s="45">
        <v>0.20200000000000001</v>
      </c>
      <c r="J71" s="45">
        <v>0.20499999999999999</v>
      </c>
      <c r="K71" s="45"/>
      <c r="L71" s="45">
        <v>7.3999999999999996E-2</v>
      </c>
      <c r="M71" s="45">
        <v>0.09</v>
      </c>
      <c r="N71" s="45">
        <v>0.112</v>
      </c>
      <c r="O71" s="45">
        <v>0.08</v>
      </c>
      <c r="P71" s="44">
        <v>14029571</v>
      </c>
      <c r="Q71" s="46">
        <v>1.54</v>
      </c>
      <c r="R71" s="44">
        <v>1565315</v>
      </c>
      <c r="S71" s="44">
        <v>1014932</v>
      </c>
      <c r="T71" s="46">
        <v>1.58</v>
      </c>
      <c r="U71" s="44">
        <v>1722004</v>
      </c>
      <c r="V71" s="44">
        <v>1089485</v>
      </c>
      <c r="W71" s="46">
        <v>1.98</v>
      </c>
      <c r="X71" s="44">
        <v>2663020</v>
      </c>
      <c r="Y71" s="44">
        <v>1347204</v>
      </c>
      <c r="Z71" s="46">
        <v>1.75</v>
      </c>
      <c r="AA71" s="44">
        <v>2716796</v>
      </c>
      <c r="AB71" s="44">
        <v>1550265</v>
      </c>
      <c r="AD71" s="30"/>
    </row>
    <row r="72" spans="1:30" ht="10.5" customHeight="1" x14ac:dyDescent="0.15">
      <c r="A72" s="25" t="s">
        <v>34</v>
      </c>
      <c r="B72" s="47">
        <v>4</v>
      </c>
      <c r="C72" s="27">
        <v>388097</v>
      </c>
      <c r="D72" s="27">
        <v>1003808</v>
      </c>
      <c r="E72" s="27">
        <v>1003808</v>
      </c>
      <c r="F72" s="27">
        <v>1003808</v>
      </c>
      <c r="G72" s="27">
        <v>4851212</v>
      </c>
      <c r="H72" s="29">
        <v>0.20699999999999999</v>
      </c>
      <c r="I72" s="29">
        <v>0.20699999999999999</v>
      </c>
      <c r="J72" s="29">
        <v>0.20699999999999999</v>
      </c>
      <c r="K72" s="29"/>
      <c r="L72" s="29">
        <v>7.3999999999999996E-2</v>
      </c>
      <c r="M72" s="29">
        <v>0.09</v>
      </c>
      <c r="N72" s="29">
        <v>0.112</v>
      </c>
      <c r="O72" s="29">
        <v>0.13100000000000001</v>
      </c>
      <c r="P72" s="27">
        <v>7641346</v>
      </c>
      <c r="Q72" s="26">
        <v>1.78</v>
      </c>
      <c r="R72" s="27">
        <v>2191868</v>
      </c>
      <c r="S72" s="27">
        <v>1229570</v>
      </c>
      <c r="T72" s="26">
        <v>1.91</v>
      </c>
      <c r="U72" s="27">
        <v>2343777</v>
      </c>
      <c r="V72" s="27">
        <v>1227485</v>
      </c>
      <c r="W72" s="26">
        <v>1.97</v>
      </c>
      <c r="X72" s="27">
        <v>2282641</v>
      </c>
      <c r="Y72" s="27">
        <v>1160364</v>
      </c>
      <c r="Z72" s="26">
        <v>1.98</v>
      </c>
      <c r="AA72" s="27">
        <v>2316624</v>
      </c>
      <c r="AB72" s="27">
        <v>1171650</v>
      </c>
      <c r="AD72" s="30"/>
    </row>
    <row r="73" spans="1:30" ht="10.5" customHeight="1" x14ac:dyDescent="0.15">
      <c r="A73" s="24" t="s">
        <v>113</v>
      </c>
      <c r="B73" s="43">
        <v>4</v>
      </c>
      <c r="C73" s="44">
        <v>181715</v>
      </c>
      <c r="D73" s="44">
        <v>421619</v>
      </c>
      <c r="E73" s="44">
        <v>401229</v>
      </c>
      <c r="F73" s="44">
        <v>401229</v>
      </c>
      <c r="G73" s="44">
        <v>2271441</v>
      </c>
      <c r="H73" s="45">
        <v>0.17699999999999999</v>
      </c>
      <c r="I73" s="45">
        <v>0.17699999999999999</v>
      </c>
      <c r="J73" s="45">
        <v>0.186</v>
      </c>
      <c r="K73" s="45"/>
      <c r="L73" s="45">
        <v>7.3999999999999996E-2</v>
      </c>
      <c r="M73" s="45">
        <v>0.09</v>
      </c>
      <c r="N73" s="45">
        <v>0.112</v>
      </c>
      <c r="O73" s="45">
        <v>7.3999999999999996E-2</v>
      </c>
      <c r="P73" s="44">
        <v>5406540</v>
      </c>
      <c r="Q73" s="46">
        <v>2.13</v>
      </c>
      <c r="R73" s="44">
        <v>353477</v>
      </c>
      <c r="S73" s="44">
        <v>165892</v>
      </c>
      <c r="T73" s="46">
        <v>1.99</v>
      </c>
      <c r="U73" s="44">
        <v>425999</v>
      </c>
      <c r="V73" s="44">
        <v>214031</v>
      </c>
      <c r="W73" s="46">
        <v>1.74</v>
      </c>
      <c r="X73" s="44">
        <v>421596</v>
      </c>
      <c r="Y73" s="44">
        <v>242046</v>
      </c>
      <c r="Z73" s="46">
        <v>1.89</v>
      </c>
      <c r="AA73" s="44">
        <v>472149</v>
      </c>
      <c r="AB73" s="44">
        <v>249515</v>
      </c>
      <c r="AD73" s="30"/>
    </row>
    <row r="74" spans="1:30" ht="10.5" customHeight="1" x14ac:dyDescent="0.15">
      <c r="A74" s="25" t="s">
        <v>62</v>
      </c>
      <c r="B74" s="47">
        <v>5</v>
      </c>
      <c r="C74" s="27">
        <v>29610</v>
      </c>
      <c r="D74" s="27">
        <v>112417</v>
      </c>
      <c r="E74" s="27">
        <v>51406</v>
      </c>
      <c r="F74" s="27">
        <v>51406</v>
      </c>
      <c r="G74" s="27">
        <v>370130</v>
      </c>
      <c r="H74" s="29">
        <v>0.13900000000000001</v>
      </c>
      <c r="I74" s="29">
        <v>0.13900000000000001</v>
      </c>
      <c r="J74" s="29">
        <v>0.30399999999999999</v>
      </c>
      <c r="K74" s="29"/>
      <c r="L74" s="29">
        <v>7.0000000000000007E-2</v>
      </c>
      <c r="M74" s="29">
        <v>8.5000000000000006E-2</v>
      </c>
      <c r="N74" s="29">
        <v>0.105</v>
      </c>
      <c r="O74" s="29">
        <v>0.106</v>
      </c>
      <c r="P74" s="27">
        <v>487067</v>
      </c>
      <c r="Q74" s="26">
        <v>1.46</v>
      </c>
      <c r="R74" s="27">
        <v>66912</v>
      </c>
      <c r="S74" s="27">
        <v>45834</v>
      </c>
      <c r="T74" s="26">
        <v>1.77</v>
      </c>
      <c r="U74" s="27">
        <v>70390</v>
      </c>
      <c r="V74" s="27">
        <v>39725</v>
      </c>
      <c r="W74" s="26">
        <v>1.67</v>
      </c>
      <c r="X74" s="27">
        <v>39422</v>
      </c>
      <c r="Y74" s="27">
        <v>23561</v>
      </c>
      <c r="Z74" s="26">
        <v>1.67</v>
      </c>
      <c r="AA74" s="27">
        <v>29211</v>
      </c>
      <c r="AB74" s="27">
        <v>17452</v>
      </c>
      <c r="AD74" s="30"/>
    </row>
    <row r="75" spans="1:30" ht="10.5" customHeight="1" x14ac:dyDescent="0.15">
      <c r="A75" s="24" t="s">
        <v>92</v>
      </c>
      <c r="B75" s="43">
        <v>5</v>
      </c>
      <c r="C75" s="44">
        <v>894</v>
      </c>
      <c r="D75" s="44">
        <v>6934</v>
      </c>
      <c r="E75" s="44">
        <v>6934</v>
      </c>
      <c r="F75" s="44">
        <v>6934</v>
      </c>
      <c r="G75" s="44">
        <v>11179</v>
      </c>
      <c r="H75" s="45">
        <v>0.62</v>
      </c>
      <c r="I75" s="45">
        <v>0.62</v>
      </c>
      <c r="J75" s="45">
        <v>0.62</v>
      </c>
      <c r="K75" s="45"/>
      <c r="L75" s="45">
        <v>7.0000000000000007E-2</v>
      </c>
      <c r="M75" s="45">
        <v>8.5000000000000006E-2</v>
      </c>
      <c r="N75" s="45">
        <v>0.105</v>
      </c>
      <c r="O75" s="45">
        <v>0.38</v>
      </c>
      <c r="P75" s="44">
        <v>18231</v>
      </c>
      <c r="Q75" s="33" t="s">
        <v>214</v>
      </c>
      <c r="R75" s="34" t="s">
        <v>214</v>
      </c>
      <c r="S75" s="34" t="s">
        <v>214</v>
      </c>
      <c r="T75" s="33" t="s">
        <v>214</v>
      </c>
      <c r="U75" s="34" t="s">
        <v>214</v>
      </c>
      <c r="V75" s="34" t="s">
        <v>214</v>
      </c>
      <c r="W75" s="33" t="s">
        <v>214</v>
      </c>
      <c r="X75" s="34" t="s">
        <v>214</v>
      </c>
      <c r="Y75" s="34" t="s">
        <v>214</v>
      </c>
      <c r="Z75" s="46">
        <v>0</v>
      </c>
      <c r="AA75" s="44">
        <v>0</v>
      </c>
      <c r="AB75" s="44">
        <v>725</v>
      </c>
      <c r="AD75" s="30"/>
    </row>
    <row r="76" spans="1:30" ht="10.5" customHeight="1" x14ac:dyDescent="0.15">
      <c r="A76" s="25" t="s">
        <v>44</v>
      </c>
      <c r="B76" s="47">
        <v>4</v>
      </c>
      <c r="C76" s="27">
        <v>235501</v>
      </c>
      <c r="D76" s="27">
        <v>637208</v>
      </c>
      <c r="E76" s="27">
        <v>584906</v>
      </c>
      <c r="F76" s="27">
        <v>584906</v>
      </c>
      <c r="G76" s="27">
        <v>2943758</v>
      </c>
      <c r="H76" s="29">
        <v>0.19900000000000001</v>
      </c>
      <c r="I76" s="29">
        <v>0.19900000000000001</v>
      </c>
      <c r="J76" s="29">
        <v>0.216</v>
      </c>
      <c r="K76" s="29"/>
      <c r="L76" s="29">
        <v>7.3999999999999996E-2</v>
      </c>
      <c r="M76" s="29">
        <v>0.09</v>
      </c>
      <c r="N76" s="29">
        <v>0.112</v>
      </c>
      <c r="O76" s="29">
        <v>7.2999999999999995E-2</v>
      </c>
      <c r="P76" s="27">
        <v>7997340</v>
      </c>
      <c r="Q76" s="26">
        <v>1.38</v>
      </c>
      <c r="R76" s="27">
        <v>842069</v>
      </c>
      <c r="S76" s="27">
        <v>609628</v>
      </c>
      <c r="T76" s="26">
        <v>1.39</v>
      </c>
      <c r="U76" s="27">
        <v>910597</v>
      </c>
      <c r="V76" s="27">
        <v>655241</v>
      </c>
      <c r="W76" s="26">
        <v>1.38</v>
      </c>
      <c r="X76" s="27">
        <v>955038</v>
      </c>
      <c r="Y76" s="27">
        <v>694350</v>
      </c>
      <c r="Z76" s="26">
        <v>1.29</v>
      </c>
      <c r="AA76" s="27">
        <v>1018077</v>
      </c>
      <c r="AB76" s="27">
        <v>787601</v>
      </c>
      <c r="AD76" s="30"/>
    </row>
    <row r="77" spans="1:30" ht="10.5" customHeight="1" x14ac:dyDescent="0.15">
      <c r="A77" s="24" t="s">
        <v>69</v>
      </c>
      <c r="B77" s="43">
        <v>4</v>
      </c>
      <c r="C77" s="44">
        <v>134416</v>
      </c>
      <c r="D77" s="44">
        <v>569263</v>
      </c>
      <c r="E77" s="44">
        <v>569263</v>
      </c>
      <c r="F77" s="44">
        <v>569263</v>
      </c>
      <c r="G77" s="44">
        <v>1680200</v>
      </c>
      <c r="H77" s="45">
        <v>0.33900000000000002</v>
      </c>
      <c r="I77" s="45">
        <v>0.33900000000000002</v>
      </c>
      <c r="J77" s="45">
        <v>0.33900000000000002</v>
      </c>
      <c r="K77" s="45"/>
      <c r="L77" s="45">
        <v>7.3999999999999996E-2</v>
      </c>
      <c r="M77" s="45">
        <v>0.09</v>
      </c>
      <c r="N77" s="45">
        <v>0.112</v>
      </c>
      <c r="O77" s="45">
        <v>0.21199999999999999</v>
      </c>
      <c r="P77" s="44">
        <v>2685651</v>
      </c>
      <c r="Q77" s="46">
        <v>3.76</v>
      </c>
      <c r="R77" s="44">
        <v>870941</v>
      </c>
      <c r="S77" s="44">
        <v>231399</v>
      </c>
      <c r="T77" s="46">
        <v>4.51</v>
      </c>
      <c r="U77" s="44">
        <v>953484</v>
      </c>
      <c r="V77" s="44">
        <v>211368</v>
      </c>
      <c r="W77" s="46">
        <v>4.7699999999999996</v>
      </c>
      <c r="X77" s="44">
        <v>952728</v>
      </c>
      <c r="Y77" s="44">
        <v>199817</v>
      </c>
      <c r="Z77" s="46">
        <v>4.47</v>
      </c>
      <c r="AA77" s="44">
        <v>862971</v>
      </c>
      <c r="AB77" s="44">
        <v>193229</v>
      </c>
      <c r="AD77" s="30"/>
    </row>
    <row r="78" spans="1:30" ht="10.5" customHeight="1" x14ac:dyDescent="0.15">
      <c r="A78" s="25" t="s">
        <v>131</v>
      </c>
      <c r="B78" s="47">
        <v>5</v>
      </c>
      <c r="C78" s="27">
        <v>12182</v>
      </c>
      <c r="D78" s="27">
        <v>44228</v>
      </c>
      <c r="E78" s="27">
        <v>44228</v>
      </c>
      <c r="F78" s="27">
        <v>44228</v>
      </c>
      <c r="G78" s="27">
        <v>152281</v>
      </c>
      <c r="H78" s="29">
        <v>0.28999999999999998</v>
      </c>
      <c r="I78" s="29">
        <v>0.28999999999999998</v>
      </c>
      <c r="J78" s="29">
        <v>0.28999999999999998</v>
      </c>
      <c r="K78" s="29"/>
      <c r="L78" s="29">
        <v>7.0000000000000007E-2</v>
      </c>
      <c r="M78" s="29">
        <v>8.5000000000000006E-2</v>
      </c>
      <c r="N78" s="29">
        <v>0.105</v>
      </c>
      <c r="O78" s="29">
        <v>0.28799999999999998</v>
      </c>
      <c r="P78" s="27">
        <v>153744</v>
      </c>
      <c r="Q78" s="26">
        <v>9.1300000000000008</v>
      </c>
      <c r="R78" s="27">
        <v>51091</v>
      </c>
      <c r="S78" s="27">
        <v>5595</v>
      </c>
      <c r="T78" s="26">
        <v>10.23</v>
      </c>
      <c r="U78" s="27">
        <v>55812</v>
      </c>
      <c r="V78" s="27">
        <v>5458</v>
      </c>
      <c r="W78" s="26">
        <v>15.12</v>
      </c>
      <c r="X78" s="27">
        <v>61770</v>
      </c>
      <c r="Y78" s="27">
        <v>4086</v>
      </c>
      <c r="Z78" s="26">
        <v>12.87</v>
      </c>
      <c r="AA78" s="27">
        <v>55816</v>
      </c>
      <c r="AB78" s="27">
        <v>4336</v>
      </c>
      <c r="AD78" s="30"/>
    </row>
    <row r="79" spans="1:30" ht="10.5" customHeight="1" x14ac:dyDescent="0.15">
      <c r="A79" s="24" t="s">
        <v>47</v>
      </c>
      <c r="B79" s="43">
        <v>5</v>
      </c>
      <c r="C79" s="44">
        <v>22226</v>
      </c>
      <c r="D79" s="44">
        <v>202919</v>
      </c>
      <c r="E79" s="44">
        <v>202919</v>
      </c>
      <c r="F79" s="44">
        <v>202919</v>
      </c>
      <c r="G79" s="44">
        <v>277819</v>
      </c>
      <c r="H79" s="45">
        <v>0.73</v>
      </c>
      <c r="I79" s="45">
        <v>0.73</v>
      </c>
      <c r="J79" s="45">
        <v>0.73</v>
      </c>
      <c r="K79" s="45"/>
      <c r="L79" s="45">
        <v>7.0000000000000007E-2</v>
      </c>
      <c r="M79" s="45">
        <v>8.5000000000000006E-2</v>
      </c>
      <c r="N79" s="45">
        <v>0.105</v>
      </c>
      <c r="O79" s="45">
        <v>0.27900000000000003</v>
      </c>
      <c r="P79" s="44">
        <v>726060</v>
      </c>
      <c r="Q79" s="46">
        <v>3.31</v>
      </c>
      <c r="R79" s="44">
        <v>439666</v>
      </c>
      <c r="S79" s="44">
        <v>132981</v>
      </c>
      <c r="T79" s="46">
        <v>2.62</v>
      </c>
      <c r="U79" s="44">
        <v>468400</v>
      </c>
      <c r="V79" s="44">
        <v>178906</v>
      </c>
      <c r="W79" s="46">
        <v>3.23</v>
      </c>
      <c r="X79" s="44">
        <v>478510</v>
      </c>
      <c r="Y79" s="44">
        <v>148359</v>
      </c>
      <c r="Z79" s="46">
        <v>2.64</v>
      </c>
      <c r="AA79" s="44">
        <v>461172</v>
      </c>
      <c r="AB79" s="44">
        <v>174516</v>
      </c>
      <c r="AD79" s="30"/>
    </row>
    <row r="80" spans="1:30" ht="10.5" customHeight="1" x14ac:dyDescent="0.15">
      <c r="A80" s="25" t="s">
        <v>70</v>
      </c>
      <c r="B80" s="47">
        <v>3</v>
      </c>
      <c r="C80" s="27">
        <v>444792</v>
      </c>
      <c r="D80" s="27">
        <v>1305419</v>
      </c>
      <c r="E80" s="27">
        <v>1282710</v>
      </c>
      <c r="F80" s="27">
        <v>1287252</v>
      </c>
      <c r="G80" s="27">
        <v>5559905</v>
      </c>
      <c r="H80" s="29">
        <v>0.23200000000000001</v>
      </c>
      <c r="I80" s="29">
        <v>0.23200000000000001</v>
      </c>
      <c r="J80" s="29">
        <v>0.23499999999999999</v>
      </c>
      <c r="K80" s="29"/>
      <c r="L80" s="29">
        <v>7.8E-2</v>
      </c>
      <c r="M80" s="29">
        <v>9.6000000000000002E-2</v>
      </c>
      <c r="N80" s="29">
        <v>0.12</v>
      </c>
      <c r="O80" s="29">
        <v>6.8000000000000005E-2</v>
      </c>
      <c r="P80" s="27">
        <v>19061260</v>
      </c>
      <c r="Q80" s="26">
        <v>1.51</v>
      </c>
      <c r="R80" s="27">
        <v>8667719</v>
      </c>
      <c r="S80" s="27">
        <v>5757565</v>
      </c>
      <c r="T80" s="26">
        <v>1.61</v>
      </c>
      <c r="U80" s="27">
        <v>9534995</v>
      </c>
      <c r="V80" s="27">
        <v>5934648</v>
      </c>
      <c r="W80" s="26">
        <v>1.5</v>
      </c>
      <c r="X80" s="27">
        <v>8903175</v>
      </c>
      <c r="Y80" s="27">
        <v>5916083</v>
      </c>
      <c r="Z80" s="26">
        <v>1.48</v>
      </c>
      <c r="AA80" s="27">
        <v>8682824</v>
      </c>
      <c r="AB80" s="27">
        <v>5877722</v>
      </c>
      <c r="AD80" s="30"/>
    </row>
    <row r="81" spans="1:30" ht="10.5" customHeight="1" x14ac:dyDescent="0.15">
      <c r="A81" s="24" t="s">
        <v>110</v>
      </c>
      <c r="B81" s="43">
        <v>3</v>
      </c>
      <c r="C81" s="44">
        <v>464766</v>
      </c>
      <c r="D81" s="44">
        <v>1257193</v>
      </c>
      <c r="E81" s="44">
        <v>1184484</v>
      </c>
      <c r="F81" s="44">
        <v>1239026</v>
      </c>
      <c r="G81" s="44">
        <v>5809568</v>
      </c>
      <c r="H81" s="45">
        <v>0.20399999999999999</v>
      </c>
      <c r="I81" s="45">
        <v>0.21299999999999999</v>
      </c>
      <c r="J81" s="45">
        <v>0.216</v>
      </c>
      <c r="K81" s="45"/>
      <c r="L81" s="45">
        <v>7.8E-2</v>
      </c>
      <c r="M81" s="45">
        <v>9.6000000000000002E-2</v>
      </c>
      <c r="N81" s="45">
        <v>0.12</v>
      </c>
      <c r="O81" s="45">
        <v>6.5000000000000002E-2</v>
      </c>
      <c r="P81" s="44">
        <v>18948526</v>
      </c>
      <c r="Q81" s="46">
        <v>1.53</v>
      </c>
      <c r="R81" s="44">
        <v>8667719</v>
      </c>
      <c r="S81" s="44">
        <v>5657736</v>
      </c>
      <c r="T81" s="46">
        <v>1.63</v>
      </c>
      <c r="U81" s="44">
        <v>9535665</v>
      </c>
      <c r="V81" s="44">
        <v>5860291</v>
      </c>
      <c r="W81" s="46">
        <v>1.51</v>
      </c>
      <c r="X81" s="44">
        <v>8903176</v>
      </c>
      <c r="Y81" s="44">
        <v>5877225</v>
      </c>
      <c r="Z81" s="46">
        <v>1.49</v>
      </c>
      <c r="AA81" s="44">
        <v>8657276</v>
      </c>
      <c r="AB81" s="44">
        <v>5819149</v>
      </c>
      <c r="AD81" s="30"/>
    </row>
    <row r="82" spans="1:30" ht="10.5" customHeight="1" x14ac:dyDescent="0.15">
      <c r="A82" s="25" t="s">
        <v>79</v>
      </c>
      <c r="B82" s="47">
        <v>3</v>
      </c>
      <c r="C82" s="27">
        <v>517221</v>
      </c>
      <c r="D82" s="27">
        <v>1292700</v>
      </c>
      <c r="E82" s="27">
        <v>991000</v>
      </c>
      <c r="F82" s="27">
        <v>1292700</v>
      </c>
      <c r="G82" s="27">
        <v>6465267</v>
      </c>
      <c r="H82" s="29">
        <v>0.153</v>
      </c>
      <c r="I82" s="29">
        <v>0.2</v>
      </c>
      <c r="J82" s="29">
        <v>0.2</v>
      </c>
      <c r="K82" s="29"/>
      <c r="L82" s="29">
        <v>7.8E-2</v>
      </c>
      <c r="M82" s="29">
        <v>9.6000000000000002E-2</v>
      </c>
      <c r="N82" s="29">
        <v>0.12</v>
      </c>
      <c r="O82" s="29">
        <v>5.0999999999999997E-2</v>
      </c>
      <c r="P82" s="27">
        <v>25190669</v>
      </c>
      <c r="Q82" s="26">
        <v>1.32</v>
      </c>
      <c r="R82" s="27">
        <v>5757181</v>
      </c>
      <c r="S82" s="27">
        <v>4365642</v>
      </c>
      <c r="T82" s="26">
        <v>1.38</v>
      </c>
      <c r="U82" s="27">
        <v>5994210</v>
      </c>
      <c r="V82" s="27">
        <v>4342314</v>
      </c>
      <c r="W82" s="26">
        <v>1.37</v>
      </c>
      <c r="X82" s="27">
        <v>5953130</v>
      </c>
      <c r="Y82" s="27">
        <v>4349096</v>
      </c>
      <c r="Z82" s="26">
        <v>1.37</v>
      </c>
      <c r="AA82" s="27">
        <v>6600674</v>
      </c>
      <c r="AB82" s="27">
        <v>4806279</v>
      </c>
      <c r="AD82" s="30"/>
    </row>
    <row r="83" spans="1:30" ht="10.5" customHeight="1" x14ac:dyDescent="0.15">
      <c r="A83" s="24" t="s">
        <v>40</v>
      </c>
      <c r="B83" s="43">
        <v>3</v>
      </c>
      <c r="C83" s="44">
        <v>798820</v>
      </c>
      <c r="D83" s="44">
        <v>1805836</v>
      </c>
      <c r="E83" s="44">
        <v>1452196</v>
      </c>
      <c r="F83" s="44">
        <v>1555771</v>
      </c>
      <c r="G83" s="44">
        <v>9985248</v>
      </c>
      <c r="H83" s="45">
        <v>0.14499999999999999</v>
      </c>
      <c r="I83" s="45">
        <v>0.156</v>
      </c>
      <c r="J83" s="45">
        <v>0.18099999999999999</v>
      </c>
      <c r="K83" s="45"/>
      <c r="L83" s="45">
        <v>7.8E-2</v>
      </c>
      <c r="M83" s="45">
        <v>9.6000000000000002E-2</v>
      </c>
      <c r="N83" s="45">
        <v>0.12</v>
      </c>
      <c r="O83" s="45">
        <v>4.4999999999999998E-2</v>
      </c>
      <c r="P83" s="44">
        <v>34559664</v>
      </c>
      <c r="Q83" s="46">
        <v>1.72</v>
      </c>
      <c r="R83" s="44">
        <v>11404013</v>
      </c>
      <c r="S83" s="44">
        <v>6611784</v>
      </c>
      <c r="T83" s="46">
        <v>1.79</v>
      </c>
      <c r="U83" s="44">
        <v>11610401</v>
      </c>
      <c r="V83" s="44">
        <v>6503193</v>
      </c>
      <c r="W83" s="46">
        <v>1.88</v>
      </c>
      <c r="X83" s="44">
        <v>11813446</v>
      </c>
      <c r="Y83" s="44">
        <v>6271366</v>
      </c>
      <c r="Z83" s="46">
        <v>1.7</v>
      </c>
      <c r="AA83" s="44">
        <v>12438736</v>
      </c>
      <c r="AB83" s="44">
        <v>7297113</v>
      </c>
      <c r="AD83" s="30"/>
    </row>
    <row r="84" spans="1:30" ht="10.5" customHeight="1" x14ac:dyDescent="0.15">
      <c r="A84" s="25" t="s">
        <v>130</v>
      </c>
      <c r="B84" s="47">
        <v>3</v>
      </c>
      <c r="C84" s="27">
        <v>793505</v>
      </c>
      <c r="D84" s="27">
        <v>1969400</v>
      </c>
      <c r="E84" s="27">
        <v>1603600</v>
      </c>
      <c r="F84" s="27">
        <v>1618100</v>
      </c>
      <c r="G84" s="27">
        <v>9918816</v>
      </c>
      <c r="H84" s="29">
        <v>0.16200000000000001</v>
      </c>
      <c r="I84" s="29">
        <v>0.16300000000000001</v>
      </c>
      <c r="J84" s="29">
        <v>0.19900000000000001</v>
      </c>
      <c r="K84" s="29"/>
      <c r="L84" s="29">
        <v>7.8E-2</v>
      </c>
      <c r="M84" s="29">
        <v>9.6000000000000002E-2</v>
      </c>
      <c r="N84" s="29">
        <v>0.12</v>
      </c>
      <c r="O84" s="29">
        <v>4.7E-2</v>
      </c>
      <c r="P84" s="27">
        <v>34585900</v>
      </c>
      <c r="Q84" s="26">
        <v>1.72</v>
      </c>
      <c r="R84" s="27">
        <v>11136100</v>
      </c>
      <c r="S84" s="27">
        <v>6465600</v>
      </c>
      <c r="T84" s="26">
        <v>1.77</v>
      </c>
      <c r="U84" s="27">
        <v>11393700</v>
      </c>
      <c r="V84" s="27">
        <v>6442000</v>
      </c>
      <c r="W84" s="26">
        <v>1.86</v>
      </c>
      <c r="X84" s="27">
        <v>11587900</v>
      </c>
      <c r="Y84" s="27">
        <v>6223500</v>
      </c>
      <c r="Z84" s="26">
        <v>1.71</v>
      </c>
      <c r="AA84" s="27">
        <v>12222700</v>
      </c>
      <c r="AB84" s="27">
        <v>7143200</v>
      </c>
      <c r="AD84" s="30"/>
    </row>
    <row r="85" spans="1:30" ht="10.5" customHeight="1" x14ac:dyDescent="0.15">
      <c r="A85" s="24" t="s">
        <v>1</v>
      </c>
      <c r="B85" s="43">
        <v>5</v>
      </c>
      <c r="C85" s="44">
        <v>47851</v>
      </c>
      <c r="D85" s="44">
        <v>239931</v>
      </c>
      <c r="E85" s="44">
        <v>202888</v>
      </c>
      <c r="F85" s="44">
        <v>202888</v>
      </c>
      <c r="G85" s="44">
        <v>598139</v>
      </c>
      <c r="H85" s="45">
        <v>0.33900000000000002</v>
      </c>
      <c r="I85" s="45">
        <v>0.33900000000000002</v>
      </c>
      <c r="J85" s="45">
        <v>0.40100000000000002</v>
      </c>
      <c r="K85" s="45"/>
      <c r="L85" s="45">
        <v>7.0000000000000007E-2</v>
      </c>
      <c r="M85" s="45">
        <v>8.5000000000000006E-2</v>
      </c>
      <c r="N85" s="45">
        <v>0.105</v>
      </c>
      <c r="O85" s="45">
        <v>0.114</v>
      </c>
      <c r="P85" s="44">
        <v>1772955</v>
      </c>
      <c r="Q85" s="46">
        <v>1.08</v>
      </c>
      <c r="R85" s="44">
        <v>9800982</v>
      </c>
      <c r="S85" s="44">
        <v>9112195</v>
      </c>
      <c r="T85" s="46">
        <v>1.05</v>
      </c>
      <c r="U85" s="44">
        <v>10819039</v>
      </c>
      <c r="V85" s="44">
        <v>10281698</v>
      </c>
      <c r="W85" s="46">
        <v>1.05</v>
      </c>
      <c r="X85" s="44">
        <v>13167550</v>
      </c>
      <c r="Y85" s="44">
        <v>12520048</v>
      </c>
      <c r="Z85" s="46">
        <v>1.04</v>
      </c>
      <c r="AA85" s="44">
        <v>13457129</v>
      </c>
      <c r="AB85" s="44">
        <v>12927432</v>
      </c>
      <c r="AD85" s="30"/>
    </row>
    <row r="86" spans="1:30" ht="10.5" customHeight="1" x14ac:dyDescent="0.15">
      <c r="A86" s="25" t="s">
        <v>54</v>
      </c>
      <c r="B86" s="47">
        <v>5</v>
      </c>
      <c r="C86" s="27">
        <v>14752</v>
      </c>
      <c r="D86" s="27">
        <v>28366</v>
      </c>
      <c r="E86" s="27">
        <v>27269</v>
      </c>
      <c r="F86" s="27">
        <v>27269</v>
      </c>
      <c r="G86" s="27">
        <v>184394</v>
      </c>
      <c r="H86" s="29">
        <v>0.14799999999999999</v>
      </c>
      <c r="I86" s="29">
        <v>0.14799999999999999</v>
      </c>
      <c r="J86" s="29">
        <v>0.154</v>
      </c>
      <c r="K86" s="29"/>
      <c r="L86" s="29">
        <v>7.0000000000000007E-2</v>
      </c>
      <c r="M86" s="29">
        <v>8.5000000000000006E-2</v>
      </c>
      <c r="N86" s="29">
        <v>0.105</v>
      </c>
      <c r="O86" s="29">
        <v>7.3999999999999996E-2</v>
      </c>
      <c r="P86" s="27">
        <v>370395</v>
      </c>
      <c r="Q86" s="26">
        <v>1.91</v>
      </c>
      <c r="R86" s="27">
        <v>21549</v>
      </c>
      <c r="S86" s="27">
        <v>11270</v>
      </c>
      <c r="T86" s="26">
        <v>1.78</v>
      </c>
      <c r="U86" s="27">
        <v>26594</v>
      </c>
      <c r="V86" s="27">
        <v>14906</v>
      </c>
      <c r="W86" s="26">
        <v>2.2400000000000002</v>
      </c>
      <c r="X86" s="27">
        <v>28117</v>
      </c>
      <c r="Y86" s="27">
        <v>12526</v>
      </c>
      <c r="Z86" s="26">
        <v>2.29</v>
      </c>
      <c r="AA86" s="27">
        <v>32719</v>
      </c>
      <c r="AB86" s="27">
        <v>14317</v>
      </c>
      <c r="AD86" s="30"/>
    </row>
    <row r="87" spans="1:30" ht="10.5" customHeight="1" x14ac:dyDescent="0.15">
      <c r="A87" s="24" t="s">
        <v>83</v>
      </c>
      <c r="B87" s="43">
        <v>5</v>
      </c>
      <c r="C87" s="44">
        <v>10909</v>
      </c>
      <c r="D87" s="44">
        <v>23423</v>
      </c>
      <c r="E87" s="44">
        <v>23423</v>
      </c>
      <c r="F87" s="44">
        <v>23423</v>
      </c>
      <c r="G87" s="44">
        <v>136360</v>
      </c>
      <c r="H87" s="45">
        <v>0.17199999999999999</v>
      </c>
      <c r="I87" s="45">
        <v>0.17199999999999999</v>
      </c>
      <c r="J87" s="45">
        <v>0.17199999999999999</v>
      </c>
      <c r="K87" s="45"/>
      <c r="L87" s="45">
        <v>7.0000000000000007E-2</v>
      </c>
      <c r="M87" s="45">
        <v>8.5000000000000006E-2</v>
      </c>
      <c r="N87" s="45">
        <v>0.105</v>
      </c>
      <c r="O87" s="45">
        <v>3.6999999999999998E-2</v>
      </c>
      <c r="P87" s="44">
        <v>624768</v>
      </c>
      <c r="Q87" s="46">
        <v>1.41</v>
      </c>
      <c r="R87" s="44">
        <v>45773</v>
      </c>
      <c r="S87" s="44">
        <v>32388</v>
      </c>
      <c r="T87" s="46">
        <v>1.1499999999999999</v>
      </c>
      <c r="U87" s="44">
        <v>48557</v>
      </c>
      <c r="V87" s="44">
        <v>42285</v>
      </c>
      <c r="W87" s="46">
        <v>1.21</v>
      </c>
      <c r="X87" s="44">
        <v>52281</v>
      </c>
      <c r="Y87" s="44">
        <v>43190</v>
      </c>
      <c r="Z87" s="46">
        <v>1.38</v>
      </c>
      <c r="AA87" s="44">
        <v>53780</v>
      </c>
      <c r="AB87" s="44">
        <v>38934</v>
      </c>
      <c r="AD87" s="30"/>
    </row>
    <row r="88" spans="1:30" ht="10.5" customHeight="1" x14ac:dyDescent="0.15">
      <c r="A88" s="25" t="s">
        <v>129</v>
      </c>
      <c r="B88" s="47">
        <v>5</v>
      </c>
      <c r="C88" s="27">
        <v>38187</v>
      </c>
      <c r="D88" s="27">
        <v>97651</v>
      </c>
      <c r="E88" s="27">
        <v>97651</v>
      </c>
      <c r="F88" s="27">
        <v>97651</v>
      </c>
      <c r="G88" s="27">
        <v>477334</v>
      </c>
      <c r="H88" s="29">
        <v>0.20499999999999999</v>
      </c>
      <c r="I88" s="29">
        <v>0.20499999999999999</v>
      </c>
      <c r="J88" s="29">
        <v>0.20499999999999999</v>
      </c>
      <c r="K88" s="29"/>
      <c r="L88" s="29">
        <v>7.0000000000000007E-2</v>
      </c>
      <c r="M88" s="29">
        <v>8.5000000000000006E-2</v>
      </c>
      <c r="N88" s="29">
        <v>0.105</v>
      </c>
      <c r="O88" s="29">
        <v>0.108</v>
      </c>
      <c r="P88" s="27">
        <v>904914</v>
      </c>
      <c r="Q88" s="26">
        <v>1.72</v>
      </c>
      <c r="R88" s="27">
        <v>111235</v>
      </c>
      <c r="S88" s="27">
        <v>64640</v>
      </c>
      <c r="T88" s="26">
        <v>2.2799999999999998</v>
      </c>
      <c r="U88" s="27">
        <v>162283</v>
      </c>
      <c r="V88" s="27">
        <v>71307</v>
      </c>
      <c r="W88" s="26">
        <v>2.15</v>
      </c>
      <c r="X88" s="27">
        <v>159251</v>
      </c>
      <c r="Y88" s="27">
        <v>74184</v>
      </c>
      <c r="Z88" s="26">
        <v>2.35</v>
      </c>
      <c r="AA88" s="27">
        <v>154874</v>
      </c>
      <c r="AB88" s="27">
        <v>65829</v>
      </c>
      <c r="AD88" s="30"/>
    </row>
    <row r="89" spans="1:30" ht="10.5" customHeight="1" x14ac:dyDescent="0.15">
      <c r="A89" s="24" t="s">
        <v>91</v>
      </c>
      <c r="B89" s="43">
        <v>5</v>
      </c>
      <c r="C89" s="44">
        <v>734</v>
      </c>
      <c r="D89" s="44">
        <v>2044</v>
      </c>
      <c r="E89" s="44">
        <v>2044</v>
      </c>
      <c r="F89" s="44">
        <v>2044</v>
      </c>
      <c r="G89" s="44">
        <v>9176</v>
      </c>
      <c r="H89" s="45">
        <v>0.223</v>
      </c>
      <c r="I89" s="45">
        <v>0.223</v>
      </c>
      <c r="J89" s="45">
        <v>0.223</v>
      </c>
      <c r="K89" s="45"/>
      <c r="L89" s="45">
        <v>7.0000000000000007E-2</v>
      </c>
      <c r="M89" s="45">
        <v>8.5000000000000006E-2</v>
      </c>
      <c r="N89" s="45">
        <v>0.105</v>
      </c>
      <c r="O89" s="45">
        <v>0.114</v>
      </c>
      <c r="P89" s="44">
        <v>18005</v>
      </c>
      <c r="Q89" s="33" t="s">
        <v>214</v>
      </c>
      <c r="R89" s="34" t="s">
        <v>214</v>
      </c>
      <c r="S89" s="34" t="s">
        <v>214</v>
      </c>
      <c r="T89" s="33" t="s">
        <v>214</v>
      </c>
      <c r="U89" s="34" t="s">
        <v>214</v>
      </c>
      <c r="V89" s="34" t="s">
        <v>214</v>
      </c>
      <c r="W89" s="33" t="s">
        <v>214</v>
      </c>
      <c r="X89" s="34" t="s">
        <v>214</v>
      </c>
      <c r="Y89" s="34" t="s">
        <v>214</v>
      </c>
      <c r="Z89" s="46">
        <v>4.3</v>
      </c>
      <c r="AA89" s="44">
        <v>11591</v>
      </c>
      <c r="AB89" s="44">
        <v>2694</v>
      </c>
      <c r="AD89" s="30"/>
    </row>
    <row r="90" spans="1:30" ht="10.5" customHeight="1" x14ac:dyDescent="0.15">
      <c r="A90" s="25" t="s">
        <v>119</v>
      </c>
      <c r="B90" s="47">
        <v>4</v>
      </c>
      <c r="C90" s="27">
        <v>74292</v>
      </c>
      <c r="D90" s="27">
        <v>240390</v>
      </c>
      <c r="E90" s="27">
        <v>240390</v>
      </c>
      <c r="F90" s="27">
        <v>240390</v>
      </c>
      <c r="G90" s="27">
        <v>928654</v>
      </c>
      <c r="H90" s="29">
        <v>0.25900000000000001</v>
      </c>
      <c r="I90" s="29">
        <v>0.25900000000000001</v>
      </c>
      <c r="J90" s="29">
        <v>0.25900000000000001</v>
      </c>
      <c r="K90" s="29"/>
      <c r="L90" s="29">
        <v>7.3999999999999996E-2</v>
      </c>
      <c r="M90" s="29">
        <v>0.09</v>
      </c>
      <c r="N90" s="29">
        <v>0.112</v>
      </c>
      <c r="O90" s="29">
        <v>0.16400000000000001</v>
      </c>
      <c r="P90" s="27">
        <v>1468452</v>
      </c>
      <c r="Q90" s="26">
        <v>2.4</v>
      </c>
      <c r="R90" s="27">
        <v>706517</v>
      </c>
      <c r="S90" s="27">
        <v>294373</v>
      </c>
      <c r="T90" s="26">
        <v>2.2400000000000002</v>
      </c>
      <c r="U90" s="27">
        <v>882197</v>
      </c>
      <c r="V90" s="27">
        <v>393846</v>
      </c>
      <c r="W90" s="26">
        <v>2.36</v>
      </c>
      <c r="X90" s="27">
        <v>840260</v>
      </c>
      <c r="Y90" s="27">
        <v>356184</v>
      </c>
      <c r="Z90" s="26">
        <v>2.1</v>
      </c>
      <c r="AA90" s="27">
        <v>880951</v>
      </c>
      <c r="AB90" s="27">
        <v>420062</v>
      </c>
      <c r="AD90" s="30"/>
    </row>
    <row r="91" spans="1:30" ht="10.5" customHeight="1" x14ac:dyDescent="0.15">
      <c r="A91" s="24" t="s">
        <v>203</v>
      </c>
      <c r="B91" s="43">
        <v>5</v>
      </c>
      <c r="C91" s="44">
        <v>10000</v>
      </c>
      <c r="D91" s="44">
        <v>27677</v>
      </c>
      <c r="E91" s="44">
        <v>27677</v>
      </c>
      <c r="F91" s="44">
        <v>27677</v>
      </c>
      <c r="G91" s="44">
        <v>97636</v>
      </c>
      <c r="H91" s="45">
        <v>0.27800000000000002</v>
      </c>
      <c r="I91" s="45">
        <v>0.27800000000000002</v>
      </c>
      <c r="J91" s="45">
        <v>0.27800000000000002</v>
      </c>
      <c r="K91" s="45"/>
      <c r="L91" s="45">
        <v>7.0000000000000007E-2</v>
      </c>
      <c r="M91" s="45">
        <v>8.5000000000000006E-2</v>
      </c>
      <c r="N91" s="45">
        <v>0.105</v>
      </c>
      <c r="O91" s="45">
        <v>0.58699999999999997</v>
      </c>
      <c r="P91" s="44">
        <v>45145</v>
      </c>
      <c r="Q91" s="46" t="s">
        <v>207</v>
      </c>
      <c r="R91" s="44" t="s">
        <v>207</v>
      </c>
      <c r="S91" s="44" t="s">
        <v>207</v>
      </c>
      <c r="T91" s="46" t="s">
        <v>207</v>
      </c>
      <c r="U91" s="44" t="s">
        <v>207</v>
      </c>
      <c r="V91" s="44" t="s">
        <v>207</v>
      </c>
      <c r="W91" s="46" t="s">
        <v>207</v>
      </c>
      <c r="X91" s="44" t="s">
        <v>207</v>
      </c>
      <c r="Y91" s="44" t="s">
        <v>207</v>
      </c>
      <c r="Z91" s="46">
        <v>3.57</v>
      </c>
      <c r="AA91" s="44">
        <v>5450</v>
      </c>
      <c r="AB91" s="44">
        <v>1528</v>
      </c>
      <c r="AD91" s="30"/>
    </row>
    <row r="92" spans="1:30" ht="10.5" customHeight="1" x14ac:dyDescent="0.15">
      <c r="A92" s="25" t="s">
        <v>88</v>
      </c>
      <c r="B92" s="47">
        <v>4</v>
      </c>
      <c r="C92" s="27">
        <v>42795</v>
      </c>
      <c r="D92" s="27">
        <v>120062</v>
      </c>
      <c r="E92" s="27">
        <v>120062</v>
      </c>
      <c r="F92" s="27">
        <v>120062</v>
      </c>
      <c r="G92" s="27">
        <v>534932</v>
      </c>
      <c r="H92" s="29">
        <v>0.224</v>
      </c>
      <c r="I92" s="29">
        <v>0.224</v>
      </c>
      <c r="J92" s="29">
        <v>0.224</v>
      </c>
      <c r="K92" s="29"/>
      <c r="L92" s="29">
        <v>7.3999999999999996E-2</v>
      </c>
      <c r="M92" s="29">
        <v>0.09</v>
      </c>
      <c r="N92" s="29">
        <v>0.112</v>
      </c>
      <c r="O92" s="29">
        <v>0.151</v>
      </c>
      <c r="P92" s="27">
        <v>795381</v>
      </c>
      <c r="Q92" s="26">
        <v>1.25</v>
      </c>
      <c r="R92" s="27">
        <v>474710</v>
      </c>
      <c r="S92" s="27">
        <v>380414</v>
      </c>
      <c r="T92" s="26">
        <v>1.36</v>
      </c>
      <c r="U92" s="27">
        <v>475480</v>
      </c>
      <c r="V92" s="27">
        <v>349827</v>
      </c>
      <c r="W92" s="26">
        <v>1.55</v>
      </c>
      <c r="X92" s="27">
        <v>420560</v>
      </c>
      <c r="Y92" s="27">
        <v>271558</v>
      </c>
      <c r="Z92" s="26">
        <v>1.32</v>
      </c>
      <c r="AA92" s="27">
        <v>424670</v>
      </c>
      <c r="AB92" s="27">
        <v>320542</v>
      </c>
      <c r="AD92" s="30"/>
    </row>
    <row r="93" spans="1:30" ht="10.5" customHeight="1" x14ac:dyDescent="0.15">
      <c r="A93" s="24" t="s">
        <v>72</v>
      </c>
      <c r="B93" s="43">
        <v>5</v>
      </c>
      <c r="C93" s="44">
        <v>13817</v>
      </c>
      <c r="D93" s="44">
        <v>24482</v>
      </c>
      <c r="E93" s="44">
        <v>20925</v>
      </c>
      <c r="F93" s="44">
        <v>21675</v>
      </c>
      <c r="G93" s="44">
        <v>172710</v>
      </c>
      <c r="H93" s="45">
        <v>0.121</v>
      </c>
      <c r="I93" s="45">
        <v>0.126</v>
      </c>
      <c r="J93" s="45">
        <v>0.14199999999999999</v>
      </c>
      <c r="K93" s="45"/>
      <c r="L93" s="45">
        <v>7.0000000000000007E-2</v>
      </c>
      <c r="M93" s="45">
        <v>8.5000000000000006E-2</v>
      </c>
      <c r="N93" s="45">
        <v>0.105</v>
      </c>
      <c r="O93" s="45">
        <v>7.6999999999999999E-2</v>
      </c>
      <c r="P93" s="44">
        <v>281129</v>
      </c>
      <c r="Q93" s="46">
        <v>1.81</v>
      </c>
      <c r="R93" s="44">
        <v>42130</v>
      </c>
      <c r="S93" s="44">
        <v>23263</v>
      </c>
      <c r="T93" s="46">
        <v>2.1</v>
      </c>
      <c r="U93" s="44">
        <v>47770</v>
      </c>
      <c r="V93" s="44">
        <v>22795</v>
      </c>
      <c r="W93" s="46">
        <v>1.83</v>
      </c>
      <c r="X93" s="44">
        <v>45990</v>
      </c>
      <c r="Y93" s="44">
        <v>25176</v>
      </c>
      <c r="Z93" s="46">
        <v>2.2000000000000002</v>
      </c>
      <c r="AA93" s="44">
        <v>48825</v>
      </c>
      <c r="AB93" s="44">
        <v>22176</v>
      </c>
      <c r="AD93" s="30"/>
    </row>
    <row r="94" spans="1:30" ht="10.5" customHeight="1" x14ac:dyDescent="0.15">
      <c r="A94" s="25" t="s">
        <v>86</v>
      </c>
      <c r="B94" s="47">
        <v>5</v>
      </c>
      <c r="C94" s="27">
        <v>71583</v>
      </c>
      <c r="D94" s="27">
        <v>214067</v>
      </c>
      <c r="E94" s="27">
        <v>214067</v>
      </c>
      <c r="F94" s="27">
        <v>214067</v>
      </c>
      <c r="G94" s="27">
        <v>894792</v>
      </c>
      <c r="H94" s="29">
        <v>0.23899999999999999</v>
      </c>
      <c r="I94" s="29">
        <v>0.23899999999999999</v>
      </c>
      <c r="J94" s="29">
        <v>0.23899999999999999</v>
      </c>
      <c r="K94" s="29"/>
      <c r="L94" s="29">
        <v>7.0000000000000007E-2</v>
      </c>
      <c r="M94" s="29">
        <v>8.5000000000000006E-2</v>
      </c>
      <c r="N94" s="29">
        <v>0.105</v>
      </c>
      <c r="O94" s="29">
        <v>0.19500000000000001</v>
      </c>
      <c r="P94" s="27">
        <v>1098972</v>
      </c>
      <c r="Q94" s="26">
        <v>1.58</v>
      </c>
      <c r="R94" s="27">
        <v>549476</v>
      </c>
      <c r="S94" s="27">
        <v>346951</v>
      </c>
      <c r="T94" s="26">
        <v>1.73</v>
      </c>
      <c r="U94" s="27">
        <v>567080</v>
      </c>
      <c r="V94" s="27">
        <v>327283</v>
      </c>
      <c r="W94" s="26">
        <v>1.66</v>
      </c>
      <c r="X94" s="27">
        <v>585058</v>
      </c>
      <c r="Y94" s="27">
        <v>352370</v>
      </c>
      <c r="Z94" s="26">
        <v>1.76</v>
      </c>
      <c r="AA94" s="27">
        <v>697891</v>
      </c>
      <c r="AB94" s="27">
        <v>396708</v>
      </c>
      <c r="AD94" s="30"/>
    </row>
    <row r="95" spans="1:30" ht="10.5" customHeight="1" x14ac:dyDescent="0.15">
      <c r="A95" s="24" t="s">
        <v>12</v>
      </c>
      <c r="B95" s="43">
        <v>4</v>
      </c>
      <c r="C95" s="44">
        <v>241502</v>
      </c>
      <c r="D95" s="44">
        <v>548289</v>
      </c>
      <c r="E95" s="44">
        <v>343250</v>
      </c>
      <c r="F95" s="44">
        <v>543250</v>
      </c>
      <c r="G95" s="44">
        <v>3018771</v>
      </c>
      <c r="H95" s="45">
        <v>0.114</v>
      </c>
      <c r="I95" s="45">
        <v>0.18</v>
      </c>
      <c r="J95" s="45">
        <v>0.182</v>
      </c>
      <c r="K95" s="45"/>
      <c r="L95" s="45">
        <v>7.3999999999999996E-2</v>
      </c>
      <c r="M95" s="45">
        <v>0.09</v>
      </c>
      <c r="N95" s="45">
        <v>0.112</v>
      </c>
      <c r="O95" s="45">
        <v>8.3000000000000004E-2</v>
      </c>
      <c r="P95" s="44">
        <v>6537477</v>
      </c>
      <c r="Q95" s="46">
        <v>1.51</v>
      </c>
      <c r="R95" s="44">
        <v>994597</v>
      </c>
      <c r="S95" s="44">
        <v>659427</v>
      </c>
      <c r="T95" s="46">
        <v>1.41</v>
      </c>
      <c r="U95" s="44">
        <v>994426</v>
      </c>
      <c r="V95" s="44">
        <v>703326</v>
      </c>
      <c r="W95" s="46">
        <v>1.77</v>
      </c>
      <c r="X95" s="44">
        <v>1201139</v>
      </c>
      <c r="Y95" s="44">
        <v>678371</v>
      </c>
      <c r="Z95" s="46">
        <v>2.09</v>
      </c>
      <c r="AA95" s="44">
        <v>1256947</v>
      </c>
      <c r="AB95" s="44">
        <v>600832</v>
      </c>
      <c r="AD95" s="30"/>
    </row>
    <row r="96" spans="1:30" ht="10.5" customHeight="1" x14ac:dyDescent="0.15">
      <c r="A96" s="25" t="s">
        <v>60</v>
      </c>
      <c r="B96" s="47">
        <v>5</v>
      </c>
      <c r="C96" s="27">
        <v>10321</v>
      </c>
      <c r="D96" s="27">
        <v>32667</v>
      </c>
      <c r="E96" s="27">
        <v>25538</v>
      </c>
      <c r="F96" s="27">
        <v>32538</v>
      </c>
      <c r="G96" s="27">
        <v>129013</v>
      </c>
      <c r="H96" s="29">
        <v>0.19800000000000001</v>
      </c>
      <c r="I96" s="29">
        <v>0.252</v>
      </c>
      <c r="J96" s="29">
        <v>0.253</v>
      </c>
      <c r="K96" s="29"/>
      <c r="L96" s="29">
        <v>7.0000000000000007E-2</v>
      </c>
      <c r="M96" s="29">
        <v>8.5000000000000006E-2</v>
      </c>
      <c r="N96" s="29">
        <v>0.105</v>
      </c>
      <c r="O96" s="29">
        <v>0.13200000000000001</v>
      </c>
      <c r="P96" s="27">
        <v>246322</v>
      </c>
      <c r="Q96" s="26">
        <v>2.75</v>
      </c>
      <c r="R96" s="27">
        <v>468901</v>
      </c>
      <c r="S96" s="27">
        <v>170794</v>
      </c>
      <c r="T96" s="26">
        <v>2.86</v>
      </c>
      <c r="U96" s="27">
        <v>562196</v>
      </c>
      <c r="V96" s="27">
        <v>196695</v>
      </c>
      <c r="W96" s="26">
        <v>2.7</v>
      </c>
      <c r="X96" s="27">
        <v>591390</v>
      </c>
      <c r="Y96" s="27">
        <v>219150</v>
      </c>
      <c r="Z96" s="26">
        <v>2.82</v>
      </c>
      <c r="AA96" s="27">
        <v>559413</v>
      </c>
      <c r="AB96" s="27">
        <v>198331</v>
      </c>
      <c r="AD96" s="30"/>
    </row>
    <row r="97" spans="1:30" ht="10.5" customHeight="1" x14ac:dyDescent="0.15">
      <c r="A97" s="24" t="s">
        <v>125</v>
      </c>
      <c r="B97" s="43">
        <v>5</v>
      </c>
      <c r="C97" s="44">
        <v>12180</v>
      </c>
      <c r="D97" s="44">
        <v>43281</v>
      </c>
      <c r="E97" s="44">
        <v>39281</v>
      </c>
      <c r="F97" s="44">
        <v>43281</v>
      </c>
      <c r="G97" s="44">
        <v>152250</v>
      </c>
      <c r="H97" s="45">
        <v>0.25800000000000001</v>
      </c>
      <c r="I97" s="45">
        <v>0.28399999999999997</v>
      </c>
      <c r="J97" s="45">
        <v>0.28399999999999997</v>
      </c>
      <c r="K97" s="45"/>
      <c r="L97" s="45">
        <v>7.0000000000000007E-2</v>
      </c>
      <c r="M97" s="45">
        <v>8.5000000000000006E-2</v>
      </c>
      <c r="N97" s="45">
        <v>0.105</v>
      </c>
      <c r="O97" s="45">
        <v>0.153</v>
      </c>
      <c r="P97" s="44">
        <v>283075</v>
      </c>
      <c r="Q97" s="46">
        <v>6.28</v>
      </c>
      <c r="R97" s="44">
        <v>469143</v>
      </c>
      <c r="S97" s="44">
        <v>74746</v>
      </c>
      <c r="T97" s="46">
        <v>7.33</v>
      </c>
      <c r="U97" s="44">
        <v>562510</v>
      </c>
      <c r="V97" s="44">
        <v>76782</v>
      </c>
      <c r="W97" s="46">
        <v>6.12</v>
      </c>
      <c r="X97" s="44">
        <v>591663</v>
      </c>
      <c r="Y97" s="44">
        <v>96745</v>
      </c>
      <c r="Z97" s="46">
        <v>7.25</v>
      </c>
      <c r="AA97" s="44">
        <v>559641</v>
      </c>
      <c r="AB97" s="44">
        <v>77141</v>
      </c>
      <c r="AD97" s="30"/>
    </row>
    <row r="98" spans="1:30" ht="10.5" customHeight="1" x14ac:dyDescent="0.15">
      <c r="A98" s="25" t="s">
        <v>25</v>
      </c>
      <c r="B98" s="47">
        <v>3</v>
      </c>
      <c r="C98" s="27">
        <v>1018343</v>
      </c>
      <c r="D98" s="27">
        <v>2592760</v>
      </c>
      <c r="E98" s="27">
        <v>2592760</v>
      </c>
      <c r="F98" s="27">
        <v>2592760</v>
      </c>
      <c r="G98" s="27">
        <v>12729282</v>
      </c>
      <c r="H98" s="29">
        <v>0.20399999999999999</v>
      </c>
      <c r="I98" s="29">
        <v>0.20399999999999999</v>
      </c>
      <c r="J98" s="29">
        <v>0.20399999999999999</v>
      </c>
      <c r="K98" s="29"/>
      <c r="L98" s="29">
        <v>7.8E-2</v>
      </c>
      <c r="M98" s="29">
        <v>9.6000000000000002E-2</v>
      </c>
      <c r="N98" s="29">
        <v>0.12</v>
      </c>
      <c r="O98" s="29">
        <v>9.5000000000000001E-2</v>
      </c>
      <c r="P98" s="27">
        <v>27169120</v>
      </c>
      <c r="Q98" s="26">
        <v>1.37</v>
      </c>
      <c r="R98" s="27">
        <v>5480240</v>
      </c>
      <c r="S98" s="27">
        <v>4014705</v>
      </c>
      <c r="T98" s="26">
        <v>1.92</v>
      </c>
      <c r="U98" s="27">
        <v>7377401</v>
      </c>
      <c r="V98" s="27">
        <v>3844857</v>
      </c>
      <c r="W98" s="26">
        <v>2.09</v>
      </c>
      <c r="X98" s="27">
        <v>7594781</v>
      </c>
      <c r="Y98" s="27">
        <v>3641045</v>
      </c>
      <c r="Z98" s="26">
        <v>2.0299999999999998</v>
      </c>
      <c r="AA98" s="27">
        <v>7602271</v>
      </c>
      <c r="AB98" s="27">
        <v>3746109</v>
      </c>
      <c r="AD98" s="30"/>
    </row>
    <row r="99" spans="1:30" ht="10.5" customHeight="1" x14ac:dyDescent="0.15">
      <c r="A99" s="24" t="s">
        <v>6</v>
      </c>
      <c r="B99" s="43">
        <v>5</v>
      </c>
      <c r="C99" s="44">
        <v>22712</v>
      </c>
      <c r="D99" s="44">
        <v>48455</v>
      </c>
      <c r="E99" s="44">
        <v>48455</v>
      </c>
      <c r="F99" s="44">
        <v>48455</v>
      </c>
      <c r="G99" s="44">
        <v>283901</v>
      </c>
      <c r="H99" s="45">
        <v>0.17100000000000001</v>
      </c>
      <c r="I99" s="45">
        <v>0.17100000000000001</v>
      </c>
      <c r="J99" s="45">
        <v>0.17100000000000001</v>
      </c>
      <c r="K99" s="45"/>
      <c r="L99" s="45">
        <v>7.0000000000000007E-2</v>
      </c>
      <c r="M99" s="45">
        <v>8.5000000000000006E-2</v>
      </c>
      <c r="N99" s="45">
        <v>0.105</v>
      </c>
      <c r="O99" s="45">
        <v>7.5999999999999998E-2</v>
      </c>
      <c r="P99" s="44">
        <v>634876</v>
      </c>
      <c r="Q99" s="46">
        <v>2.0299999999999998</v>
      </c>
      <c r="R99" s="44">
        <v>70258</v>
      </c>
      <c r="S99" s="44">
        <v>34551</v>
      </c>
      <c r="T99" s="46">
        <v>2.16</v>
      </c>
      <c r="U99" s="44">
        <v>75455</v>
      </c>
      <c r="V99" s="44">
        <v>35006</v>
      </c>
      <c r="W99" s="46">
        <v>2.2799999999999998</v>
      </c>
      <c r="X99" s="44">
        <v>76748</v>
      </c>
      <c r="Y99" s="44">
        <v>33645</v>
      </c>
      <c r="Z99" s="46">
        <v>2.04</v>
      </c>
      <c r="AA99" s="44">
        <v>79836</v>
      </c>
      <c r="AB99" s="44">
        <v>39131</v>
      </c>
      <c r="AD99" s="30"/>
    </row>
    <row r="100" spans="1:30" ht="10.5" customHeight="1" x14ac:dyDescent="0.15">
      <c r="A100" s="25" t="s">
        <v>149</v>
      </c>
      <c r="B100" s="47">
        <v>4</v>
      </c>
      <c r="C100" s="27">
        <v>79866</v>
      </c>
      <c r="D100" s="27">
        <v>205786</v>
      </c>
      <c r="E100" s="27">
        <v>205786</v>
      </c>
      <c r="F100" s="27">
        <v>205786</v>
      </c>
      <c r="G100" s="27">
        <v>998324</v>
      </c>
      <c r="H100" s="29">
        <v>0.20599999999999999</v>
      </c>
      <c r="I100" s="29">
        <v>0.20599999999999999</v>
      </c>
      <c r="J100" s="29">
        <v>0.20599999999999999</v>
      </c>
      <c r="K100" s="29"/>
      <c r="L100" s="29">
        <v>7.3999999999999996E-2</v>
      </c>
      <c r="M100" s="29">
        <v>0.09</v>
      </c>
      <c r="N100" s="29">
        <v>0.112</v>
      </c>
      <c r="O100" s="29">
        <v>8.2000000000000003E-2</v>
      </c>
      <c r="P100" s="27">
        <v>2517010</v>
      </c>
      <c r="Q100" s="26">
        <v>2.31</v>
      </c>
      <c r="R100" s="27">
        <v>2296650</v>
      </c>
      <c r="S100" s="27">
        <v>992567</v>
      </c>
      <c r="T100" s="26">
        <v>2.3199999999999998</v>
      </c>
      <c r="U100" s="27">
        <v>3042960</v>
      </c>
      <c r="V100" s="27">
        <v>1313623</v>
      </c>
      <c r="W100" s="26">
        <v>2.2000000000000002</v>
      </c>
      <c r="X100" s="27">
        <v>2717295</v>
      </c>
      <c r="Y100" s="27">
        <v>1234971</v>
      </c>
      <c r="Z100" s="26">
        <v>2.1800000000000002</v>
      </c>
      <c r="AA100" s="27">
        <v>2975190</v>
      </c>
      <c r="AB100" s="27">
        <v>1365243</v>
      </c>
      <c r="AD100" s="30"/>
    </row>
    <row r="101" spans="1:30" ht="10.5" customHeight="1" x14ac:dyDescent="0.15">
      <c r="A101" s="24" t="s">
        <v>223</v>
      </c>
      <c r="B101" s="43">
        <v>3</v>
      </c>
      <c r="C101" s="44">
        <v>1004226</v>
      </c>
      <c r="D101" s="44">
        <v>2591272</v>
      </c>
      <c r="E101" s="44">
        <v>2591272</v>
      </c>
      <c r="F101" s="44">
        <v>2591272</v>
      </c>
      <c r="G101" s="44">
        <v>12552822</v>
      </c>
      <c r="H101" s="45">
        <v>0.20599999999999999</v>
      </c>
      <c r="I101" s="45">
        <v>0.20599999999999999</v>
      </c>
      <c r="J101" s="45">
        <v>0.20599999999999999</v>
      </c>
      <c r="K101" s="45"/>
      <c r="L101" s="45">
        <v>7.8E-2</v>
      </c>
      <c r="M101" s="45">
        <v>9.6000000000000002E-2</v>
      </c>
      <c r="N101" s="45">
        <v>0.12</v>
      </c>
      <c r="O101" s="45">
        <v>5.1999999999999998E-2</v>
      </c>
      <c r="P101" s="44">
        <v>49487415</v>
      </c>
      <c r="Q101" s="46">
        <v>1.61</v>
      </c>
      <c r="R101" s="44">
        <v>20489044</v>
      </c>
      <c r="S101" s="44">
        <v>12735118</v>
      </c>
      <c r="T101" s="46">
        <v>1.76</v>
      </c>
      <c r="U101" s="44">
        <v>24736362</v>
      </c>
      <c r="V101" s="44">
        <v>14060699</v>
      </c>
      <c r="W101" s="46">
        <v>1.82</v>
      </c>
      <c r="X101" s="44">
        <v>27782367</v>
      </c>
      <c r="Y101" s="44">
        <v>15304603</v>
      </c>
      <c r="Z101" s="46">
        <v>1.8</v>
      </c>
      <c r="AA101" s="44">
        <v>27143512</v>
      </c>
      <c r="AB101" s="44">
        <v>15108373</v>
      </c>
      <c r="AD101" s="30"/>
    </row>
    <row r="102" spans="1:30" ht="10.5" customHeight="1" x14ac:dyDescent="0.15">
      <c r="A102" s="25" t="s">
        <v>49</v>
      </c>
      <c r="B102" s="47">
        <v>4</v>
      </c>
      <c r="C102" s="27">
        <v>492204</v>
      </c>
      <c r="D102" s="27">
        <v>1163726</v>
      </c>
      <c r="E102" s="27">
        <v>1102241</v>
      </c>
      <c r="F102" s="27">
        <v>1102241</v>
      </c>
      <c r="G102" s="27">
        <v>6152551</v>
      </c>
      <c r="H102" s="29">
        <v>0.17899999999999999</v>
      </c>
      <c r="I102" s="29">
        <v>0.17899999999999999</v>
      </c>
      <c r="J102" s="29">
        <v>0.189</v>
      </c>
      <c r="K102" s="29"/>
      <c r="L102" s="29">
        <v>7.3999999999999996E-2</v>
      </c>
      <c r="M102" s="29">
        <v>0.09</v>
      </c>
      <c r="N102" s="29">
        <v>0.112</v>
      </c>
      <c r="O102" s="29">
        <v>9.6000000000000002E-2</v>
      </c>
      <c r="P102" s="27">
        <v>11509124</v>
      </c>
      <c r="Q102" s="26">
        <v>1.3</v>
      </c>
      <c r="R102" s="27">
        <v>3122160</v>
      </c>
      <c r="S102" s="27">
        <v>2400112</v>
      </c>
      <c r="T102" s="26">
        <v>1.44</v>
      </c>
      <c r="U102" s="27">
        <v>3110401</v>
      </c>
      <c r="V102" s="27">
        <v>2161232</v>
      </c>
      <c r="W102" s="26">
        <v>1.25</v>
      </c>
      <c r="X102" s="27">
        <v>2761995</v>
      </c>
      <c r="Y102" s="27">
        <v>2213510</v>
      </c>
      <c r="Z102" s="26">
        <v>1.28</v>
      </c>
      <c r="AA102" s="27">
        <v>2993741</v>
      </c>
      <c r="AB102" s="27">
        <v>2346141</v>
      </c>
      <c r="AD102" s="30"/>
    </row>
    <row r="103" spans="1:30" ht="10.5" customHeight="1" x14ac:dyDescent="0.15">
      <c r="A103" s="24" t="s">
        <v>143</v>
      </c>
      <c r="B103" s="43">
        <v>5</v>
      </c>
      <c r="C103" s="44">
        <v>13874</v>
      </c>
      <c r="D103" s="44">
        <v>44161</v>
      </c>
      <c r="E103" s="44">
        <v>44161</v>
      </c>
      <c r="F103" s="44">
        <v>44161</v>
      </c>
      <c r="G103" s="44">
        <v>173431</v>
      </c>
      <c r="H103" s="45">
        <v>0.255</v>
      </c>
      <c r="I103" s="45">
        <v>0.255</v>
      </c>
      <c r="J103" s="45">
        <v>0.255</v>
      </c>
      <c r="K103" s="45"/>
      <c r="L103" s="45">
        <v>7.0000000000000007E-2</v>
      </c>
      <c r="M103" s="45">
        <v>8.5000000000000006E-2</v>
      </c>
      <c r="N103" s="45">
        <v>0.105</v>
      </c>
      <c r="O103" s="45">
        <v>6.8000000000000005E-2</v>
      </c>
      <c r="P103" s="44">
        <v>648074</v>
      </c>
      <c r="Q103" s="46">
        <v>4.1100000000000003</v>
      </c>
      <c r="R103" s="44">
        <v>68568</v>
      </c>
      <c r="S103" s="44">
        <v>16678</v>
      </c>
      <c r="T103" s="46">
        <v>4.91</v>
      </c>
      <c r="U103" s="44">
        <v>98448</v>
      </c>
      <c r="V103" s="44">
        <v>20059</v>
      </c>
      <c r="W103" s="46">
        <v>2.4700000000000002</v>
      </c>
      <c r="X103" s="44">
        <v>95302</v>
      </c>
      <c r="Y103" s="44">
        <v>38513</v>
      </c>
      <c r="Z103" s="46">
        <v>4.34</v>
      </c>
      <c r="AA103" s="44">
        <v>77296</v>
      </c>
      <c r="AB103" s="44">
        <v>17800</v>
      </c>
      <c r="AD103" s="30"/>
    </row>
    <row r="104" spans="1:30" ht="10.5" customHeight="1" x14ac:dyDescent="0.15">
      <c r="A104" s="25" t="s">
        <v>134</v>
      </c>
      <c r="B104" s="47">
        <v>5</v>
      </c>
      <c r="C104" s="27">
        <v>16097</v>
      </c>
      <c r="D104" s="27">
        <v>54190</v>
      </c>
      <c r="E104" s="27">
        <v>30690</v>
      </c>
      <c r="F104" s="27">
        <v>54190</v>
      </c>
      <c r="G104" s="27">
        <v>201218</v>
      </c>
      <c r="H104" s="29">
        <v>0.153</v>
      </c>
      <c r="I104" s="29">
        <v>0.26900000000000002</v>
      </c>
      <c r="J104" s="29">
        <v>0.26900000000000002</v>
      </c>
      <c r="K104" s="29"/>
      <c r="L104" s="29">
        <v>7.0000000000000007E-2</v>
      </c>
      <c r="M104" s="29">
        <v>8.5000000000000006E-2</v>
      </c>
      <c r="N104" s="29">
        <v>0.105</v>
      </c>
      <c r="O104" s="29">
        <v>0.17899999999999999</v>
      </c>
      <c r="P104" s="27">
        <v>301954</v>
      </c>
      <c r="Q104" s="26">
        <v>2.69</v>
      </c>
      <c r="R104" s="27">
        <v>41074</v>
      </c>
      <c r="S104" s="27">
        <v>15288</v>
      </c>
      <c r="T104" s="26">
        <v>2.4700000000000002</v>
      </c>
      <c r="U104" s="27">
        <v>37042</v>
      </c>
      <c r="V104" s="27">
        <v>14990</v>
      </c>
      <c r="W104" s="26">
        <v>2.59</v>
      </c>
      <c r="X104" s="27">
        <v>42300</v>
      </c>
      <c r="Y104" s="27">
        <v>16351</v>
      </c>
      <c r="Z104" s="26">
        <v>2.93</v>
      </c>
      <c r="AA104" s="27">
        <v>40410</v>
      </c>
      <c r="AB104" s="27">
        <v>13801</v>
      </c>
      <c r="AD104" s="30"/>
    </row>
    <row r="105" spans="1:30" ht="10.5" customHeight="1" x14ac:dyDescent="0.15">
      <c r="A105" s="24" t="s">
        <v>112</v>
      </c>
      <c r="B105" s="43">
        <v>3</v>
      </c>
      <c r="C105" s="44">
        <v>386193</v>
      </c>
      <c r="D105" s="44">
        <v>1759608</v>
      </c>
      <c r="E105" s="44">
        <v>1539514</v>
      </c>
      <c r="F105" s="44">
        <v>1539514</v>
      </c>
      <c r="G105" s="44">
        <v>4827406</v>
      </c>
      <c r="H105" s="45">
        <v>0.31900000000000001</v>
      </c>
      <c r="I105" s="45">
        <v>0.31900000000000001</v>
      </c>
      <c r="J105" s="45">
        <v>0.36499999999999999</v>
      </c>
      <c r="K105" s="45"/>
      <c r="L105" s="45">
        <v>7.8E-2</v>
      </c>
      <c r="M105" s="45">
        <v>9.6000000000000002E-2</v>
      </c>
      <c r="N105" s="45">
        <v>0.12</v>
      </c>
      <c r="O105" s="45">
        <v>0.10299999999999999</v>
      </c>
      <c r="P105" s="44">
        <v>14879832</v>
      </c>
      <c r="Q105" s="46">
        <v>1.91</v>
      </c>
      <c r="R105" s="44">
        <v>7347182</v>
      </c>
      <c r="S105" s="44">
        <v>3854511</v>
      </c>
      <c r="T105" s="46">
        <v>2.02</v>
      </c>
      <c r="U105" s="44">
        <v>8261367</v>
      </c>
      <c r="V105" s="44">
        <v>4088704</v>
      </c>
      <c r="W105" s="46">
        <v>1.69</v>
      </c>
      <c r="X105" s="44">
        <v>9171262</v>
      </c>
      <c r="Y105" s="44">
        <v>5417972</v>
      </c>
      <c r="Z105" s="46">
        <v>1.67</v>
      </c>
      <c r="AA105" s="44">
        <v>8512234</v>
      </c>
      <c r="AB105" s="44">
        <v>5099558</v>
      </c>
      <c r="AD105" s="30"/>
    </row>
    <row r="106" spans="1:30" ht="10.5" customHeight="1" x14ac:dyDescent="0.15">
      <c r="A106" s="25" t="s">
        <v>82</v>
      </c>
      <c r="B106" s="47">
        <v>5</v>
      </c>
      <c r="C106" s="27">
        <v>15460</v>
      </c>
      <c r="D106" s="27">
        <v>61989</v>
      </c>
      <c r="E106" s="27">
        <v>61989</v>
      </c>
      <c r="F106" s="27">
        <v>61989</v>
      </c>
      <c r="G106" s="27">
        <v>193253</v>
      </c>
      <c r="H106" s="29">
        <v>0.32100000000000001</v>
      </c>
      <c r="I106" s="29">
        <v>0.32100000000000001</v>
      </c>
      <c r="J106" s="29">
        <v>0.32100000000000001</v>
      </c>
      <c r="K106" s="29"/>
      <c r="L106" s="29">
        <v>7.0000000000000007E-2</v>
      </c>
      <c r="M106" s="29">
        <v>8.5000000000000006E-2</v>
      </c>
      <c r="N106" s="29">
        <v>0.105</v>
      </c>
      <c r="O106" s="29">
        <v>6.7000000000000004E-2</v>
      </c>
      <c r="P106" s="27">
        <v>927285</v>
      </c>
      <c r="Q106" s="26">
        <v>2.79</v>
      </c>
      <c r="R106" s="27">
        <v>231686</v>
      </c>
      <c r="S106" s="27">
        <v>83010</v>
      </c>
      <c r="T106" s="26">
        <v>3.79</v>
      </c>
      <c r="U106" s="27">
        <v>401070</v>
      </c>
      <c r="V106" s="27">
        <v>105779</v>
      </c>
      <c r="W106" s="26">
        <v>3.34</v>
      </c>
      <c r="X106" s="27">
        <v>414119</v>
      </c>
      <c r="Y106" s="27">
        <v>123877</v>
      </c>
      <c r="Z106" s="26">
        <v>2.96</v>
      </c>
      <c r="AA106" s="27">
        <v>488113</v>
      </c>
      <c r="AB106" s="27">
        <v>165006</v>
      </c>
      <c r="AD106" s="30"/>
    </row>
    <row r="107" spans="1:30" ht="10.5" customHeight="1" x14ac:dyDescent="0.15">
      <c r="A107" s="24" t="s">
        <v>22</v>
      </c>
      <c r="B107" s="43">
        <v>4</v>
      </c>
      <c r="C107" s="44">
        <v>213808</v>
      </c>
      <c r="D107" s="44">
        <v>526256</v>
      </c>
      <c r="E107" s="44">
        <v>490520</v>
      </c>
      <c r="F107" s="44">
        <v>490520</v>
      </c>
      <c r="G107" s="44">
        <v>2672598</v>
      </c>
      <c r="H107" s="45">
        <v>0.184</v>
      </c>
      <c r="I107" s="45">
        <v>0.184</v>
      </c>
      <c r="J107" s="45">
        <v>0.19700000000000001</v>
      </c>
      <c r="K107" s="45"/>
      <c r="L107" s="45">
        <v>7.3999999999999996E-2</v>
      </c>
      <c r="M107" s="45">
        <v>0.09</v>
      </c>
      <c r="N107" s="45">
        <v>0.112</v>
      </c>
      <c r="O107" s="45">
        <v>0.09</v>
      </c>
      <c r="P107" s="44">
        <v>5444183</v>
      </c>
      <c r="Q107" s="46">
        <v>1.52</v>
      </c>
      <c r="R107" s="44">
        <v>1066605</v>
      </c>
      <c r="S107" s="44">
        <v>702389</v>
      </c>
      <c r="T107" s="46">
        <v>1.46</v>
      </c>
      <c r="U107" s="44">
        <v>1140907</v>
      </c>
      <c r="V107" s="44">
        <v>781604</v>
      </c>
      <c r="W107" s="46">
        <v>1.57</v>
      </c>
      <c r="X107" s="44">
        <v>1356394</v>
      </c>
      <c r="Y107" s="44">
        <v>865679</v>
      </c>
      <c r="Z107" s="46">
        <v>1.68</v>
      </c>
      <c r="AA107" s="44">
        <v>1316084</v>
      </c>
      <c r="AB107" s="44">
        <v>783269</v>
      </c>
      <c r="AD107" s="30"/>
    </row>
    <row r="108" spans="1:30" ht="10.5" customHeight="1" x14ac:dyDescent="0.15">
      <c r="A108" s="25" t="s">
        <v>152</v>
      </c>
      <c r="B108" s="47">
        <v>5</v>
      </c>
      <c r="C108" s="27">
        <v>17895</v>
      </c>
      <c r="D108" s="27">
        <v>142616</v>
      </c>
      <c r="E108" s="27">
        <v>142616</v>
      </c>
      <c r="F108" s="27">
        <v>142616</v>
      </c>
      <c r="G108" s="27">
        <v>223687</v>
      </c>
      <c r="H108" s="29">
        <v>0.63800000000000001</v>
      </c>
      <c r="I108" s="29">
        <v>0.63800000000000001</v>
      </c>
      <c r="J108" s="29">
        <v>0.63800000000000001</v>
      </c>
      <c r="K108" s="29"/>
      <c r="L108" s="29">
        <v>7.0000000000000007E-2</v>
      </c>
      <c r="M108" s="29">
        <v>8.5000000000000006E-2</v>
      </c>
      <c r="N108" s="29">
        <v>0.105</v>
      </c>
      <c r="O108" s="29">
        <v>0.14699999999999999</v>
      </c>
      <c r="P108" s="27">
        <v>972214</v>
      </c>
      <c r="Q108" s="26">
        <v>2.16</v>
      </c>
      <c r="R108" s="27">
        <v>183795</v>
      </c>
      <c r="S108" s="27">
        <v>84942</v>
      </c>
      <c r="T108" s="26">
        <v>2.54</v>
      </c>
      <c r="U108" s="27">
        <v>185625</v>
      </c>
      <c r="V108" s="27">
        <v>72963</v>
      </c>
      <c r="W108" s="26">
        <v>2.2000000000000002</v>
      </c>
      <c r="X108" s="27">
        <v>176178</v>
      </c>
      <c r="Y108" s="27">
        <v>79938</v>
      </c>
      <c r="Z108" s="26">
        <v>2.41</v>
      </c>
      <c r="AA108" s="27">
        <v>206462</v>
      </c>
      <c r="AB108" s="27">
        <v>85776</v>
      </c>
      <c r="AD108" s="30"/>
    </row>
    <row r="109" spans="1:30" ht="10.5" customHeight="1" x14ac:dyDescent="0.15">
      <c r="A109" s="24" t="s">
        <v>148</v>
      </c>
      <c r="B109" s="43">
        <v>5</v>
      </c>
      <c r="C109" s="44">
        <v>2815</v>
      </c>
      <c r="D109" s="44">
        <v>5276</v>
      </c>
      <c r="E109" s="44">
        <v>5276</v>
      </c>
      <c r="F109" s="44">
        <v>5276</v>
      </c>
      <c r="G109" s="44">
        <v>35192</v>
      </c>
      <c r="H109" s="45">
        <v>0.15</v>
      </c>
      <c r="I109" s="45">
        <v>0.15</v>
      </c>
      <c r="J109" s="45">
        <v>0.15</v>
      </c>
      <c r="K109" s="45"/>
      <c r="L109" s="45">
        <v>7.0000000000000007E-2</v>
      </c>
      <c r="M109" s="45">
        <v>8.5000000000000006E-2</v>
      </c>
      <c r="N109" s="45">
        <v>0.105</v>
      </c>
      <c r="O109" s="45">
        <v>6.3E-2</v>
      </c>
      <c r="P109" s="44">
        <v>83874</v>
      </c>
      <c r="Q109" s="33" t="s">
        <v>214</v>
      </c>
      <c r="R109" s="34" t="s">
        <v>214</v>
      </c>
      <c r="S109" s="34" t="s">
        <v>214</v>
      </c>
      <c r="T109" s="33" t="s">
        <v>214</v>
      </c>
      <c r="U109" s="34" t="s">
        <v>214</v>
      </c>
      <c r="V109" s="34" t="s">
        <v>214</v>
      </c>
      <c r="W109" s="33" t="s">
        <v>214</v>
      </c>
      <c r="X109" s="34" t="s">
        <v>214</v>
      </c>
      <c r="Y109" s="34" t="s">
        <v>214</v>
      </c>
      <c r="Z109" s="46">
        <v>1.47</v>
      </c>
      <c r="AA109" s="44">
        <v>54607</v>
      </c>
      <c r="AB109" s="44">
        <v>37074</v>
      </c>
      <c r="AD109" s="30"/>
    </row>
    <row r="110" spans="1:30" ht="10.5" customHeight="1" x14ac:dyDescent="0.15">
      <c r="A110" s="25" t="s">
        <v>111</v>
      </c>
      <c r="B110" s="47">
        <v>5</v>
      </c>
      <c r="C110" s="27">
        <v>2748</v>
      </c>
      <c r="D110" s="27">
        <v>4858</v>
      </c>
      <c r="E110" s="27">
        <v>4858</v>
      </c>
      <c r="F110" s="27">
        <v>4858</v>
      </c>
      <c r="G110" s="27">
        <v>34353</v>
      </c>
      <c r="H110" s="29">
        <v>0.14099999999999999</v>
      </c>
      <c r="I110" s="29">
        <v>0.14099999999999999</v>
      </c>
      <c r="J110" s="29">
        <v>0.14099999999999999</v>
      </c>
      <c r="K110" s="29"/>
      <c r="L110" s="29">
        <v>7.0000000000000007E-2</v>
      </c>
      <c r="M110" s="29">
        <v>8.5000000000000006E-2</v>
      </c>
      <c r="N110" s="29">
        <v>0.105</v>
      </c>
      <c r="O110" s="29">
        <v>5.8999999999999997E-2</v>
      </c>
      <c r="P110" s="27">
        <v>82040</v>
      </c>
      <c r="Q110" s="31" t="s">
        <v>201</v>
      </c>
      <c r="R110" s="32" t="s">
        <v>201</v>
      </c>
      <c r="S110" s="32" t="s">
        <v>201</v>
      </c>
      <c r="T110" s="31" t="s">
        <v>201</v>
      </c>
      <c r="U110" s="32" t="s">
        <v>201</v>
      </c>
      <c r="V110" s="32" t="s">
        <v>201</v>
      </c>
      <c r="W110" s="31" t="s">
        <v>201</v>
      </c>
      <c r="X110" s="32" t="s">
        <v>201</v>
      </c>
      <c r="Y110" s="32" t="s">
        <v>201</v>
      </c>
      <c r="Z110" s="31" t="s">
        <v>201</v>
      </c>
      <c r="AA110" s="32" t="s">
        <v>201</v>
      </c>
      <c r="AB110" s="32" t="s">
        <v>201</v>
      </c>
      <c r="AD110" s="30"/>
    </row>
    <row r="111" spans="1:30" ht="10.5" customHeight="1" x14ac:dyDescent="0.15">
      <c r="A111" s="24" t="s">
        <v>116</v>
      </c>
      <c r="B111" s="43">
        <v>3</v>
      </c>
      <c r="C111" s="44">
        <v>1166451</v>
      </c>
      <c r="D111" s="44">
        <v>5354825</v>
      </c>
      <c r="E111" s="44">
        <v>5354825</v>
      </c>
      <c r="F111" s="44">
        <v>5354825</v>
      </c>
      <c r="G111" s="44">
        <v>14580635</v>
      </c>
      <c r="H111" s="45">
        <v>0.36699999999999999</v>
      </c>
      <c r="I111" s="45">
        <v>0.36699999999999999</v>
      </c>
      <c r="J111" s="45">
        <v>0.36699999999999999</v>
      </c>
      <c r="K111" s="45"/>
      <c r="L111" s="45">
        <v>7.8E-2</v>
      </c>
      <c r="M111" s="45">
        <v>9.6000000000000002E-2</v>
      </c>
      <c r="N111" s="45">
        <v>0.12</v>
      </c>
      <c r="O111" s="45">
        <v>0.16600000000000001</v>
      </c>
      <c r="P111" s="44">
        <v>32314289</v>
      </c>
      <c r="Q111" s="46">
        <v>1.31</v>
      </c>
      <c r="R111" s="44">
        <v>9774511</v>
      </c>
      <c r="S111" s="44">
        <v>7464670</v>
      </c>
      <c r="T111" s="46">
        <v>1.21</v>
      </c>
      <c r="U111" s="44">
        <v>11855299</v>
      </c>
      <c r="V111" s="44">
        <v>9767371</v>
      </c>
      <c r="W111" s="46">
        <v>1.24</v>
      </c>
      <c r="X111" s="44">
        <v>11593305</v>
      </c>
      <c r="Y111" s="44">
        <v>9357560</v>
      </c>
      <c r="Z111" s="46">
        <v>1.21</v>
      </c>
      <c r="AA111" s="44">
        <v>11625076</v>
      </c>
      <c r="AB111" s="44">
        <v>9589820</v>
      </c>
      <c r="AD111" s="30"/>
    </row>
    <row r="112" spans="1:30" ht="10.5" customHeight="1" x14ac:dyDescent="0.15">
      <c r="A112" s="25" t="s">
        <v>45</v>
      </c>
      <c r="B112" s="47">
        <v>4</v>
      </c>
      <c r="C112" s="27">
        <v>330417</v>
      </c>
      <c r="D112" s="27">
        <v>1017485</v>
      </c>
      <c r="E112" s="27">
        <v>1017485</v>
      </c>
      <c r="F112" s="27">
        <v>1017485</v>
      </c>
      <c r="G112" s="27">
        <v>4130207</v>
      </c>
      <c r="H112" s="29">
        <v>0.246</v>
      </c>
      <c r="I112" s="29">
        <v>0.246</v>
      </c>
      <c r="J112" s="29">
        <v>0.246</v>
      </c>
      <c r="K112" s="29"/>
      <c r="L112" s="29">
        <v>7.3999999999999996E-2</v>
      </c>
      <c r="M112" s="29">
        <v>0.09</v>
      </c>
      <c r="N112" s="29">
        <v>0.112</v>
      </c>
      <c r="O112" s="29">
        <v>0.112</v>
      </c>
      <c r="P112" s="27">
        <v>9083236</v>
      </c>
      <c r="Q112" s="26">
        <v>2.81</v>
      </c>
      <c r="R112" s="27">
        <v>1226145</v>
      </c>
      <c r="S112" s="27">
        <v>436864</v>
      </c>
      <c r="T112" s="26">
        <v>2.4900000000000002</v>
      </c>
      <c r="U112" s="27">
        <v>1223833</v>
      </c>
      <c r="V112" s="27">
        <v>491793</v>
      </c>
      <c r="W112" s="26">
        <v>2.4700000000000002</v>
      </c>
      <c r="X112" s="27">
        <v>1245049</v>
      </c>
      <c r="Y112" s="27">
        <v>503446</v>
      </c>
      <c r="Z112" s="26">
        <v>2.48</v>
      </c>
      <c r="AA112" s="27">
        <v>1367409</v>
      </c>
      <c r="AB112" s="27">
        <v>551431</v>
      </c>
      <c r="AD112" s="30"/>
    </row>
    <row r="113" spans="1:30" ht="10.5" customHeight="1" x14ac:dyDescent="0.15">
      <c r="A113" s="24" t="s">
        <v>141</v>
      </c>
      <c r="B113" s="43">
        <v>3</v>
      </c>
      <c r="C113" s="44">
        <v>1689655</v>
      </c>
      <c r="D113" s="44">
        <v>4429731</v>
      </c>
      <c r="E113" s="44">
        <v>3157494</v>
      </c>
      <c r="F113" s="44">
        <v>4296277</v>
      </c>
      <c r="G113" s="44">
        <v>21120693</v>
      </c>
      <c r="H113" s="45">
        <v>0.14899999999999999</v>
      </c>
      <c r="I113" s="45">
        <v>0.20300000000000001</v>
      </c>
      <c r="J113" s="45">
        <v>0.21</v>
      </c>
      <c r="K113" s="45"/>
      <c r="L113" s="45">
        <v>7.8E-2</v>
      </c>
      <c r="M113" s="45">
        <v>9.6000000000000002E-2</v>
      </c>
      <c r="N113" s="45">
        <v>0.12</v>
      </c>
      <c r="O113" s="45">
        <v>0.04</v>
      </c>
      <c r="P113" s="44">
        <v>107193819</v>
      </c>
      <c r="Q113" s="46">
        <v>1.75</v>
      </c>
      <c r="R113" s="44">
        <v>17781340</v>
      </c>
      <c r="S113" s="44">
        <v>10132488</v>
      </c>
      <c r="T113" s="46">
        <v>1.99</v>
      </c>
      <c r="U113" s="44">
        <v>24531198</v>
      </c>
      <c r="V113" s="44">
        <v>12333768</v>
      </c>
      <c r="W113" s="46">
        <v>1.78</v>
      </c>
      <c r="X113" s="44">
        <v>24251764</v>
      </c>
      <c r="Y113" s="44">
        <v>13632938</v>
      </c>
      <c r="Z113" s="46">
        <v>1.72</v>
      </c>
      <c r="AA113" s="44">
        <v>23446534</v>
      </c>
      <c r="AB113" s="44">
        <v>13637283</v>
      </c>
      <c r="AD113" s="30"/>
    </row>
    <row r="114" spans="1:30" ht="10.5" customHeight="1" x14ac:dyDescent="0.15">
      <c r="A114" s="25" t="s">
        <v>73</v>
      </c>
      <c r="B114" s="47">
        <v>5</v>
      </c>
      <c r="C114" s="27">
        <v>8784</v>
      </c>
      <c r="D114" s="27">
        <v>42060</v>
      </c>
      <c r="E114" s="27">
        <v>42060</v>
      </c>
      <c r="F114" s="27">
        <v>42060</v>
      </c>
      <c r="G114" s="27">
        <v>109801</v>
      </c>
      <c r="H114" s="29">
        <v>0.38300000000000001</v>
      </c>
      <c r="I114" s="29">
        <v>0.38300000000000001</v>
      </c>
      <c r="J114" s="29">
        <v>0.38300000000000001</v>
      </c>
      <c r="K114" s="29"/>
      <c r="L114" s="29">
        <v>7.0000000000000007E-2</v>
      </c>
      <c r="M114" s="29">
        <v>8.5000000000000006E-2</v>
      </c>
      <c r="N114" s="29">
        <v>0.105</v>
      </c>
      <c r="O114" s="29">
        <v>0.14299999999999999</v>
      </c>
      <c r="P114" s="27">
        <v>293825</v>
      </c>
      <c r="Q114" s="26">
        <v>3.21</v>
      </c>
      <c r="R114" s="27">
        <v>138602</v>
      </c>
      <c r="S114" s="27">
        <v>43228</v>
      </c>
      <c r="T114" s="26">
        <v>3.62</v>
      </c>
      <c r="U114" s="27">
        <v>151776</v>
      </c>
      <c r="V114" s="27">
        <v>41899</v>
      </c>
      <c r="W114" s="26">
        <v>3.27</v>
      </c>
      <c r="X114" s="27">
        <v>143662</v>
      </c>
      <c r="Y114" s="27">
        <v>43995</v>
      </c>
      <c r="Z114" s="26">
        <v>2.7</v>
      </c>
      <c r="AA114" s="27">
        <v>117492</v>
      </c>
      <c r="AB114" s="27">
        <v>43512</v>
      </c>
      <c r="AD114" s="30"/>
    </row>
    <row r="115" spans="1:30" ht="10.5" customHeight="1" x14ac:dyDescent="0.15">
      <c r="A115" s="24" t="s">
        <v>121</v>
      </c>
      <c r="B115" s="43">
        <v>4</v>
      </c>
      <c r="C115" s="44">
        <v>228557</v>
      </c>
      <c r="D115" s="44">
        <v>642191</v>
      </c>
      <c r="E115" s="44">
        <v>638201</v>
      </c>
      <c r="F115" s="44">
        <v>638201</v>
      </c>
      <c r="G115" s="44">
        <v>2856964</v>
      </c>
      <c r="H115" s="45">
        <v>0.223</v>
      </c>
      <c r="I115" s="45">
        <v>0.223</v>
      </c>
      <c r="J115" s="45">
        <v>0.22500000000000001</v>
      </c>
      <c r="K115" s="45"/>
      <c r="L115" s="45">
        <v>7.3999999999999996E-2</v>
      </c>
      <c r="M115" s="45">
        <v>0.09</v>
      </c>
      <c r="N115" s="45">
        <v>0.112</v>
      </c>
      <c r="O115" s="45">
        <v>6.5000000000000002E-2</v>
      </c>
      <c r="P115" s="44">
        <v>9781451</v>
      </c>
      <c r="Q115" s="46">
        <v>2.2000000000000002</v>
      </c>
      <c r="R115" s="44">
        <v>1062988</v>
      </c>
      <c r="S115" s="44">
        <v>483220</v>
      </c>
      <c r="T115" s="46">
        <v>1.88</v>
      </c>
      <c r="U115" s="44">
        <v>1197891</v>
      </c>
      <c r="V115" s="44">
        <v>637106</v>
      </c>
      <c r="W115" s="46">
        <v>2.19</v>
      </c>
      <c r="X115" s="44">
        <v>1191485</v>
      </c>
      <c r="Y115" s="44">
        <v>544904</v>
      </c>
      <c r="Z115" s="46">
        <v>2.08</v>
      </c>
      <c r="AA115" s="44">
        <v>1193473</v>
      </c>
      <c r="AB115" s="44">
        <v>572862</v>
      </c>
      <c r="AD115" s="30"/>
    </row>
    <row r="116" spans="1:30" ht="10.5" customHeight="1" x14ac:dyDescent="0.15">
      <c r="A116" s="25" t="s">
        <v>38</v>
      </c>
      <c r="B116" s="47">
        <v>4</v>
      </c>
      <c r="C116" s="27">
        <v>44729</v>
      </c>
      <c r="D116" s="27">
        <v>127261</v>
      </c>
      <c r="E116" s="27">
        <v>122301</v>
      </c>
      <c r="F116" s="27">
        <v>122301</v>
      </c>
      <c r="G116" s="27">
        <v>559112</v>
      </c>
      <c r="H116" s="29">
        <v>0.219</v>
      </c>
      <c r="I116" s="29">
        <v>0.219</v>
      </c>
      <c r="J116" s="29">
        <v>0.22800000000000001</v>
      </c>
      <c r="K116" s="29"/>
      <c r="L116" s="29">
        <v>7.3999999999999996E-2</v>
      </c>
      <c r="M116" s="29">
        <v>0.09</v>
      </c>
      <c r="N116" s="29">
        <v>0.112</v>
      </c>
      <c r="O116" s="29">
        <v>0.113</v>
      </c>
      <c r="P116" s="27">
        <v>1082313</v>
      </c>
      <c r="Q116" s="26">
        <v>2.23</v>
      </c>
      <c r="R116" s="27">
        <v>169794</v>
      </c>
      <c r="S116" s="27">
        <v>76110</v>
      </c>
      <c r="T116" s="26">
        <v>1.92</v>
      </c>
      <c r="U116" s="27">
        <v>208130</v>
      </c>
      <c r="V116" s="27">
        <v>108384</v>
      </c>
      <c r="W116" s="26">
        <v>2.0299999999999998</v>
      </c>
      <c r="X116" s="27">
        <v>204996</v>
      </c>
      <c r="Y116" s="27">
        <v>101114</v>
      </c>
      <c r="Z116" s="26">
        <v>1.87</v>
      </c>
      <c r="AA116" s="27">
        <v>186764</v>
      </c>
      <c r="AB116" s="27">
        <v>99747</v>
      </c>
      <c r="AD116" s="30"/>
    </row>
    <row r="117" spans="1:30" ht="10.5" customHeight="1" x14ac:dyDescent="0.15">
      <c r="A117" s="24" t="s">
        <v>14</v>
      </c>
      <c r="B117" s="43">
        <v>3</v>
      </c>
      <c r="C117" s="44">
        <v>1809772</v>
      </c>
      <c r="D117" s="44">
        <v>3576330</v>
      </c>
      <c r="E117" s="44">
        <v>2836800</v>
      </c>
      <c r="F117" s="44">
        <v>3575870</v>
      </c>
      <c r="G117" s="44">
        <v>22622151</v>
      </c>
      <c r="H117" s="45">
        <v>0.125</v>
      </c>
      <c r="I117" s="45">
        <v>0.158</v>
      </c>
      <c r="J117" s="45">
        <v>0.158</v>
      </c>
      <c r="K117" s="45"/>
      <c r="L117" s="45">
        <v>7.8E-2</v>
      </c>
      <c r="M117" s="45">
        <v>9.6000000000000002E-2</v>
      </c>
      <c r="N117" s="45">
        <v>0.12</v>
      </c>
      <c r="O117" s="45">
        <v>7.6999999999999999E-2</v>
      </c>
      <c r="P117" s="44">
        <v>46393413</v>
      </c>
      <c r="Q117" s="46">
        <v>1.27</v>
      </c>
      <c r="R117" s="44">
        <v>5676215</v>
      </c>
      <c r="S117" s="44">
        <v>4483481</v>
      </c>
      <c r="T117" s="46">
        <v>1.32</v>
      </c>
      <c r="U117" s="44">
        <v>7317778</v>
      </c>
      <c r="V117" s="44">
        <v>5533045</v>
      </c>
      <c r="W117" s="46">
        <v>1.4</v>
      </c>
      <c r="X117" s="44">
        <v>7663963</v>
      </c>
      <c r="Y117" s="44">
        <v>5485087</v>
      </c>
      <c r="Z117" s="46">
        <v>1.4</v>
      </c>
      <c r="AA117" s="44">
        <v>7786559</v>
      </c>
      <c r="AB117" s="44">
        <v>5568574</v>
      </c>
      <c r="AD117" s="30"/>
    </row>
    <row r="118" spans="1:30" ht="10.5" customHeight="1" x14ac:dyDescent="0.15">
      <c r="A118" s="25" t="s">
        <v>65</v>
      </c>
      <c r="B118" s="47">
        <v>5</v>
      </c>
      <c r="C118" s="27">
        <v>6121</v>
      </c>
      <c r="D118" s="27">
        <v>33182</v>
      </c>
      <c r="E118" s="27">
        <v>33182</v>
      </c>
      <c r="F118" s="27">
        <v>33182</v>
      </c>
      <c r="G118" s="27">
        <v>76514</v>
      </c>
      <c r="H118" s="29">
        <v>0.434</v>
      </c>
      <c r="I118" s="29">
        <v>0.434</v>
      </c>
      <c r="J118" s="29">
        <v>0.434</v>
      </c>
      <c r="K118" s="29"/>
      <c r="L118" s="29">
        <v>7.0000000000000007E-2</v>
      </c>
      <c r="M118" s="29">
        <v>8.5000000000000006E-2</v>
      </c>
      <c r="N118" s="29">
        <v>0.105</v>
      </c>
      <c r="O118" s="29">
        <v>0.219</v>
      </c>
      <c r="P118" s="27">
        <v>151394</v>
      </c>
      <c r="Q118" s="26">
        <v>1.84</v>
      </c>
      <c r="R118" s="27">
        <v>28740</v>
      </c>
      <c r="S118" s="27">
        <v>15652</v>
      </c>
      <c r="T118" s="26">
        <v>1.53</v>
      </c>
      <c r="U118" s="27">
        <v>21927</v>
      </c>
      <c r="V118" s="27">
        <v>14284</v>
      </c>
      <c r="W118" s="26">
        <v>1.1399999999999999</v>
      </c>
      <c r="X118" s="27">
        <v>13419</v>
      </c>
      <c r="Y118" s="27">
        <v>11790</v>
      </c>
      <c r="Z118" s="26">
        <v>1.31</v>
      </c>
      <c r="AA118" s="27">
        <v>15105</v>
      </c>
      <c r="AB118" s="27">
        <v>11536</v>
      </c>
      <c r="AD118" s="30"/>
    </row>
    <row r="119" spans="1:30" ht="10.5" customHeight="1" x14ac:dyDescent="0.15">
      <c r="A119" s="24" t="s">
        <v>68</v>
      </c>
      <c r="B119" s="43">
        <v>3</v>
      </c>
      <c r="C119" s="44">
        <v>1593788</v>
      </c>
      <c r="D119" s="44">
        <v>4140994</v>
      </c>
      <c r="E119" s="44">
        <v>2811058</v>
      </c>
      <c r="F119" s="44">
        <v>2811058</v>
      </c>
      <c r="G119" s="44">
        <v>19922354</v>
      </c>
      <c r="H119" s="45">
        <v>0.14099999999999999</v>
      </c>
      <c r="I119" s="45">
        <v>0.14099999999999999</v>
      </c>
      <c r="J119" s="45">
        <v>0.20799999999999999</v>
      </c>
      <c r="K119" s="45"/>
      <c r="L119" s="45">
        <v>7.8E-2</v>
      </c>
      <c r="M119" s="45">
        <v>9.6000000000000002E-2</v>
      </c>
      <c r="N119" s="45">
        <v>0.12</v>
      </c>
      <c r="O119" s="45">
        <v>5.8999999999999997E-2</v>
      </c>
      <c r="P119" s="44">
        <v>47347022</v>
      </c>
      <c r="Q119" s="46">
        <v>1.45</v>
      </c>
      <c r="R119" s="44">
        <v>4918242</v>
      </c>
      <c r="S119" s="44">
        <v>3394283</v>
      </c>
      <c r="T119" s="46">
        <v>1.51</v>
      </c>
      <c r="U119" s="44">
        <v>6237442</v>
      </c>
      <c r="V119" s="44">
        <v>4143632</v>
      </c>
      <c r="W119" s="46">
        <v>1.47</v>
      </c>
      <c r="X119" s="44">
        <v>6711808</v>
      </c>
      <c r="Y119" s="44">
        <v>4572033</v>
      </c>
      <c r="Z119" s="46">
        <v>1.44</v>
      </c>
      <c r="AA119" s="44">
        <v>7001459</v>
      </c>
      <c r="AB119" s="44">
        <v>4861272</v>
      </c>
      <c r="AD119" s="30"/>
    </row>
    <row r="120" spans="1:30" ht="10.5" customHeight="1" x14ac:dyDescent="0.15">
      <c r="A120" s="25" t="s">
        <v>204</v>
      </c>
      <c r="B120" s="47">
        <v>5</v>
      </c>
      <c r="C120" s="27">
        <v>23665</v>
      </c>
      <c r="D120" s="27">
        <v>136915</v>
      </c>
      <c r="E120" s="27">
        <v>91915</v>
      </c>
      <c r="F120" s="27">
        <v>136915</v>
      </c>
      <c r="G120" s="27">
        <v>295813</v>
      </c>
      <c r="H120" s="29">
        <v>0.311</v>
      </c>
      <c r="I120" s="29">
        <v>0.46300000000000002</v>
      </c>
      <c r="J120" s="29">
        <v>0.46300000000000002</v>
      </c>
      <c r="K120" s="29"/>
      <c r="L120" s="29">
        <v>7.0000000000000007E-2</v>
      </c>
      <c r="M120" s="29">
        <v>8.5000000000000006E-2</v>
      </c>
      <c r="N120" s="29">
        <v>0.105</v>
      </c>
      <c r="O120" s="29">
        <v>0.11899999999999999</v>
      </c>
      <c r="P120" s="27">
        <v>1152573</v>
      </c>
      <c r="Q120" s="26">
        <v>3.09</v>
      </c>
      <c r="R120" s="27">
        <v>130041</v>
      </c>
      <c r="S120" s="27">
        <v>42020</v>
      </c>
      <c r="T120" s="26">
        <v>2.98</v>
      </c>
      <c r="U120" s="27">
        <v>140428</v>
      </c>
      <c r="V120" s="27">
        <v>47199</v>
      </c>
      <c r="W120" s="26">
        <v>3.71</v>
      </c>
      <c r="X120" s="27">
        <v>148235</v>
      </c>
      <c r="Y120" s="27">
        <v>39947</v>
      </c>
      <c r="Z120" s="26">
        <v>4.04</v>
      </c>
      <c r="AA120" s="27">
        <v>180016</v>
      </c>
      <c r="AB120" s="27">
        <v>44539</v>
      </c>
      <c r="AD120" s="30"/>
    </row>
    <row r="121" spans="1:30" ht="10.5" customHeight="1" x14ac:dyDescent="0.15">
      <c r="A121" s="24" t="s">
        <v>122</v>
      </c>
      <c r="B121" s="43">
        <v>5</v>
      </c>
      <c r="C121" s="44">
        <v>22747</v>
      </c>
      <c r="D121" s="44">
        <v>73038</v>
      </c>
      <c r="E121" s="44">
        <v>73038</v>
      </c>
      <c r="F121" s="44">
        <v>73038</v>
      </c>
      <c r="G121" s="44">
        <v>284340</v>
      </c>
      <c r="H121" s="45">
        <v>0.25700000000000001</v>
      </c>
      <c r="I121" s="45">
        <v>0.25700000000000001</v>
      </c>
      <c r="J121" s="45">
        <v>0.25700000000000001</v>
      </c>
      <c r="K121" s="45"/>
      <c r="L121" s="45">
        <v>7.0000000000000007E-2</v>
      </c>
      <c r="M121" s="45">
        <v>8.5000000000000006E-2</v>
      </c>
      <c r="N121" s="45">
        <v>0.105</v>
      </c>
      <c r="O121" s="45">
        <v>0.14599999999999999</v>
      </c>
      <c r="P121" s="44">
        <v>499643</v>
      </c>
      <c r="Q121" s="46">
        <v>1.37</v>
      </c>
      <c r="R121" s="44">
        <v>52547</v>
      </c>
      <c r="S121" s="44">
        <v>38321</v>
      </c>
      <c r="T121" s="46">
        <v>1.54</v>
      </c>
      <c r="U121" s="44">
        <v>54205</v>
      </c>
      <c r="V121" s="44">
        <v>35298</v>
      </c>
      <c r="W121" s="46">
        <v>1.45</v>
      </c>
      <c r="X121" s="44">
        <v>60189</v>
      </c>
      <c r="Y121" s="44">
        <v>41651</v>
      </c>
      <c r="Z121" s="46">
        <v>1.43</v>
      </c>
      <c r="AA121" s="44">
        <v>60432</v>
      </c>
      <c r="AB121" s="44">
        <v>42240</v>
      </c>
      <c r="AD121" s="30"/>
    </row>
    <row r="122" spans="1:30" ht="10.5" customHeight="1" x14ac:dyDescent="0.15">
      <c r="A122" s="25" t="s">
        <v>120</v>
      </c>
      <c r="B122" s="47">
        <v>5</v>
      </c>
      <c r="C122" s="27">
        <v>9166</v>
      </c>
      <c r="D122" s="27">
        <v>27573</v>
      </c>
      <c r="E122" s="27">
        <v>27573</v>
      </c>
      <c r="F122" s="27">
        <v>27573</v>
      </c>
      <c r="G122" s="27">
        <v>114581</v>
      </c>
      <c r="H122" s="29">
        <v>0.24099999999999999</v>
      </c>
      <c r="I122" s="29">
        <v>0.24099999999999999</v>
      </c>
      <c r="J122" s="29">
        <v>0.24099999999999999</v>
      </c>
      <c r="K122" s="29"/>
      <c r="L122" s="29">
        <v>7.0000000000000007E-2</v>
      </c>
      <c r="M122" s="29">
        <v>8.5000000000000006E-2</v>
      </c>
      <c r="N122" s="29">
        <v>0.105</v>
      </c>
      <c r="O122" s="29">
        <v>0.32800000000000001</v>
      </c>
      <c r="P122" s="27">
        <v>84079</v>
      </c>
      <c r="Q122" s="26">
        <v>3.09</v>
      </c>
      <c r="R122" s="27">
        <v>28958</v>
      </c>
      <c r="S122" s="27">
        <v>9372</v>
      </c>
      <c r="T122" s="26">
        <v>2.4500000000000002</v>
      </c>
      <c r="U122" s="27">
        <v>41313</v>
      </c>
      <c r="V122" s="27">
        <v>16863</v>
      </c>
      <c r="W122" s="26">
        <v>2.56</v>
      </c>
      <c r="X122" s="27">
        <v>43840</v>
      </c>
      <c r="Y122" s="27">
        <v>17132</v>
      </c>
      <c r="Z122" s="26">
        <v>2.94</v>
      </c>
      <c r="AA122" s="27">
        <v>54706</v>
      </c>
      <c r="AB122" s="27">
        <v>18598</v>
      </c>
      <c r="AD122" s="30"/>
    </row>
    <row r="123" spans="1:30" ht="10.5" customHeight="1" x14ac:dyDescent="0.15">
      <c r="A123" s="24" t="s">
        <v>48</v>
      </c>
      <c r="B123" s="43">
        <v>5</v>
      </c>
      <c r="C123" s="44">
        <v>10631</v>
      </c>
      <c r="D123" s="44">
        <v>21946</v>
      </c>
      <c r="E123" s="44">
        <v>21946</v>
      </c>
      <c r="F123" s="44">
        <v>21946</v>
      </c>
      <c r="G123" s="44">
        <v>132885</v>
      </c>
      <c r="H123" s="45">
        <v>0.16500000000000001</v>
      </c>
      <c r="I123" s="45">
        <v>0.16500000000000001</v>
      </c>
      <c r="J123" s="45">
        <v>0.16500000000000001</v>
      </c>
      <c r="K123" s="45"/>
      <c r="L123" s="45">
        <v>7.0000000000000007E-2</v>
      </c>
      <c r="M123" s="45">
        <v>8.5000000000000006E-2</v>
      </c>
      <c r="N123" s="45">
        <v>0.105</v>
      </c>
      <c r="O123" s="45">
        <v>5.5E-2</v>
      </c>
      <c r="P123" s="44">
        <v>396626</v>
      </c>
      <c r="Q123" s="46">
        <v>1.68</v>
      </c>
      <c r="R123" s="44">
        <v>34637</v>
      </c>
      <c r="S123" s="44">
        <v>20619</v>
      </c>
      <c r="T123" s="46">
        <v>1.29</v>
      </c>
      <c r="U123" s="44">
        <v>38131</v>
      </c>
      <c r="V123" s="44">
        <v>29598</v>
      </c>
      <c r="W123" s="46">
        <v>1.34</v>
      </c>
      <c r="X123" s="44">
        <v>39604</v>
      </c>
      <c r="Y123" s="44">
        <v>29575</v>
      </c>
      <c r="Z123" s="46">
        <v>1.28</v>
      </c>
      <c r="AA123" s="44">
        <v>41192</v>
      </c>
      <c r="AB123" s="44">
        <v>32098</v>
      </c>
      <c r="AD123" s="30"/>
    </row>
    <row r="124" spans="1:30" ht="10.5" customHeight="1" x14ac:dyDescent="0.15">
      <c r="A124" s="25" t="s">
        <v>153</v>
      </c>
      <c r="B124" s="47">
        <v>5</v>
      </c>
      <c r="C124" s="27">
        <v>9737</v>
      </c>
      <c r="D124" s="27">
        <v>24916</v>
      </c>
      <c r="E124" s="27">
        <v>24916</v>
      </c>
      <c r="F124" s="27">
        <v>24916</v>
      </c>
      <c r="G124" s="27">
        <v>121719</v>
      </c>
      <c r="H124" s="29">
        <v>0.20499999999999999</v>
      </c>
      <c r="I124" s="29">
        <v>0.20499999999999999</v>
      </c>
      <c r="J124" s="29">
        <v>0.20499999999999999</v>
      </c>
      <c r="K124" s="29"/>
      <c r="L124" s="29">
        <v>7.0000000000000007E-2</v>
      </c>
      <c r="M124" s="29">
        <v>8.5000000000000006E-2</v>
      </c>
      <c r="N124" s="29">
        <v>0.105</v>
      </c>
      <c r="O124" s="29">
        <v>7.9000000000000001E-2</v>
      </c>
      <c r="P124" s="27">
        <v>315028</v>
      </c>
      <c r="Q124" s="26">
        <v>6.63</v>
      </c>
      <c r="R124" s="27">
        <v>134635</v>
      </c>
      <c r="S124" s="27">
        <v>20303</v>
      </c>
      <c r="T124" s="26">
        <v>5.38</v>
      </c>
      <c r="U124" s="27">
        <v>128444</v>
      </c>
      <c r="V124" s="27">
        <v>23885</v>
      </c>
      <c r="W124" s="26">
        <v>5.81</v>
      </c>
      <c r="X124" s="27">
        <v>130279</v>
      </c>
      <c r="Y124" s="27">
        <v>22418</v>
      </c>
      <c r="Z124" s="26">
        <v>5.7</v>
      </c>
      <c r="AA124" s="27">
        <v>134853</v>
      </c>
      <c r="AB124" s="27">
        <v>23658</v>
      </c>
      <c r="AD124" s="30"/>
    </row>
    <row r="125" spans="1:30" ht="10.5" customHeight="1" x14ac:dyDescent="0.15">
      <c r="A125" s="24" t="s">
        <v>145</v>
      </c>
      <c r="B125" s="43">
        <v>5</v>
      </c>
      <c r="C125" s="44">
        <v>3257</v>
      </c>
      <c r="D125" s="44">
        <v>17974</v>
      </c>
      <c r="E125" s="44">
        <v>17974</v>
      </c>
      <c r="F125" s="44">
        <v>17974</v>
      </c>
      <c r="G125" s="44">
        <v>40707</v>
      </c>
      <c r="H125" s="45">
        <v>0.442</v>
      </c>
      <c r="I125" s="45">
        <v>0.442</v>
      </c>
      <c r="J125" s="45">
        <v>0.442</v>
      </c>
      <c r="K125" s="45"/>
      <c r="L125" s="45">
        <v>7.0000000000000007E-2</v>
      </c>
      <c r="M125" s="45">
        <v>8.5000000000000006E-2</v>
      </c>
      <c r="N125" s="45">
        <v>0.105</v>
      </c>
      <c r="O125" s="45">
        <v>0.89700000000000002</v>
      </c>
      <c r="P125" s="44">
        <v>20031</v>
      </c>
      <c r="Q125" s="33" t="s">
        <v>201</v>
      </c>
      <c r="R125" s="34" t="s">
        <v>201</v>
      </c>
      <c r="S125" s="34" t="s">
        <v>201</v>
      </c>
      <c r="T125" s="33" t="s">
        <v>201</v>
      </c>
      <c r="U125" s="34" t="s">
        <v>201</v>
      </c>
      <c r="V125" s="34" t="s">
        <v>201</v>
      </c>
      <c r="W125" s="33" t="s">
        <v>201</v>
      </c>
      <c r="X125" s="34" t="s">
        <v>201</v>
      </c>
      <c r="Y125" s="34" t="s">
        <v>201</v>
      </c>
      <c r="Z125" s="33" t="s">
        <v>201</v>
      </c>
      <c r="AA125" s="34" t="s">
        <v>201</v>
      </c>
      <c r="AB125" s="34" t="s">
        <v>201</v>
      </c>
      <c r="AD125" s="30"/>
    </row>
    <row r="126" spans="1:30" ht="10.5" customHeight="1" x14ac:dyDescent="0.15">
      <c r="A126" s="25" t="s">
        <v>50</v>
      </c>
      <c r="B126" s="47">
        <v>4</v>
      </c>
      <c r="C126" s="27">
        <v>30675</v>
      </c>
      <c r="D126" s="27">
        <v>63133</v>
      </c>
      <c r="E126" s="27">
        <v>63133</v>
      </c>
      <c r="F126" s="27">
        <v>63133</v>
      </c>
      <c r="G126" s="27">
        <v>383438</v>
      </c>
      <c r="H126" s="29">
        <v>0.16500000000000001</v>
      </c>
      <c r="I126" s="29">
        <v>0.16500000000000001</v>
      </c>
      <c r="J126" s="29">
        <v>0.16500000000000001</v>
      </c>
      <c r="K126" s="29"/>
      <c r="L126" s="29">
        <v>7.3999999999999996E-2</v>
      </c>
      <c r="M126" s="29">
        <v>0.09</v>
      </c>
      <c r="N126" s="29">
        <v>0.112</v>
      </c>
      <c r="O126" s="29">
        <v>7.0000000000000007E-2</v>
      </c>
      <c r="P126" s="27">
        <v>905783</v>
      </c>
      <c r="Q126" s="26">
        <v>2.34</v>
      </c>
      <c r="R126" s="27">
        <v>250081</v>
      </c>
      <c r="S126" s="27">
        <v>106874</v>
      </c>
      <c r="T126" s="26">
        <v>2.31</v>
      </c>
      <c r="U126" s="27">
        <v>310089</v>
      </c>
      <c r="V126" s="27">
        <v>134454</v>
      </c>
      <c r="W126" s="26">
        <v>1.98</v>
      </c>
      <c r="X126" s="27">
        <v>305990</v>
      </c>
      <c r="Y126" s="27">
        <v>154332</v>
      </c>
      <c r="Z126" s="26">
        <v>1.82</v>
      </c>
      <c r="AA126" s="27">
        <v>312316</v>
      </c>
      <c r="AB126" s="27">
        <v>171139</v>
      </c>
      <c r="AD126" s="30"/>
    </row>
    <row r="127" spans="1:30" ht="10.5" customHeight="1" x14ac:dyDescent="0.15">
      <c r="A127" s="24" t="s">
        <v>52</v>
      </c>
      <c r="B127" s="43">
        <v>4</v>
      </c>
      <c r="C127" s="44">
        <v>126003</v>
      </c>
      <c r="D127" s="44">
        <v>395476</v>
      </c>
      <c r="E127" s="44">
        <v>395476</v>
      </c>
      <c r="F127" s="44">
        <v>395476</v>
      </c>
      <c r="G127" s="44">
        <v>1575038</v>
      </c>
      <c r="H127" s="45">
        <v>0.251</v>
      </c>
      <c r="I127" s="45">
        <v>0.251</v>
      </c>
      <c r="J127" s="45">
        <v>0.251</v>
      </c>
      <c r="K127" s="45"/>
      <c r="L127" s="45">
        <v>7.3999999999999996E-2</v>
      </c>
      <c r="M127" s="45">
        <v>0.09</v>
      </c>
      <c r="N127" s="45">
        <v>0.112</v>
      </c>
      <c r="O127" s="45">
        <v>0.14499999999999999</v>
      </c>
      <c r="P127" s="44">
        <v>2732002</v>
      </c>
      <c r="Q127" s="46">
        <v>1.97</v>
      </c>
      <c r="R127" s="44">
        <v>1028635</v>
      </c>
      <c r="S127" s="44">
        <v>523001</v>
      </c>
      <c r="T127" s="46">
        <v>1.86</v>
      </c>
      <c r="U127" s="44">
        <v>949759</v>
      </c>
      <c r="V127" s="44">
        <v>509302</v>
      </c>
      <c r="W127" s="46">
        <v>1.89</v>
      </c>
      <c r="X127" s="44">
        <v>939350</v>
      </c>
      <c r="Y127" s="44">
        <v>496203</v>
      </c>
      <c r="Z127" s="46">
        <v>1.86</v>
      </c>
      <c r="AA127" s="44">
        <v>923714</v>
      </c>
      <c r="AB127" s="44">
        <v>495742</v>
      </c>
      <c r="AD127" s="30"/>
    </row>
    <row r="128" spans="1:30" ht="10.5" customHeight="1" x14ac:dyDescent="0.15">
      <c r="A128" s="25" t="s">
        <v>64</v>
      </c>
      <c r="B128" s="47">
        <v>5</v>
      </c>
      <c r="C128" s="27">
        <v>6663</v>
      </c>
      <c r="D128" s="27">
        <v>49381</v>
      </c>
      <c r="E128" s="27">
        <v>49381</v>
      </c>
      <c r="F128" s="27">
        <v>49381</v>
      </c>
      <c r="G128" s="27">
        <v>83291</v>
      </c>
      <c r="H128" s="29">
        <v>0.59299999999999997</v>
      </c>
      <c r="I128" s="29">
        <v>0.59299999999999997</v>
      </c>
      <c r="J128" s="29">
        <v>0.59299999999999997</v>
      </c>
      <c r="K128" s="29"/>
      <c r="L128" s="29">
        <v>7.0000000000000007E-2</v>
      </c>
      <c r="M128" s="29">
        <v>8.5000000000000006E-2</v>
      </c>
      <c r="N128" s="29">
        <v>0.105</v>
      </c>
      <c r="O128" s="29">
        <v>0.18099999999999999</v>
      </c>
      <c r="P128" s="27">
        <v>273189</v>
      </c>
      <c r="Q128" s="26">
        <v>7.12</v>
      </c>
      <c r="R128" s="27">
        <v>198548</v>
      </c>
      <c r="S128" s="27">
        <v>27888</v>
      </c>
      <c r="T128" s="26">
        <v>5.7</v>
      </c>
      <c r="U128" s="27">
        <v>197991</v>
      </c>
      <c r="V128" s="27">
        <v>34759</v>
      </c>
      <c r="W128" s="26">
        <v>7.68</v>
      </c>
      <c r="X128" s="27">
        <v>204178</v>
      </c>
      <c r="Y128" s="27">
        <v>26591</v>
      </c>
      <c r="Z128" s="26">
        <v>9.8800000000000008</v>
      </c>
      <c r="AA128" s="27">
        <v>210562</v>
      </c>
      <c r="AB128" s="27">
        <v>21310</v>
      </c>
      <c r="AD128" s="30"/>
    </row>
    <row r="129" spans="1:30" ht="10.5" customHeight="1" x14ac:dyDescent="0.15">
      <c r="A129" s="24" t="s">
        <v>36</v>
      </c>
      <c r="B129" s="43">
        <v>4</v>
      </c>
      <c r="C129" s="44">
        <v>40198</v>
      </c>
      <c r="D129" s="44">
        <v>137386</v>
      </c>
      <c r="E129" s="44">
        <v>136470</v>
      </c>
      <c r="F129" s="44">
        <v>136470</v>
      </c>
      <c r="G129" s="44">
        <v>502475</v>
      </c>
      <c r="H129" s="45">
        <v>0.27200000000000002</v>
      </c>
      <c r="I129" s="45">
        <v>0.27200000000000002</v>
      </c>
      <c r="J129" s="45">
        <v>0.27300000000000002</v>
      </c>
      <c r="K129" s="45"/>
      <c r="L129" s="45">
        <v>7.3999999999999996E-2</v>
      </c>
      <c r="M129" s="45">
        <v>0.09</v>
      </c>
      <c r="N129" s="45">
        <v>0.112</v>
      </c>
      <c r="O129" s="45">
        <v>0.12</v>
      </c>
      <c r="P129" s="44">
        <v>1132895</v>
      </c>
      <c r="Q129" s="46">
        <v>1.67</v>
      </c>
      <c r="R129" s="44">
        <v>709342</v>
      </c>
      <c r="S129" s="44">
        <v>424392</v>
      </c>
      <c r="T129" s="46">
        <v>2</v>
      </c>
      <c r="U129" s="44">
        <v>679868</v>
      </c>
      <c r="V129" s="44">
        <v>340472</v>
      </c>
      <c r="W129" s="46">
        <v>2.21</v>
      </c>
      <c r="X129" s="44">
        <v>866935</v>
      </c>
      <c r="Y129" s="44">
        <v>391932</v>
      </c>
      <c r="Z129" s="46">
        <v>1.66</v>
      </c>
      <c r="AA129" s="44">
        <v>521914</v>
      </c>
      <c r="AB129" s="44">
        <v>313936</v>
      </c>
      <c r="AD129" s="30"/>
    </row>
    <row r="130" spans="1:30" ht="10.5" customHeight="1" x14ac:dyDescent="0.15">
      <c r="A130" s="25" t="s">
        <v>137</v>
      </c>
      <c r="B130" s="47">
        <v>5</v>
      </c>
      <c r="C130" s="27">
        <v>40192</v>
      </c>
      <c r="D130" s="27">
        <v>172686</v>
      </c>
      <c r="E130" s="27">
        <v>147686</v>
      </c>
      <c r="F130" s="27">
        <v>147686</v>
      </c>
      <c r="G130" s="27">
        <v>502406</v>
      </c>
      <c r="H130" s="29">
        <v>0.29399999999999998</v>
      </c>
      <c r="I130" s="29">
        <v>0.29399999999999998</v>
      </c>
      <c r="J130" s="29">
        <v>0.34399999999999997</v>
      </c>
      <c r="K130" s="29"/>
      <c r="L130" s="29">
        <v>7.0000000000000007E-2</v>
      </c>
      <c r="M130" s="29">
        <v>8.5000000000000006E-2</v>
      </c>
      <c r="N130" s="29">
        <v>0.105</v>
      </c>
      <c r="O130" s="29">
        <v>0.14799999999999999</v>
      </c>
      <c r="P130" s="27">
        <v>996222</v>
      </c>
      <c r="Q130" s="26">
        <v>5.29</v>
      </c>
      <c r="R130" s="27">
        <v>57784</v>
      </c>
      <c r="S130" s="27">
        <v>10928</v>
      </c>
      <c r="T130" s="26">
        <v>6.34</v>
      </c>
      <c r="U130" s="27">
        <v>59329</v>
      </c>
      <c r="V130" s="27">
        <v>9359</v>
      </c>
      <c r="W130" s="26">
        <v>6.7</v>
      </c>
      <c r="X130" s="27">
        <v>62871</v>
      </c>
      <c r="Y130" s="27">
        <v>9387</v>
      </c>
      <c r="Z130" s="26">
        <v>4.3499999999999996</v>
      </c>
      <c r="AA130" s="27">
        <v>54527</v>
      </c>
      <c r="AB130" s="27">
        <v>12548</v>
      </c>
      <c r="AD130" s="30"/>
    </row>
    <row r="131" spans="1:30" ht="10.5" customHeight="1" x14ac:dyDescent="0.15">
      <c r="A131" s="24" t="s">
        <v>103</v>
      </c>
      <c r="B131" s="43">
        <v>5</v>
      </c>
      <c r="C131" s="44">
        <v>739</v>
      </c>
      <c r="D131" s="44">
        <v>2835</v>
      </c>
      <c r="E131" s="44">
        <v>2835</v>
      </c>
      <c r="F131" s="44">
        <v>2835</v>
      </c>
      <c r="G131" s="44">
        <v>9232</v>
      </c>
      <c r="H131" s="45">
        <v>0.307</v>
      </c>
      <c r="I131" s="45">
        <v>0.307</v>
      </c>
      <c r="J131" s="45">
        <v>0.307</v>
      </c>
      <c r="K131" s="45"/>
      <c r="L131" s="45">
        <v>7.0000000000000007E-2</v>
      </c>
      <c r="M131" s="45">
        <v>8.5000000000000006E-2</v>
      </c>
      <c r="N131" s="45">
        <v>0.105</v>
      </c>
      <c r="O131" s="45">
        <v>0.36599999999999999</v>
      </c>
      <c r="P131" s="44">
        <v>7752</v>
      </c>
      <c r="Q131" s="33" t="s">
        <v>214</v>
      </c>
      <c r="R131" s="34" t="s">
        <v>214</v>
      </c>
      <c r="S131" s="34" t="s">
        <v>214</v>
      </c>
      <c r="T131" s="33" t="s">
        <v>214</v>
      </c>
      <c r="U131" s="34" t="s">
        <v>214</v>
      </c>
      <c r="V131" s="34" t="s">
        <v>214</v>
      </c>
      <c r="W131" s="33" t="s">
        <v>214</v>
      </c>
      <c r="X131" s="34" t="s">
        <v>214</v>
      </c>
      <c r="Y131" s="34" t="s">
        <v>214</v>
      </c>
      <c r="Z131" s="46">
        <v>42.3</v>
      </c>
      <c r="AA131" s="44">
        <v>4499</v>
      </c>
      <c r="AB131" s="44">
        <v>106</v>
      </c>
      <c r="AD131" s="30"/>
    </row>
    <row r="132" spans="1:30" ht="10.5" customHeight="1" x14ac:dyDescent="0.15">
      <c r="A132" s="25" t="s">
        <v>106</v>
      </c>
      <c r="B132" s="47">
        <v>5</v>
      </c>
      <c r="C132" s="27">
        <v>9885</v>
      </c>
      <c r="D132" s="27">
        <v>53747</v>
      </c>
      <c r="E132" s="27">
        <v>53747</v>
      </c>
      <c r="F132" s="27">
        <v>53747</v>
      </c>
      <c r="G132" s="27">
        <v>123565</v>
      </c>
      <c r="H132" s="29">
        <v>0.435</v>
      </c>
      <c r="I132" s="29">
        <v>0.435</v>
      </c>
      <c r="J132" s="29">
        <v>0.435</v>
      </c>
      <c r="K132" s="29"/>
      <c r="L132" s="29">
        <v>7.0000000000000007E-2</v>
      </c>
      <c r="M132" s="29">
        <v>8.5000000000000006E-2</v>
      </c>
      <c r="N132" s="29">
        <v>0.105</v>
      </c>
      <c r="O132" s="29">
        <v>0.24099999999999999</v>
      </c>
      <c r="P132" s="27">
        <v>223287</v>
      </c>
      <c r="Q132" s="26">
        <v>3.46</v>
      </c>
      <c r="R132" s="27">
        <v>95580</v>
      </c>
      <c r="S132" s="27">
        <v>27591</v>
      </c>
      <c r="T132" s="26">
        <v>4.9800000000000004</v>
      </c>
      <c r="U132" s="27">
        <v>148298</v>
      </c>
      <c r="V132" s="27">
        <v>29795</v>
      </c>
      <c r="W132" s="26">
        <v>5.44</v>
      </c>
      <c r="X132" s="27">
        <v>147071</v>
      </c>
      <c r="Y132" s="27">
        <v>27058</v>
      </c>
      <c r="Z132" s="26">
        <v>4.51</v>
      </c>
      <c r="AA132" s="27">
        <v>162289</v>
      </c>
      <c r="AB132" s="27">
        <v>35976</v>
      </c>
      <c r="AD132" s="30"/>
    </row>
    <row r="133" spans="1:30" ht="10.5" customHeight="1" x14ac:dyDescent="0.15">
      <c r="A133" s="24" t="s">
        <v>205</v>
      </c>
      <c r="B133" s="43">
        <v>5</v>
      </c>
      <c r="C133" s="44">
        <v>6656</v>
      </c>
      <c r="D133" s="44">
        <v>33735</v>
      </c>
      <c r="E133" s="44">
        <v>33735</v>
      </c>
      <c r="F133" s="44">
        <v>33735</v>
      </c>
      <c r="G133" s="44">
        <v>83202</v>
      </c>
      <c r="H133" s="45">
        <v>0.40500000000000003</v>
      </c>
      <c r="I133" s="45">
        <v>0.40500000000000003</v>
      </c>
      <c r="J133" s="45">
        <v>0.40500000000000003</v>
      </c>
      <c r="K133" s="45"/>
      <c r="L133" s="45">
        <v>7.0000000000000007E-2</v>
      </c>
      <c r="M133" s="45">
        <v>8.5000000000000006E-2</v>
      </c>
      <c r="N133" s="45">
        <v>0.105</v>
      </c>
      <c r="O133" s="45">
        <v>0.219</v>
      </c>
      <c r="P133" s="44">
        <v>154249</v>
      </c>
      <c r="Q133" s="46">
        <v>1.9</v>
      </c>
      <c r="R133" s="44">
        <v>112182</v>
      </c>
      <c r="S133" s="44">
        <v>59072</v>
      </c>
      <c r="T133" s="46">
        <v>3.29</v>
      </c>
      <c r="U133" s="44">
        <v>137295</v>
      </c>
      <c r="V133" s="44">
        <v>41778</v>
      </c>
      <c r="W133" s="46">
        <v>5.59</v>
      </c>
      <c r="X133" s="44">
        <v>126842</v>
      </c>
      <c r="Y133" s="44">
        <v>22709</v>
      </c>
      <c r="Z133" s="46">
        <v>2.13</v>
      </c>
      <c r="AA133" s="44">
        <v>92468</v>
      </c>
      <c r="AB133" s="44">
        <v>43419</v>
      </c>
      <c r="AD133" s="30"/>
    </row>
    <row r="134" spans="1:30" ht="10.5" customHeight="1" x14ac:dyDescent="0.15">
      <c r="A134" s="25" t="s">
        <v>32</v>
      </c>
      <c r="B134" s="47">
        <v>4</v>
      </c>
      <c r="C134" s="27">
        <v>119635</v>
      </c>
      <c r="D134" s="27">
        <v>254670</v>
      </c>
      <c r="E134" s="27">
        <v>242052</v>
      </c>
      <c r="F134" s="27">
        <v>242052</v>
      </c>
      <c r="G134" s="27">
        <v>1495432</v>
      </c>
      <c r="H134" s="29">
        <v>0.16200000000000001</v>
      </c>
      <c r="I134" s="29">
        <v>0.16200000000000001</v>
      </c>
      <c r="J134" s="29">
        <v>0.17</v>
      </c>
      <c r="K134" s="29"/>
      <c r="L134" s="29">
        <v>7.3999999999999996E-2</v>
      </c>
      <c r="M134" s="29">
        <v>0.09</v>
      </c>
      <c r="N134" s="29">
        <v>0.112</v>
      </c>
      <c r="O134" s="29">
        <v>8.4000000000000005E-2</v>
      </c>
      <c r="P134" s="27">
        <v>2865638</v>
      </c>
      <c r="Q134" s="26">
        <v>1.45</v>
      </c>
      <c r="R134" s="27">
        <v>394915</v>
      </c>
      <c r="S134" s="27">
        <v>272979</v>
      </c>
      <c r="T134" s="26">
        <v>1.58</v>
      </c>
      <c r="U134" s="27">
        <v>445484</v>
      </c>
      <c r="V134" s="27">
        <v>281104</v>
      </c>
      <c r="W134" s="26">
        <v>1.63</v>
      </c>
      <c r="X134" s="27">
        <v>464590</v>
      </c>
      <c r="Y134" s="27">
        <v>284206</v>
      </c>
      <c r="Z134" s="26">
        <v>1.61</v>
      </c>
      <c r="AA134" s="27">
        <v>463210</v>
      </c>
      <c r="AB134" s="27">
        <v>287272</v>
      </c>
      <c r="AD134" s="30"/>
    </row>
    <row r="135" spans="1:30" ht="10.5" customHeight="1" x14ac:dyDescent="0.15">
      <c r="A135" s="24" t="s">
        <v>154</v>
      </c>
      <c r="B135" s="43">
        <v>5</v>
      </c>
      <c r="C135" s="44">
        <v>1065</v>
      </c>
      <c r="D135" s="44">
        <v>4485</v>
      </c>
      <c r="E135" s="44">
        <v>4485</v>
      </c>
      <c r="F135" s="44">
        <v>4485</v>
      </c>
      <c r="G135" s="44">
        <v>13314</v>
      </c>
      <c r="H135" s="45">
        <v>0.33700000000000002</v>
      </c>
      <c r="I135" s="45">
        <v>0.33700000000000002</v>
      </c>
      <c r="J135" s="45">
        <v>0.33700000000000002</v>
      </c>
      <c r="K135" s="45"/>
      <c r="L135" s="45">
        <v>7.0000000000000007E-2</v>
      </c>
      <c r="M135" s="45">
        <v>8.5000000000000006E-2</v>
      </c>
      <c r="N135" s="45">
        <v>0.105</v>
      </c>
      <c r="O135" s="45">
        <v>0.157</v>
      </c>
      <c r="P135" s="44">
        <v>28485</v>
      </c>
      <c r="Q135" s="33" t="s">
        <v>214</v>
      </c>
      <c r="R135" s="34" t="s">
        <v>214</v>
      </c>
      <c r="S135" s="34" t="s">
        <v>214</v>
      </c>
      <c r="T135" s="33" t="s">
        <v>214</v>
      </c>
      <c r="U135" s="34" t="s">
        <v>214</v>
      </c>
      <c r="V135" s="34" t="s">
        <v>214</v>
      </c>
      <c r="W135" s="33" t="s">
        <v>214</v>
      </c>
      <c r="X135" s="34" t="s">
        <v>214</v>
      </c>
      <c r="Y135" s="34" t="s">
        <v>214</v>
      </c>
      <c r="Z135" s="46">
        <v>1.94</v>
      </c>
      <c r="AA135" s="44">
        <v>17128</v>
      </c>
      <c r="AB135" s="44">
        <v>8808</v>
      </c>
      <c r="AD135" s="30"/>
    </row>
    <row r="136" spans="1:30" ht="10.5" customHeight="1" x14ac:dyDescent="0.15">
      <c r="A136" s="25" t="s">
        <v>58</v>
      </c>
      <c r="B136" s="47">
        <v>5</v>
      </c>
      <c r="C136" s="27">
        <v>42470</v>
      </c>
      <c r="D136" s="27">
        <v>95715</v>
      </c>
      <c r="E136" s="27">
        <v>70418</v>
      </c>
      <c r="F136" s="27">
        <v>95528</v>
      </c>
      <c r="G136" s="27">
        <v>530875</v>
      </c>
      <c r="H136" s="29">
        <v>0.13300000000000001</v>
      </c>
      <c r="I136" s="29">
        <v>0.18</v>
      </c>
      <c r="J136" s="29">
        <v>0.18</v>
      </c>
      <c r="K136" s="29"/>
      <c r="L136" s="29">
        <v>7.0000000000000007E-2</v>
      </c>
      <c r="M136" s="29">
        <v>8.5000000000000006E-2</v>
      </c>
      <c r="N136" s="29">
        <v>0.105</v>
      </c>
      <c r="O136" s="29">
        <v>4.4999999999999998E-2</v>
      </c>
      <c r="P136" s="27">
        <v>2118125</v>
      </c>
      <c r="Q136" s="26">
        <v>1.84</v>
      </c>
      <c r="R136" s="27">
        <v>242553</v>
      </c>
      <c r="S136" s="27">
        <v>131967</v>
      </c>
      <c r="T136" s="26">
        <v>2.08</v>
      </c>
      <c r="U136" s="27">
        <v>296607</v>
      </c>
      <c r="V136" s="27">
        <v>142935</v>
      </c>
      <c r="W136" s="26">
        <v>2.37</v>
      </c>
      <c r="X136" s="27">
        <v>358615</v>
      </c>
      <c r="Y136" s="27">
        <v>151336</v>
      </c>
      <c r="Z136" s="26">
        <v>2.2599999999999998</v>
      </c>
      <c r="AA136" s="27">
        <v>359619</v>
      </c>
      <c r="AB136" s="27">
        <v>158930</v>
      </c>
      <c r="AD136" s="30"/>
    </row>
    <row r="137" spans="1:30" ht="10.5" customHeight="1" x14ac:dyDescent="0.15">
      <c r="A137" s="24" t="s">
        <v>53</v>
      </c>
      <c r="B137" s="43">
        <v>4</v>
      </c>
      <c r="C137" s="44">
        <v>77816</v>
      </c>
      <c r="D137" s="44">
        <v>226506</v>
      </c>
      <c r="E137" s="44">
        <v>226506</v>
      </c>
      <c r="F137" s="44">
        <v>226506</v>
      </c>
      <c r="G137" s="44">
        <v>972701</v>
      </c>
      <c r="H137" s="45">
        <v>0.23300000000000001</v>
      </c>
      <c r="I137" s="45">
        <v>0.23300000000000001</v>
      </c>
      <c r="J137" s="45">
        <v>0.23300000000000001</v>
      </c>
      <c r="K137" s="45"/>
      <c r="L137" s="45">
        <v>7.3999999999999996E-2</v>
      </c>
      <c r="M137" s="45">
        <v>0.09</v>
      </c>
      <c r="N137" s="45">
        <v>0.112</v>
      </c>
      <c r="O137" s="45">
        <v>0.111</v>
      </c>
      <c r="P137" s="44">
        <v>2044795</v>
      </c>
      <c r="Q137" s="46">
        <v>1.33</v>
      </c>
      <c r="R137" s="44">
        <v>2579812</v>
      </c>
      <c r="S137" s="44">
        <v>1936632</v>
      </c>
      <c r="T137" s="46">
        <v>1.33</v>
      </c>
      <c r="U137" s="44">
        <v>2602904</v>
      </c>
      <c r="V137" s="44">
        <v>1956479</v>
      </c>
      <c r="W137" s="46">
        <v>1.37</v>
      </c>
      <c r="X137" s="44">
        <v>2854410</v>
      </c>
      <c r="Y137" s="44">
        <v>2077531</v>
      </c>
      <c r="Z137" s="46">
        <v>1.42</v>
      </c>
      <c r="AA137" s="44">
        <v>3050418</v>
      </c>
      <c r="AB137" s="44">
        <v>2150514</v>
      </c>
      <c r="AD137" s="30"/>
    </row>
    <row r="138" spans="1:30" ht="10.5" customHeight="1" x14ac:dyDescent="0.15">
      <c r="A138" s="25" t="s">
        <v>206</v>
      </c>
      <c r="B138" s="47">
        <v>5</v>
      </c>
      <c r="C138" s="27">
        <v>17289</v>
      </c>
      <c r="D138" s="27">
        <v>84925</v>
      </c>
      <c r="E138" s="27">
        <v>84925</v>
      </c>
      <c r="F138" s="27">
        <v>84925</v>
      </c>
      <c r="G138" s="27">
        <v>216110</v>
      </c>
      <c r="H138" s="29">
        <v>0.39300000000000002</v>
      </c>
      <c r="I138" s="29">
        <v>0.39300000000000002</v>
      </c>
      <c r="J138" s="29">
        <v>0.39300000000000002</v>
      </c>
      <c r="K138" s="29"/>
      <c r="L138" s="29">
        <v>7.0000000000000007E-2</v>
      </c>
      <c r="M138" s="29">
        <v>8.5000000000000006E-2</v>
      </c>
      <c r="N138" s="29">
        <v>0.105</v>
      </c>
      <c r="O138" s="29">
        <v>0.32400000000000001</v>
      </c>
      <c r="P138" s="27">
        <v>262042</v>
      </c>
      <c r="Q138" s="31" t="s">
        <v>201</v>
      </c>
      <c r="R138" s="32" t="s">
        <v>201</v>
      </c>
      <c r="S138" s="32" t="s">
        <v>201</v>
      </c>
      <c r="T138" s="31" t="s">
        <v>201</v>
      </c>
      <c r="U138" s="32" t="s">
        <v>201</v>
      </c>
      <c r="V138" s="32" t="s">
        <v>201</v>
      </c>
      <c r="W138" s="31" t="s">
        <v>201</v>
      </c>
      <c r="X138" s="32" t="s">
        <v>201</v>
      </c>
      <c r="Y138" s="32" t="s">
        <v>201</v>
      </c>
      <c r="Z138" s="31" t="s">
        <v>201</v>
      </c>
      <c r="AA138" s="32" t="s">
        <v>201</v>
      </c>
      <c r="AB138" s="32" t="s">
        <v>201</v>
      </c>
      <c r="AD138" s="30"/>
    </row>
    <row r="139" spans="1:30" ht="10.5" customHeight="1" x14ac:dyDescent="0.15">
      <c r="A139" s="24" t="s">
        <v>84</v>
      </c>
      <c r="B139" s="43">
        <v>5</v>
      </c>
      <c r="C139" s="44">
        <v>12218</v>
      </c>
      <c r="D139" s="44">
        <v>60859</v>
      </c>
      <c r="E139" s="44">
        <v>60859</v>
      </c>
      <c r="F139" s="44">
        <v>60859</v>
      </c>
      <c r="G139" s="44">
        <v>152729</v>
      </c>
      <c r="H139" s="45">
        <v>0.39800000000000002</v>
      </c>
      <c r="I139" s="45">
        <v>0.39800000000000002</v>
      </c>
      <c r="J139" s="45">
        <v>0.39800000000000002</v>
      </c>
      <c r="K139" s="45"/>
      <c r="L139" s="45">
        <v>7.0000000000000007E-2</v>
      </c>
      <c r="M139" s="45">
        <v>8.5000000000000006E-2</v>
      </c>
      <c r="N139" s="45">
        <v>0.105</v>
      </c>
      <c r="O139" s="45">
        <v>7.6999999999999999E-2</v>
      </c>
      <c r="P139" s="44">
        <v>788126</v>
      </c>
      <c r="Q139" s="46">
        <v>1.71</v>
      </c>
      <c r="R139" s="44">
        <v>502421</v>
      </c>
      <c r="S139" s="44">
        <v>293911</v>
      </c>
      <c r="T139" s="46">
        <v>1.38</v>
      </c>
      <c r="U139" s="44">
        <v>568318</v>
      </c>
      <c r="V139" s="44">
        <v>411991</v>
      </c>
      <c r="W139" s="46">
        <v>1.42</v>
      </c>
      <c r="X139" s="44">
        <v>541976</v>
      </c>
      <c r="Y139" s="44">
        <v>382988</v>
      </c>
      <c r="Z139" s="46">
        <v>1.7</v>
      </c>
      <c r="AA139" s="44">
        <v>517693</v>
      </c>
      <c r="AB139" s="44">
        <v>303718</v>
      </c>
      <c r="AD139" s="30"/>
    </row>
    <row r="140" spans="1:30" ht="10.5" customHeight="1" x14ac:dyDescent="0.15">
      <c r="A140" s="25" t="s">
        <v>55</v>
      </c>
      <c r="B140" s="47">
        <v>5</v>
      </c>
      <c r="C140" s="27">
        <v>48738</v>
      </c>
      <c r="D140" s="27">
        <v>121828</v>
      </c>
      <c r="E140" s="27">
        <v>121828</v>
      </c>
      <c r="F140" s="27">
        <v>121828</v>
      </c>
      <c r="G140" s="27">
        <v>609229</v>
      </c>
      <c r="H140" s="29">
        <v>0.2</v>
      </c>
      <c r="I140" s="29">
        <v>0.2</v>
      </c>
      <c r="J140" s="29">
        <v>0.2</v>
      </c>
      <c r="K140" s="29"/>
      <c r="L140" s="29">
        <v>7.0000000000000007E-2</v>
      </c>
      <c r="M140" s="29">
        <v>8.5000000000000006E-2</v>
      </c>
      <c r="N140" s="29">
        <v>0.105</v>
      </c>
      <c r="O140" s="29">
        <v>9.1999999999999998E-2</v>
      </c>
      <c r="P140" s="27">
        <v>1327076</v>
      </c>
      <c r="Q140" s="26">
        <v>1.41</v>
      </c>
      <c r="R140" s="27">
        <v>217594</v>
      </c>
      <c r="S140" s="27">
        <v>153808</v>
      </c>
      <c r="T140" s="26">
        <v>1.54</v>
      </c>
      <c r="U140" s="27">
        <v>243397</v>
      </c>
      <c r="V140" s="27">
        <v>157974</v>
      </c>
      <c r="W140" s="26">
        <v>1.57</v>
      </c>
      <c r="X140" s="27">
        <v>256434</v>
      </c>
      <c r="Y140" s="27">
        <v>163200</v>
      </c>
      <c r="Z140" s="26">
        <v>1.5</v>
      </c>
      <c r="AA140" s="27">
        <v>288223</v>
      </c>
      <c r="AB140" s="27">
        <v>192103</v>
      </c>
      <c r="AD140" s="30"/>
    </row>
    <row r="141" spans="1:30" ht="10.5" customHeight="1" x14ac:dyDescent="0.15">
      <c r="A141" s="24" t="s">
        <v>98</v>
      </c>
      <c r="B141" s="43">
        <v>5</v>
      </c>
      <c r="C141" s="44">
        <v>128609</v>
      </c>
      <c r="D141" s="44">
        <v>571620</v>
      </c>
      <c r="E141" s="44">
        <v>571174</v>
      </c>
      <c r="F141" s="44">
        <v>571174</v>
      </c>
      <c r="G141" s="44">
        <v>1607612</v>
      </c>
      <c r="H141" s="45">
        <v>0.35499999999999998</v>
      </c>
      <c r="I141" s="45">
        <v>0.35499999999999998</v>
      </c>
      <c r="J141" s="45">
        <v>0.35599999999999998</v>
      </c>
      <c r="K141" s="45"/>
      <c r="L141" s="45">
        <v>7.0000000000000007E-2</v>
      </c>
      <c r="M141" s="45">
        <v>8.5000000000000006E-2</v>
      </c>
      <c r="N141" s="45">
        <v>0.105</v>
      </c>
      <c r="O141" s="45">
        <v>0.33400000000000002</v>
      </c>
      <c r="P141" s="44">
        <v>1709701</v>
      </c>
      <c r="Q141" s="46">
        <v>1.43</v>
      </c>
      <c r="R141" s="44">
        <v>947040</v>
      </c>
      <c r="S141" s="44">
        <v>662210</v>
      </c>
      <c r="T141" s="46">
        <v>1.55</v>
      </c>
      <c r="U141" s="44">
        <v>910868</v>
      </c>
      <c r="V141" s="44">
        <v>589434</v>
      </c>
      <c r="W141" s="46">
        <v>1.59</v>
      </c>
      <c r="X141" s="44">
        <v>821897</v>
      </c>
      <c r="Y141" s="44">
        <v>518243</v>
      </c>
      <c r="Z141" s="46">
        <v>1.45</v>
      </c>
      <c r="AA141" s="44">
        <v>773503</v>
      </c>
      <c r="AB141" s="44">
        <v>534236</v>
      </c>
      <c r="AD141" s="30"/>
    </row>
    <row r="142" spans="1:30" ht="10.5" customHeight="1" x14ac:dyDescent="0.15">
      <c r="A142" s="25" t="s">
        <v>28</v>
      </c>
      <c r="B142" s="47">
        <v>4</v>
      </c>
      <c r="C142" s="27">
        <v>316217</v>
      </c>
      <c r="D142" s="27">
        <v>1052032</v>
      </c>
      <c r="E142" s="27">
        <v>1036184</v>
      </c>
      <c r="F142" s="27">
        <v>1036184</v>
      </c>
      <c r="G142" s="27">
        <v>3952707</v>
      </c>
      <c r="H142" s="29">
        <v>0.26200000000000001</v>
      </c>
      <c r="I142" s="29">
        <v>0.26200000000000001</v>
      </c>
      <c r="J142" s="29">
        <v>0.26600000000000001</v>
      </c>
      <c r="K142" s="29"/>
      <c r="L142" s="29">
        <v>7.3999999999999996E-2</v>
      </c>
      <c r="M142" s="29">
        <v>0.09</v>
      </c>
      <c r="N142" s="29">
        <v>0.112</v>
      </c>
      <c r="O142" s="29">
        <v>0.11600000000000001</v>
      </c>
      <c r="P142" s="27">
        <v>8902420</v>
      </c>
      <c r="Q142" s="26">
        <v>1.27</v>
      </c>
      <c r="R142" s="27">
        <v>1246699</v>
      </c>
      <c r="S142" s="27">
        <v>979685</v>
      </c>
      <c r="T142" s="26">
        <v>1.43</v>
      </c>
      <c r="U142" s="27">
        <v>1485817</v>
      </c>
      <c r="V142" s="27">
        <v>1040294</v>
      </c>
      <c r="W142" s="26">
        <v>1.63</v>
      </c>
      <c r="X142" s="27">
        <v>1587819</v>
      </c>
      <c r="Y142" s="27">
        <v>976544</v>
      </c>
      <c r="Z142" s="26">
        <v>1.48</v>
      </c>
      <c r="AA142" s="27">
        <v>1579714</v>
      </c>
      <c r="AB142" s="27">
        <v>1064211</v>
      </c>
      <c r="AD142" s="30"/>
    </row>
    <row r="143" spans="1:30" ht="10.5" customHeight="1" x14ac:dyDescent="0.15">
      <c r="A143" s="24" t="s">
        <v>78</v>
      </c>
      <c r="B143" s="43">
        <v>5</v>
      </c>
      <c r="C143" s="44">
        <v>41500</v>
      </c>
      <c r="D143" s="44">
        <v>148826</v>
      </c>
      <c r="E143" s="44">
        <v>148826</v>
      </c>
      <c r="F143" s="44">
        <v>148826</v>
      </c>
      <c r="G143" s="44">
        <v>518750</v>
      </c>
      <c r="H143" s="45">
        <v>0.28699999999999998</v>
      </c>
      <c r="I143" s="45">
        <v>0.28699999999999998</v>
      </c>
      <c r="J143" s="45">
        <v>0.28699999999999998</v>
      </c>
      <c r="K143" s="45"/>
      <c r="L143" s="45">
        <v>7.0000000000000007E-2</v>
      </c>
      <c r="M143" s="45">
        <v>8.5000000000000006E-2</v>
      </c>
      <c r="N143" s="45">
        <v>0.105</v>
      </c>
      <c r="O143" s="45">
        <v>0.126</v>
      </c>
      <c r="P143" s="44">
        <v>1181235</v>
      </c>
      <c r="Q143" s="46">
        <v>3.94</v>
      </c>
      <c r="R143" s="44">
        <v>389486</v>
      </c>
      <c r="S143" s="44">
        <v>98755</v>
      </c>
      <c r="T143" s="46">
        <v>3.35</v>
      </c>
      <c r="U143" s="44">
        <v>443139</v>
      </c>
      <c r="V143" s="44">
        <v>132092</v>
      </c>
      <c r="W143" s="46">
        <v>2.87</v>
      </c>
      <c r="X143" s="44">
        <v>575171</v>
      </c>
      <c r="Y143" s="44">
        <v>200265</v>
      </c>
      <c r="Z143" s="46">
        <v>2.89</v>
      </c>
      <c r="AA143" s="44">
        <v>516741</v>
      </c>
      <c r="AB143" s="44">
        <v>178533</v>
      </c>
      <c r="AD143" s="30"/>
    </row>
    <row r="144" spans="1:30" ht="10.5" customHeight="1" x14ac:dyDescent="0.15">
      <c r="A144" s="25" t="s">
        <v>29</v>
      </c>
      <c r="B144" s="47">
        <v>3</v>
      </c>
      <c r="C144" s="27">
        <v>706988</v>
      </c>
      <c r="D144" s="27">
        <v>2053526</v>
      </c>
      <c r="E144" s="27">
        <v>1950873</v>
      </c>
      <c r="F144" s="27">
        <v>1950873</v>
      </c>
      <c r="G144" s="27">
        <v>8837347</v>
      </c>
      <c r="H144" s="29">
        <v>0.221</v>
      </c>
      <c r="I144" s="29">
        <v>0.221</v>
      </c>
      <c r="J144" s="29">
        <v>0.23200000000000001</v>
      </c>
      <c r="K144" s="29"/>
      <c r="L144" s="29">
        <v>7.8E-2</v>
      </c>
      <c r="M144" s="29">
        <v>9.6000000000000002E-2</v>
      </c>
      <c r="N144" s="29">
        <v>0.12</v>
      </c>
      <c r="O144" s="29">
        <v>9.7000000000000003E-2</v>
      </c>
      <c r="P144" s="27">
        <v>20197724</v>
      </c>
      <c r="Q144" s="26">
        <v>1.37</v>
      </c>
      <c r="R144" s="27">
        <v>2865851</v>
      </c>
      <c r="S144" s="27">
        <v>2092466</v>
      </c>
      <c r="T144" s="26">
        <v>1.48</v>
      </c>
      <c r="U144" s="27">
        <v>3584202</v>
      </c>
      <c r="V144" s="27">
        <v>2415647</v>
      </c>
      <c r="W144" s="26">
        <v>1.49</v>
      </c>
      <c r="X144" s="27">
        <v>3446043</v>
      </c>
      <c r="Y144" s="27">
        <v>2308464</v>
      </c>
      <c r="Z144" s="26">
        <v>1.53</v>
      </c>
      <c r="AA144" s="27">
        <v>3502200</v>
      </c>
      <c r="AB144" s="27">
        <v>2290867</v>
      </c>
      <c r="AD144" s="30"/>
    </row>
    <row r="145" spans="1:30" ht="10.5" customHeight="1" x14ac:dyDescent="0.15">
      <c r="A145" s="24" t="s">
        <v>93</v>
      </c>
      <c r="B145" s="43">
        <v>5</v>
      </c>
      <c r="C145" s="44">
        <v>12533</v>
      </c>
      <c r="D145" s="44">
        <v>92712</v>
      </c>
      <c r="E145" s="44">
        <v>84612</v>
      </c>
      <c r="F145" s="44">
        <v>84612</v>
      </c>
      <c r="G145" s="44">
        <v>156668</v>
      </c>
      <c r="H145" s="45">
        <v>0.54</v>
      </c>
      <c r="I145" s="45">
        <v>0.54</v>
      </c>
      <c r="J145" s="45">
        <v>0.59199999999999997</v>
      </c>
      <c r="K145" s="45"/>
      <c r="L145" s="45">
        <v>7.0000000000000007E-2</v>
      </c>
      <c r="M145" s="45">
        <v>8.5000000000000006E-2</v>
      </c>
      <c r="N145" s="45">
        <v>0.105</v>
      </c>
      <c r="O145" s="45">
        <v>0.249</v>
      </c>
      <c r="P145" s="44">
        <v>339933</v>
      </c>
      <c r="Q145" s="46">
        <v>7.63</v>
      </c>
      <c r="R145" s="44">
        <v>605923</v>
      </c>
      <c r="S145" s="44">
        <v>79365</v>
      </c>
      <c r="T145" s="46">
        <v>8.9700000000000006</v>
      </c>
      <c r="U145" s="44">
        <v>711970</v>
      </c>
      <c r="V145" s="44">
        <v>79352</v>
      </c>
      <c r="W145" s="46">
        <v>8.8000000000000007</v>
      </c>
      <c r="X145" s="44">
        <v>656512</v>
      </c>
      <c r="Y145" s="44">
        <v>74590</v>
      </c>
      <c r="Z145" s="46">
        <v>13.89</v>
      </c>
      <c r="AA145" s="44">
        <v>605184</v>
      </c>
      <c r="AB145" s="44">
        <v>43560</v>
      </c>
      <c r="AD145" s="30"/>
    </row>
    <row r="146" spans="1:30" ht="10.5" customHeight="1" x14ac:dyDescent="0.15">
      <c r="A146" s="25" t="s">
        <v>155</v>
      </c>
      <c r="B146" s="47">
        <v>5</v>
      </c>
      <c r="C146" s="27">
        <v>15540</v>
      </c>
      <c r="D146" s="27">
        <v>51788</v>
      </c>
      <c r="E146" s="27">
        <v>51788</v>
      </c>
      <c r="F146" s="27">
        <v>51788</v>
      </c>
      <c r="G146" s="27">
        <v>194249</v>
      </c>
      <c r="H146" s="29">
        <v>0.26700000000000002</v>
      </c>
      <c r="I146" s="29">
        <v>0.26700000000000002</v>
      </c>
      <c r="J146" s="29">
        <v>0.26700000000000002</v>
      </c>
      <c r="K146" s="29"/>
      <c r="L146" s="29">
        <v>7.0000000000000007E-2</v>
      </c>
      <c r="M146" s="29">
        <v>8.5000000000000006E-2</v>
      </c>
      <c r="N146" s="29">
        <v>0.105</v>
      </c>
      <c r="O146" s="29">
        <v>0.41699999999999998</v>
      </c>
      <c r="P146" s="27">
        <v>124304</v>
      </c>
      <c r="Q146" s="26">
        <v>7.98</v>
      </c>
      <c r="R146" s="27">
        <v>46893</v>
      </c>
      <c r="S146" s="27">
        <v>5878</v>
      </c>
      <c r="T146" s="26">
        <v>7.23</v>
      </c>
      <c r="U146" s="27">
        <v>40200</v>
      </c>
      <c r="V146" s="27">
        <v>5559</v>
      </c>
      <c r="W146" s="26">
        <v>2.81</v>
      </c>
      <c r="X146" s="27">
        <v>17278</v>
      </c>
      <c r="Y146" s="27">
        <v>6152</v>
      </c>
      <c r="Z146" s="26">
        <v>3.56</v>
      </c>
      <c r="AA146" s="27">
        <v>20096</v>
      </c>
      <c r="AB146" s="27">
        <v>5649</v>
      </c>
      <c r="AD146" s="30"/>
    </row>
    <row r="147" spans="1:30" ht="10.5" customHeight="1" x14ac:dyDescent="0.15">
      <c r="A147" s="24" t="s">
        <v>118</v>
      </c>
      <c r="B147" s="43">
        <v>5</v>
      </c>
      <c r="C147" s="44">
        <v>42758</v>
      </c>
      <c r="D147" s="44">
        <v>93755</v>
      </c>
      <c r="E147" s="44">
        <v>92664</v>
      </c>
      <c r="F147" s="44">
        <v>92664</v>
      </c>
      <c r="G147" s="44">
        <v>534474</v>
      </c>
      <c r="H147" s="45">
        <v>0.17299999999999999</v>
      </c>
      <c r="I147" s="45">
        <v>0.17299999999999999</v>
      </c>
      <c r="J147" s="45">
        <v>0.17499999999999999</v>
      </c>
      <c r="K147" s="45"/>
      <c r="L147" s="45">
        <v>7.0000000000000007E-2</v>
      </c>
      <c r="M147" s="45">
        <v>8.5000000000000006E-2</v>
      </c>
      <c r="N147" s="45">
        <v>0.105</v>
      </c>
      <c r="O147" s="45">
        <v>7.8E-2</v>
      </c>
      <c r="P147" s="44">
        <v>1189939</v>
      </c>
      <c r="Q147" s="33" t="s">
        <v>201</v>
      </c>
      <c r="R147" s="34" t="s">
        <v>201</v>
      </c>
      <c r="S147" s="34" t="s">
        <v>201</v>
      </c>
      <c r="T147" s="33" t="s">
        <v>201</v>
      </c>
      <c r="U147" s="34" t="s">
        <v>201</v>
      </c>
      <c r="V147" s="34" t="s">
        <v>201</v>
      </c>
      <c r="W147" s="33" t="s">
        <v>201</v>
      </c>
      <c r="X147" s="34" t="s">
        <v>201</v>
      </c>
      <c r="Y147" s="34" t="s">
        <v>201</v>
      </c>
      <c r="Z147" s="33" t="s">
        <v>201</v>
      </c>
      <c r="AA147" s="34" t="s">
        <v>201</v>
      </c>
      <c r="AB147" s="34" t="s">
        <v>201</v>
      </c>
      <c r="AD147" s="30"/>
    </row>
    <row r="148" spans="1:30" ht="10.5" customHeight="1" x14ac:dyDescent="0.15">
      <c r="A148" s="25" t="s">
        <v>57</v>
      </c>
      <c r="B148" s="47">
        <v>5</v>
      </c>
      <c r="C148" s="27">
        <v>822</v>
      </c>
      <c r="D148" s="27">
        <v>1975</v>
      </c>
      <c r="E148" s="27">
        <v>1975</v>
      </c>
      <c r="F148" s="27">
        <v>1975</v>
      </c>
      <c r="G148" s="27">
        <v>10278</v>
      </c>
      <c r="H148" s="29">
        <v>0.192</v>
      </c>
      <c r="I148" s="29">
        <v>0.192</v>
      </c>
      <c r="J148" s="29">
        <v>0.192</v>
      </c>
      <c r="K148" s="29"/>
      <c r="L148" s="29">
        <v>7.0000000000000007E-2</v>
      </c>
      <c r="M148" s="29">
        <v>8.5000000000000006E-2</v>
      </c>
      <c r="N148" s="29">
        <v>0.105</v>
      </c>
      <c r="O148" s="29">
        <v>4.8000000000000001E-2</v>
      </c>
      <c r="P148" s="27">
        <v>41061</v>
      </c>
      <c r="Q148" s="31" t="s">
        <v>214</v>
      </c>
      <c r="R148" s="32" t="s">
        <v>214</v>
      </c>
      <c r="S148" s="32" t="s">
        <v>214</v>
      </c>
      <c r="T148" s="31" t="s">
        <v>214</v>
      </c>
      <c r="U148" s="32" t="s">
        <v>214</v>
      </c>
      <c r="V148" s="32" t="s">
        <v>214</v>
      </c>
      <c r="W148" s="31" t="s">
        <v>214</v>
      </c>
      <c r="X148" s="32" t="s">
        <v>214</v>
      </c>
      <c r="Y148" s="32" t="s">
        <v>214</v>
      </c>
      <c r="Z148" s="26">
        <v>3.49</v>
      </c>
      <c r="AA148" s="27">
        <v>22740</v>
      </c>
      <c r="AB148" s="27">
        <v>6522</v>
      </c>
      <c r="AD148" s="30"/>
    </row>
    <row r="149" spans="1:30" ht="10.5" customHeight="1" x14ac:dyDescent="0.15">
      <c r="A149" s="24" t="s">
        <v>94</v>
      </c>
      <c r="B149" s="43">
        <v>4</v>
      </c>
      <c r="C149" s="44">
        <v>132135</v>
      </c>
      <c r="D149" s="44">
        <v>458555</v>
      </c>
      <c r="E149" s="44">
        <v>458555</v>
      </c>
      <c r="F149" s="44">
        <v>458555</v>
      </c>
      <c r="G149" s="44">
        <v>1651692</v>
      </c>
      <c r="H149" s="45">
        <v>0.27800000000000002</v>
      </c>
      <c r="I149" s="45">
        <v>0.27800000000000002</v>
      </c>
      <c r="J149" s="45">
        <v>0.27800000000000002</v>
      </c>
      <c r="K149" s="45"/>
      <c r="L149" s="45">
        <v>7.3999999999999996E-2</v>
      </c>
      <c r="M149" s="45">
        <v>0.09</v>
      </c>
      <c r="N149" s="45">
        <v>0.112</v>
      </c>
      <c r="O149" s="45">
        <v>7.6999999999999999E-2</v>
      </c>
      <c r="P149" s="44">
        <v>5980079</v>
      </c>
      <c r="Q149" s="46">
        <v>1.39</v>
      </c>
      <c r="R149" s="44">
        <v>851090</v>
      </c>
      <c r="S149" s="44">
        <v>611422</v>
      </c>
      <c r="T149" s="46">
        <v>1.31</v>
      </c>
      <c r="U149" s="44">
        <v>759069</v>
      </c>
      <c r="V149" s="44">
        <v>578487</v>
      </c>
      <c r="W149" s="46">
        <v>1.57</v>
      </c>
      <c r="X149" s="44">
        <v>850723</v>
      </c>
      <c r="Y149" s="44">
        <v>543083</v>
      </c>
      <c r="Z149" s="46">
        <v>1.56</v>
      </c>
      <c r="AA149" s="44">
        <v>872955</v>
      </c>
      <c r="AB149" s="44">
        <v>560272</v>
      </c>
      <c r="AD149" s="30"/>
    </row>
    <row r="150" spans="1:30" ht="10.5" customHeight="1" x14ac:dyDescent="0.15">
      <c r="A150" s="25" t="s">
        <v>21</v>
      </c>
      <c r="B150" s="47">
        <v>5</v>
      </c>
      <c r="C150" s="27">
        <v>22048</v>
      </c>
      <c r="D150" s="27">
        <v>66523</v>
      </c>
      <c r="E150" s="27">
        <v>66523</v>
      </c>
      <c r="F150" s="27">
        <v>66523</v>
      </c>
      <c r="G150" s="27">
        <v>275599</v>
      </c>
      <c r="H150" s="29">
        <v>0.24099999999999999</v>
      </c>
      <c r="I150" s="29">
        <v>0.24099999999999999</v>
      </c>
      <c r="J150" s="29">
        <v>0.24099999999999999</v>
      </c>
      <c r="K150" s="29"/>
      <c r="L150" s="29">
        <v>7.0000000000000007E-2</v>
      </c>
      <c r="M150" s="29">
        <v>8.5000000000000006E-2</v>
      </c>
      <c r="N150" s="29">
        <v>0.105</v>
      </c>
      <c r="O150" s="29">
        <v>0.122</v>
      </c>
      <c r="P150" s="27">
        <v>543097</v>
      </c>
      <c r="Q150" s="26">
        <v>1.91</v>
      </c>
      <c r="R150" s="27">
        <v>62300</v>
      </c>
      <c r="S150" s="27">
        <v>32643</v>
      </c>
      <c r="T150" s="26">
        <v>2.21</v>
      </c>
      <c r="U150" s="27">
        <v>76310</v>
      </c>
      <c r="V150" s="27">
        <v>34525</v>
      </c>
      <c r="W150" s="26">
        <v>2.17</v>
      </c>
      <c r="X150" s="27">
        <v>74655</v>
      </c>
      <c r="Y150" s="27">
        <v>34404</v>
      </c>
      <c r="Z150" s="26">
        <v>1.96</v>
      </c>
      <c r="AA150" s="27">
        <v>75714</v>
      </c>
      <c r="AB150" s="27">
        <v>38544</v>
      </c>
      <c r="AD150" s="30"/>
    </row>
    <row r="151" spans="1:30" ht="10.5" customHeight="1" x14ac:dyDescent="0.15">
      <c r="A151" s="24" t="s">
        <v>27</v>
      </c>
      <c r="B151" s="43">
        <v>3</v>
      </c>
      <c r="C151" s="44">
        <v>1244872</v>
      </c>
      <c r="D151" s="44">
        <v>2728097</v>
      </c>
      <c r="E151" s="44">
        <v>2492021</v>
      </c>
      <c r="F151" s="44">
        <v>2592021</v>
      </c>
      <c r="G151" s="44">
        <v>15560905</v>
      </c>
      <c r="H151" s="45">
        <v>0.16</v>
      </c>
      <c r="I151" s="45">
        <v>0.16700000000000001</v>
      </c>
      <c r="J151" s="45">
        <v>0.17499999999999999</v>
      </c>
      <c r="K151" s="45"/>
      <c r="L151" s="45">
        <v>7.8E-2</v>
      </c>
      <c r="M151" s="45">
        <v>9.6000000000000002E-2</v>
      </c>
      <c r="N151" s="45">
        <v>0.12</v>
      </c>
      <c r="O151" s="45">
        <v>7.3999999999999996E-2</v>
      </c>
      <c r="P151" s="44">
        <v>35081333</v>
      </c>
      <c r="Q151" s="46">
        <v>1.52</v>
      </c>
      <c r="R151" s="44">
        <v>6770413</v>
      </c>
      <c r="S151" s="44">
        <v>4461454</v>
      </c>
      <c r="T151" s="46">
        <v>1.47</v>
      </c>
      <c r="U151" s="44">
        <v>7963196</v>
      </c>
      <c r="V151" s="44">
        <v>5432539</v>
      </c>
      <c r="W151" s="46">
        <v>1.49</v>
      </c>
      <c r="X151" s="44">
        <v>7564404</v>
      </c>
      <c r="Y151" s="44">
        <v>5071324</v>
      </c>
      <c r="Z151" s="46">
        <v>1.43</v>
      </c>
      <c r="AA151" s="44">
        <v>7584028</v>
      </c>
      <c r="AB151" s="44">
        <v>5294021</v>
      </c>
      <c r="AD151" s="30"/>
    </row>
    <row r="152" spans="1:30" ht="10.5" customHeight="1" x14ac:dyDescent="0.15">
      <c r="A152" s="25" t="s">
        <v>140</v>
      </c>
      <c r="B152" s="47">
        <v>5</v>
      </c>
      <c r="C152" s="27">
        <v>18790</v>
      </c>
      <c r="D152" s="27">
        <v>83152</v>
      </c>
      <c r="E152" s="27">
        <v>83152</v>
      </c>
      <c r="F152" s="27">
        <v>83152</v>
      </c>
      <c r="G152" s="27">
        <v>234871</v>
      </c>
      <c r="H152" s="29">
        <v>0.35399999999999998</v>
      </c>
      <c r="I152" s="29">
        <v>0.35399999999999998</v>
      </c>
      <c r="J152" s="29">
        <v>0.35399999999999998</v>
      </c>
      <c r="K152" s="29"/>
      <c r="L152" s="29">
        <v>7.0000000000000007E-2</v>
      </c>
      <c r="M152" s="29">
        <v>8.5000000000000006E-2</v>
      </c>
      <c r="N152" s="29">
        <v>0.105</v>
      </c>
      <c r="O152" s="29">
        <v>0.183</v>
      </c>
      <c r="P152" s="27">
        <v>453529</v>
      </c>
      <c r="Q152" s="26">
        <v>3.44</v>
      </c>
      <c r="R152" s="27">
        <v>164394</v>
      </c>
      <c r="S152" s="27">
        <v>47786</v>
      </c>
      <c r="T152" s="26">
        <v>2.99</v>
      </c>
      <c r="U152" s="27">
        <v>146981</v>
      </c>
      <c r="V152" s="27">
        <v>49192</v>
      </c>
      <c r="W152" s="26">
        <v>3.2</v>
      </c>
      <c r="X152" s="27">
        <v>138273</v>
      </c>
      <c r="Y152" s="27">
        <v>43237</v>
      </c>
      <c r="Z152" s="26">
        <v>3.23</v>
      </c>
      <c r="AA152" s="27">
        <v>132965</v>
      </c>
      <c r="AB152" s="27">
        <v>41211</v>
      </c>
      <c r="AD152" s="30"/>
    </row>
    <row r="153" spans="1:30" ht="10.5" customHeight="1" x14ac:dyDescent="0.15">
      <c r="A153" s="24" t="s">
        <v>114</v>
      </c>
      <c r="B153" s="43">
        <v>4</v>
      </c>
      <c r="C153" s="44">
        <v>112373</v>
      </c>
      <c r="D153" s="44">
        <v>323382</v>
      </c>
      <c r="E153" s="44">
        <v>322721</v>
      </c>
      <c r="F153" s="44">
        <v>322721</v>
      </c>
      <c r="G153" s="44">
        <v>1404661</v>
      </c>
      <c r="H153" s="45">
        <v>0.23</v>
      </c>
      <c r="I153" s="45">
        <v>0.23</v>
      </c>
      <c r="J153" s="45">
        <v>0.23</v>
      </c>
      <c r="K153" s="45"/>
      <c r="L153" s="45">
        <v>7.3999999999999996E-2</v>
      </c>
      <c r="M153" s="45">
        <v>0.09</v>
      </c>
      <c r="N153" s="45">
        <v>0.112</v>
      </c>
      <c r="O153" s="45">
        <v>0.107</v>
      </c>
      <c r="P153" s="44">
        <v>3005491</v>
      </c>
      <c r="Q153" s="46">
        <v>3.19</v>
      </c>
      <c r="R153" s="44">
        <v>3011286</v>
      </c>
      <c r="S153" s="44">
        <v>943224</v>
      </c>
      <c r="T153" s="46">
        <v>3.33</v>
      </c>
      <c r="U153" s="44">
        <v>3212332</v>
      </c>
      <c r="V153" s="44">
        <v>963508</v>
      </c>
      <c r="W153" s="46">
        <v>4.0599999999999996</v>
      </c>
      <c r="X153" s="44">
        <v>3293882</v>
      </c>
      <c r="Y153" s="44">
        <v>810836</v>
      </c>
      <c r="Z153" s="46">
        <v>4.05</v>
      </c>
      <c r="AA153" s="44">
        <v>3751545</v>
      </c>
      <c r="AB153" s="44">
        <v>927050</v>
      </c>
      <c r="AD153" s="30"/>
    </row>
    <row r="154" spans="1:30" ht="10.5" customHeight="1" x14ac:dyDescent="0.15">
      <c r="A154" s="25" t="s">
        <v>117</v>
      </c>
      <c r="B154" s="47">
        <v>4</v>
      </c>
      <c r="C154" s="27">
        <v>133476</v>
      </c>
      <c r="D154" s="27">
        <v>383573</v>
      </c>
      <c r="E154" s="27">
        <v>382914</v>
      </c>
      <c r="F154" s="27">
        <v>382914</v>
      </c>
      <c r="G154" s="27">
        <v>1668454</v>
      </c>
      <c r="H154" s="29">
        <v>0.23</v>
      </c>
      <c r="I154" s="29">
        <v>0.23</v>
      </c>
      <c r="J154" s="29">
        <v>0.23</v>
      </c>
      <c r="K154" s="29"/>
      <c r="L154" s="29">
        <v>7.3999999999999996E-2</v>
      </c>
      <c r="M154" s="29">
        <v>0.09</v>
      </c>
      <c r="N154" s="29">
        <v>0.112</v>
      </c>
      <c r="O154" s="29">
        <v>0.109</v>
      </c>
      <c r="P154" s="27">
        <v>3497581</v>
      </c>
      <c r="Q154" s="26">
        <v>4.0999999999999996</v>
      </c>
      <c r="R154" s="27">
        <v>3041486</v>
      </c>
      <c r="S154" s="27">
        <v>742596</v>
      </c>
      <c r="T154" s="26">
        <v>4.1399999999999997</v>
      </c>
      <c r="U154" s="27">
        <v>3265760</v>
      </c>
      <c r="V154" s="27">
        <v>789174</v>
      </c>
      <c r="W154" s="26">
        <v>4.88</v>
      </c>
      <c r="X154" s="27">
        <v>3348046</v>
      </c>
      <c r="Y154" s="27">
        <v>686705</v>
      </c>
      <c r="Z154" s="26">
        <v>4.7300000000000004</v>
      </c>
      <c r="AA154" s="27">
        <v>3812094</v>
      </c>
      <c r="AB154" s="27">
        <v>806569</v>
      </c>
      <c r="AD154" s="30"/>
    </row>
    <row r="155" spans="1:30" ht="10.5" customHeight="1" x14ac:dyDescent="0.15">
      <c r="A155" s="24" t="s">
        <v>156</v>
      </c>
      <c r="B155" s="43">
        <v>5</v>
      </c>
      <c r="C155" s="44">
        <v>4211</v>
      </c>
      <c r="D155" s="44">
        <v>33757</v>
      </c>
      <c r="E155" s="44">
        <v>33757</v>
      </c>
      <c r="F155" s="44">
        <v>33757</v>
      </c>
      <c r="G155" s="44">
        <v>52637</v>
      </c>
      <c r="H155" s="45">
        <v>0.64100000000000001</v>
      </c>
      <c r="I155" s="45">
        <v>0.64100000000000001</v>
      </c>
      <c r="J155" s="45">
        <v>0.64100000000000001</v>
      </c>
      <c r="K155" s="45"/>
      <c r="L155" s="45">
        <v>7.0000000000000007E-2</v>
      </c>
      <c r="M155" s="45">
        <v>8.5000000000000006E-2</v>
      </c>
      <c r="N155" s="45">
        <v>0.105</v>
      </c>
      <c r="O155" s="45">
        <v>0.61599999999999999</v>
      </c>
      <c r="P155" s="44">
        <v>54830</v>
      </c>
      <c r="Q155" s="46">
        <v>6.57</v>
      </c>
      <c r="R155" s="44">
        <v>13274</v>
      </c>
      <c r="S155" s="44">
        <v>2022</v>
      </c>
      <c r="T155" s="46">
        <v>6.35</v>
      </c>
      <c r="U155" s="44">
        <v>9734</v>
      </c>
      <c r="V155" s="44">
        <v>1532</v>
      </c>
      <c r="W155" s="46">
        <v>9.24</v>
      </c>
      <c r="X155" s="44">
        <v>10467</v>
      </c>
      <c r="Y155" s="44">
        <v>1133</v>
      </c>
      <c r="Z155" s="46">
        <v>5.99</v>
      </c>
      <c r="AA155" s="44">
        <v>13086</v>
      </c>
      <c r="AB155" s="44">
        <v>2185</v>
      </c>
      <c r="AD155" s="30"/>
    </row>
    <row r="156" spans="1:30" ht="10.5" customHeight="1" x14ac:dyDescent="0.15">
      <c r="A156" s="25" t="s">
        <v>105</v>
      </c>
      <c r="B156" s="47">
        <v>5</v>
      </c>
      <c r="C156" s="27">
        <v>15255</v>
      </c>
      <c r="D156" s="27">
        <v>33000</v>
      </c>
      <c r="E156" s="27">
        <v>33000</v>
      </c>
      <c r="F156" s="27">
        <v>33000</v>
      </c>
      <c r="G156" s="27">
        <v>190682</v>
      </c>
      <c r="H156" s="29">
        <v>0.17299999999999999</v>
      </c>
      <c r="I156" s="29">
        <v>0.17299999999999999</v>
      </c>
      <c r="J156" s="29">
        <v>0.17299999999999999</v>
      </c>
      <c r="K156" s="29"/>
      <c r="L156" s="29">
        <v>7.0000000000000007E-2</v>
      </c>
      <c r="M156" s="29">
        <v>8.5000000000000006E-2</v>
      </c>
      <c r="N156" s="29">
        <v>0.105</v>
      </c>
      <c r="O156" s="29">
        <v>0.21</v>
      </c>
      <c r="P156" s="27">
        <v>157405</v>
      </c>
      <c r="Q156" s="26">
        <v>1.92</v>
      </c>
      <c r="R156" s="27">
        <v>19291</v>
      </c>
      <c r="S156" s="27">
        <v>10061</v>
      </c>
      <c r="T156" s="26">
        <v>2.74</v>
      </c>
      <c r="U156" s="27">
        <v>21595</v>
      </c>
      <c r="V156" s="27">
        <v>7887</v>
      </c>
      <c r="W156" s="26">
        <v>3.07</v>
      </c>
      <c r="X156" s="27">
        <v>25729</v>
      </c>
      <c r="Y156" s="27">
        <v>8370</v>
      </c>
      <c r="Z156" s="26">
        <v>3.5</v>
      </c>
      <c r="AA156" s="27">
        <v>27201</v>
      </c>
      <c r="AB156" s="27">
        <v>7774</v>
      </c>
      <c r="AD156" s="30"/>
    </row>
    <row r="157" spans="1:30" ht="10.5" customHeight="1" x14ac:dyDescent="0.15">
      <c r="A157" s="24" t="s">
        <v>18</v>
      </c>
      <c r="B157" s="43">
        <v>3</v>
      </c>
      <c r="C157" s="44">
        <v>1008689</v>
      </c>
      <c r="D157" s="44">
        <v>2308010</v>
      </c>
      <c r="E157" s="44">
        <v>2305510</v>
      </c>
      <c r="F157" s="44">
        <v>2305510</v>
      </c>
      <c r="G157" s="44">
        <v>12608615</v>
      </c>
      <c r="H157" s="45">
        <v>0.183</v>
      </c>
      <c r="I157" s="45">
        <v>0.183</v>
      </c>
      <c r="J157" s="45">
        <v>0.183</v>
      </c>
      <c r="K157" s="45"/>
      <c r="L157" s="45">
        <v>7.8E-2</v>
      </c>
      <c r="M157" s="45">
        <v>9.6000000000000002E-2</v>
      </c>
      <c r="N157" s="45">
        <v>0.12</v>
      </c>
      <c r="O157" s="45">
        <v>8.5000000000000006E-2</v>
      </c>
      <c r="P157" s="44">
        <v>27214654</v>
      </c>
      <c r="Q157" s="46">
        <v>1.26</v>
      </c>
      <c r="R157" s="44">
        <v>3806046</v>
      </c>
      <c r="S157" s="44">
        <v>3011491</v>
      </c>
      <c r="T157" s="46">
        <v>1.46</v>
      </c>
      <c r="U157" s="44">
        <v>4827966</v>
      </c>
      <c r="V157" s="44">
        <v>3309450</v>
      </c>
      <c r="W157" s="46">
        <v>1.49</v>
      </c>
      <c r="X157" s="44">
        <v>5317178</v>
      </c>
      <c r="Y157" s="44">
        <v>3579162</v>
      </c>
      <c r="Z157" s="46">
        <v>1.57</v>
      </c>
      <c r="AA157" s="44">
        <v>5352938</v>
      </c>
      <c r="AB157" s="44">
        <v>3412197</v>
      </c>
      <c r="AD157" s="30"/>
    </row>
    <row r="158" spans="1:30" ht="10.5" customHeight="1" x14ac:dyDescent="0.15">
      <c r="A158" s="25" t="s">
        <v>80</v>
      </c>
      <c r="B158" s="47">
        <v>5</v>
      </c>
      <c r="C158" s="27">
        <v>5969</v>
      </c>
      <c r="D158" s="27">
        <v>36316</v>
      </c>
      <c r="E158" s="27">
        <v>36316</v>
      </c>
      <c r="F158" s="27">
        <v>36316</v>
      </c>
      <c r="G158" s="27">
        <v>74619</v>
      </c>
      <c r="H158" s="29">
        <v>0.48699999999999999</v>
      </c>
      <c r="I158" s="29">
        <v>0.48699999999999999</v>
      </c>
      <c r="J158" s="29">
        <v>0.48699999999999999</v>
      </c>
      <c r="K158" s="29"/>
      <c r="L158" s="29">
        <v>7.0000000000000007E-2</v>
      </c>
      <c r="M158" s="29">
        <v>8.5000000000000006E-2</v>
      </c>
      <c r="N158" s="29">
        <v>0.105</v>
      </c>
      <c r="O158" s="29">
        <v>0.23899999999999999</v>
      </c>
      <c r="P158" s="27">
        <v>152532</v>
      </c>
      <c r="Q158" s="26">
        <v>1.45</v>
      </c>
      <c r="R158" s="27">
        <v>36553</v>
      </c>
      <c r="S158" s="27">
        <v>25222</v>
      </c>
      <c r="T158" s="26">
        <v>1.71</v>
      </c>
      <c r="U158" s="27">
        <v>32776</v>
      </c>
      <c r="V158" s="27">
        <v>19215</v>
      </c>
      <c r="W158" s="26">
        <v>1.93</v>
      </c>
      <c r="X158" s="27">
        <v>34451</v>
      </c>
      <c r="Y158" s="27">
        <v>17839</v>
      </c>
      <c r="Z158" s="26">
        <v>1.66</v>
      </c>
      <c r="AA158" s="27">
        <v>40596</v>
      </c>
      <c r="AB158" s="27">
        <v>24403</v>
      </c>
      <c r="AD158" s="30"/>
    </row>
    <row r="159" spans="1:30" ht="10.5" customHeight="1" x14ac:dyDescent="0.15">
      <c r="A159" s="24" t="s">
        <v>87</v>
      </c>
      <c r="B159" s="43">
        <v>3</v>
      </c>
      <c r="C159" s="44">
        <v>593308</v>
      </c>
      <c r="D159" s="44">
        <v>2056326</v>
      </c>
      <c r="E159" s="44">
        <v>2052326</v>
      </c>
      <c r="F159" s="44">
        <v>2052326</v>
      </c>
      <c r="G159" s="44">
        <v>7416353</v>
      </c>
      <c r="H159" s="45">
        <v>0.27700000000000002</v>
      </c>
      <c r="I159" s="45">
        <v>0.27700000000000002</v>
      </c>
      <c r="J159" s="45">
        <v>0.27700000000000002</v>
      </c>
      <c r="K159" s="45"/>
      <c r="L159" s="45">
        <v>7.8E-2</v>
      </c>
      <c r="M159" s="45">
        <v>9.6000000000000002E-2</v>
      </c>
      <c r="N159" s="45">
        <v>0.12</v>
      </c>
      <c r="O159" s="45">
        <v>6.6000000000000003E-2</v>
      </c>
      <c r="P159" s="44">
        <v>31048657</v>
      </c>
      <c r="Q159" s="46">
        <v>2.83</v>
      </c>
      <c r="R159" s="44">
        <v>11196435</v>
      </c>
      <c r="S159" s="44">
        <v>3955299</v>
      </c>
      <c r="T159" s="46">
        <v>2.76</v>
      </c>
      <c r="U159" s="44">
        <v>11493786</v>
      </c>
      <c r="V159" s="44">
        <v>4160581</v>
      </c>
      <c r="W159" s="46">
        <v>2.4900000000000002</v>
      </c>
      <c r="X159" s="44">
        <v>11811332</v>
      </c>
      <c r="Y159" s="44">
        <v>4738861</v>
      </c>
      <c r="Z159" s="46">
        <v>2.48</v>
      </c>
      <c r="AA159" s="44">
        <v>11397914</v>
      </c>
      <c r="AB159" s="44">
        <v>4593873</v>
      </c>
      <c r="AD159" s="30"/>
    </row>
    <row r="160" spans="1:30" ht="10.5" customHeight="1" x14ac:dyDescent="0.15">
      <c r="A160" s="25" t="s">
        <v>81</v>
      </c>
      <c r="B160" s="47">
        <v>5</v>
      </c>
      <c r="C160" s="27">
        <v>3748</v>
      </c>
      <c r="D160" s="27">
        <v>35278</v>
      </c>
      <c r="E160" s="27">
        <v>35278</v>
      </c>
      <c r="F160" s="27">
        <v>35278</v>
      </c>
      <c r="G160" s="27">
        <v>46852</v>
      </c>
      <c r="H160" s="29">
        <v>0.753</v>
      </c>
      <c r="I160" s="29">
        <v>0.753</v>
      </c>
      <c r="J160" s="29">
        <v>0.753</v>
      </c>
      <c r="K160" s="29"/>
      <c r="L160" s="29">
        <v>7.0000000000000007E-2</v>
      </c>
      <c r="M160" s="29">
        <v>8.5000000000000006E-2</v>
      </c>
      <c r="N160" s="29">
        <v>0.105</v>
      </c>
      <c r="O160" s="29">
        <v>0.252</v>
      </c>
      <c r="P160" s="27">
        <v>140103</v>
      </c>
      <c r="Q160" s="26">
        <v>3</v>
      </c>
      <c r="R160" s="27">
        <v>30032</v>
      </c>
      <c r="S160" s="27">
        <v>9999</v>
      </c>
      <c r="T160" s="26">
        <v>2.65</v>
      </c>
      <c r="U160" s="27">
        <v>25912</v>
      </c>
      <c r="V160" s="27">
        <v>9761</v>
      </c>
      <c r="W160" s="26">
        <v>2.06</v>
      </c>
      <c r="X160" s="27">
        <v>16436</v>
      </c>
      <c r="Y160" s="27">
        <v>7963</v>
      </c>
      <c r="Z160" s="26">
        <v>1.88</v>
      </c>
      <c r="AA160" s="27">
        <v>17140</v>
      </c>
      <c r="AB160" s="27">
        <v>9096</v>
      </c>
      <c r="AD160" s="30"/>
    </row>
    <row r="161" spans="1:30" ht="10.5" customHeight="1" x14ac:dyDescent="0.15">
      <c r="A161" s="24" t="s">
        <v>7</v>
      </c>
      <c r="B161" s="43">
        <v>4</v>
      </c>
      <c r="C161" s="44">
        <v>127593</v>
      </c>
      <c r="D161" s="44">
        <v>317945</v>
      </c>
      <c r="E161" s="44">
        <v>307068</v>
      </c>
      <c r="F161" s="44">
        <v>307068</v>
      </c>
      <c r="G161" s="44">
        <v>1594911</v>
      </c>
      <c r="H161" s="45">
        <v>0.193</v>
      </c>
      <c r="I161" s="45">
        <v>0.193</v>
      </c>
      <c r="J161" s="45">
        <v>0.19900000000000001</v>
      </c>
      <c r="K161" s="45"/>
      <c r="L161" s="45">
        <v>7.3999999999999996E-2</v>
      </c>
      <c r="M161" s="45">
        <v>0.09</v>
      </c>
      <c r="N161" s="45">
        <v>0.112</v>
      </c>
      <c r="O161" s="45">
        <v>9.7000000000000003E-2</v>
      </c>
      <c r="P161" s="44">
        <v>3176561</v>
      </c>
      <c r="Q161" s="46">
        <v>1.61</v>
      </c>
      <c r="R161" s="44">
        <v>469053</v>
      </c>
      <c r="S161" s="44">
        <v>291274</v>
      </c>
      <c r="T161" s="46">
        <v>1.75</v>
      </c>
      <c r="U161" s="44">
        <v>544547</v>
      </c>
      <c r="V161" s="44">
        <v>311286</v>
      </c>
      <c r="W161" s="46">
        <v>1.85</v>
      </c>
      <c r="X161" s="44">
        <v>525839</v>
      </c>
      <c r="Y161" s="44">
        <v>283778</v>
      </c>
      <c r="Z161" s="46">
        <v>1.88</v>
      </c>
      <c r="AA161" s="44">
        <v>528045</v>
      </c>
      <c r="AB161" s="44">
        <v>281318</v>
      </c>
      <c r="AD161" s="30"/>
    </row>
    <row r="162" spans="1:30" ht="10.5" customHeight="1" x14ac:dyDescent="0.15">
      <c r="A162" s="25" t="s">
        <v>2</v>
      </c>
      <c r="B162" s="47">
        <v>3</v>
      </c>
      <c r="C162" s="27">
        <v>1102897</v>
      </c>
      <c r="D162" s="27">
        <v>2239779</v>
      </c>
      <c r="E162" s="27">
        <v>2239779</v>
      </c>
      <c r="F162" s="27">
        <v>2239779</v>
      </c>
      <c r="G162" s="27">
        <v>13786212</v>
      </c>
      <c r="H162" s="29">
        <v>0.16200000000000001</v>
      </c>
      <c r="I162" s="29">
        <v>0.16200000000000001</v>
      </c>
      <c r="J162" s="29">
        <v>0.16200000000000001</v>
      </c>
      <c r="K162" s="29"/>
      <c r="L162" s="29">
        <v>7.8E-2</v>
      </c>
      <c r="M162" s="29">
        <v>9.6000000000000002E-2</v>
      </c>
      <c r="N162" s="29">
        <v>0.12</v>
      </c>
      <c r="O162" s="29">
        <v>7.8E-2</v>
      </c>
      <c r="P162" s="27">
        <v>28722867</v>
      </c>
      <c r="Q162" s="26">
        <v>1.56</v>
      </c>
      <c r="R162" s="27">
        <v>4881634</v>
      </c>
      <c r="S162" s="27">
        <v>3132489</v>
      </c>
      <c r="T162" s="26">
        <v>1.48</v>
      </c>
      <c r="U162" s="27">
        <v>5468448</v>
      </c>
      <c r="V162" s="27">
        <v>3706251</v>
      </c>
      <c r="W162" s="26">
        <v>1.61</v>
      </c>
      <c r="X162" s="27">
        <v>6622367</v>
      </c>
      <c r="Y162" s="27">
        <v>4111920</v>
      </c>
      <c r="Z162" s="26">
        <v>1.54</v>
      </c>
      <c r="AA162" s="27">
        <v>6794971</v>
      </c>
      <c r="AB162" s="27">
        <v>4412837</v>
      </c>
      <c r="AD162" s="30"/>
    </row>
    <row r="163" spans="1:30" ht="10.5" customHeight="1" x14ac:dyDescent="0.15">
      <c r="A163" s="24" t="s">
        <v>109</v>
      </c>
      <c r="B163" s="43">
        <v>3</v>
      </c>
      <c r="C163" s="44">
        <v>1122985</v>
      </c>
      <c r="D163" s="44">
        <v>2261455</v>
      </c>
      <c r="E163" s="44">
        <v>2261455</v>
      </c>
      <c r="F163" s="44">
        <v>2261455</v>
      </c>
      <c r="G163" s="44">
        <v>14037317</v>
      </c>
      <c r="H163" s="45">
        <v>0.161</v>
      </c>
      <c r="I163" s="45">
        <v>0.161</v>
      </c>
      <c r="J163" s="45">
        <v>0.161</v>
      </c>
      <c r="K163" s="45"/>
      <c r="L163" s="45">
        <v>7.8E-2</v>
      </c>
      <c r="M163" s="45">
        <v>9.6000000000000002E-2</v>
      </c>
      <c r="N163" s="45">
        <v>0.12</v>
      </c>
      <c r="O163" s="45">
        <v>7.0000000000000007E-2</v>
      </c>
      <c r="P163" s="44">
        <v>32323368</v>
      </c>
      <c r="Q163" s="33" t="s">
        <v>201</v>
      </c>
      <c r="R163" s="34" t="s">
        <v>201</v>
      </c>
      <c r="S163" s="34" t="s">
        <v>201</v>
      </c>
      <c r="T163" s="33" t="s">
        <v>201</v>
      </c>
      <c r="U163" s="34" t="s">
        <v>201</v>
      </c>
      <c r="V163" s="34" t="s">
        <v>201</v>
      </c>
      <c r="W163" s="33" t="s">
        <v>201</v>
      </c>
      <c r="X163" s="34" t="s">
        <v>201</v>
      </c>
      <c r="Y163" s="34" t="s">
        <v>201</v>
      </c>
      <c r="Z163" s="33" t="s">
        <v>201</v>
      </c>
      <c r="AA163" s="34" t="s">
        <v>201</v>
      </c>
      <c r="AB163" s="34" t="s">
        <v>201</v>
      </c>
      <c r="AD163" s="30"/>
    </row>
    <row r="164" spans="1:30" ht="10.5" customHeight="1" x14ac:dyDescent="0.15">
      <c r="A164" s="25" t="s">
        <v>108</v>
      </c>
      <c r="B164" s="47">
        <v>3</v>
      </c>
      <c r="C164" s="27">
        <v>595804</v>
      </c>
      <c r="D164" s="27">
        <v>1473036</v>
      </c>
      <c r="E164" s="27">
        <v>1024439</v>
      </c>
      <c r="F164" s="27">
        <v>1473036</v>
      </c>
      <c r="G164" s="27">
        <v>7447547</v>
      </c>
      <c r="H164" s="29">
        <v>0.13800000000000001</v>
      </c>
      <c r="I164" s="29">
        <v>0.19800000000000001</v>
      </c>
      <c r="J164" s="29">
        <v>0.19800000000000001</v>
      </c>
      <c r="K164" s="29"/>
      <c r="L164" s="29">
        <v>7.8E-2</v>
      </c>
      <c r="M164" s="29">
        <v>9.6000000000000002E-2</v>
      </c>
      <c r="N164" s="29">
        <v>0.12</v>
      </c>
      <c r="O164" s="29">
        <v>4.5999999999999999E-2</v>
      </c>
      <c r="P164" s="27">
        <v>31827834</v>
      </c>
      <c r="Q164" s="26">
        <v>1.81</v>
      </c>
      <c r="R164" s="27">
        <v>8203658</v>
      </c>
      <c r="S164" s="27">
        <v>4541962</v>
      </c>
      <c r="T164" s="26">
        <v>1.93</v>
      </c>
      <c r="U164" s="27">
        <v>7825522</v>
      </c>
      <c r="V164" s="27">
        <v>4063607</v>
      </c>
      <c r="W164" s="26">
        <v>1.81</v>
      </c>
      <c r="X164" s="27">
        <v>7731025</v>
      </c>
      <c r="Y164" s="27">
        <v>4279068</v>
      </c>
      <c r="Z164" s="26">
        <v>1.84</v>
      </c>
      <c r="AA164" s="27">
        <v>7947396</v>
      </c>
      <c r="AB164" s="27">
        <v>4308585</v>
      </c>
      <c r="AD164" s="30"/>
    </row>
    <row r="165" spans="1:30" ht="10.5" customHeight="1" x14ac:dyDescent="0.15">
      <c r="A165" s="24" t="s">
        <v>42</v>
      </c>
      <c r="B165" s="43">
        <v>4</v>
      </c>
      <c r="C165" s="44">
        <v>50042</v>
      </c>
      <c r="D165" s="44">
        <v>103936</v>
      </c>
      <c r="E165" s="44">
        <v>98315</v>
      </c>
      <c r="F165" s="44">
        <v>98315</v>
      </c>
      <c r="G165" s="44">
        <v>625523</v>
      </c>
      <c r="H165" s="45">
        <v>0.157</v>
      </c>
      <c r="I165" s="45">
        <v>0.157</v>
      </c>
      <c r="J165" s="45">
        <v>0.16600000000000001</v>
      </c>
      <c r="K165" s="45"/>
      <c r="L165" s="45">
        <v>7.3999999999999996E-2</v>
      </c>
      <c r="M165" s="45">
        <v>0.09</v>
      </c>
      <c r="N165" s="45">
        <v>0.112</v>
      </c>
      <c r="O165" s="45">
        <v>4.7E-2</v>
      </c>
      <c r="P165" s="44">
        <v>2113577</v>
      </c>
      <c r="Q165" s="46">
        <v>1.6</v>
      </c>
      <c r="R165" s="44">
        <v>230696</v>
      </c>
      <c r="S165" s="44">
        <v>144057</v>
      </c>
      <c r="T165" s="46">
        <v>1.51</v>
      </c>
      <c r="U165" s="44">
        <v>261588</v>
      </c>
      <c r="V165" s="44">
        <v>172757</v>
      </c>
      <c r="W165" s="46">
        <v>1.5</v>
      </c>
      <c r="X165" s="44">
        <v>270797</v>
      </c>
      <c r="Y165" s="44">
        <v>180708</v>
      </c>
      <c r="Z165" s="46">
        <v>1.53</v>
      </c>
      <c r="AA165" s="44">
        <v>293000</v>
      </c>
      <c r="AB165" s="44">
        <v>191453</v>
      </c>
      <c r="AD165" s="30"/>
    </row>
    <row r="166" spans="1:30" ht="10.5" customHeight="1" x14ac:dyDescent="0.15">
      <c r="A166" s="25" t="s">
        <v>132</v>
      </c>
      <c r="B166" s="47">
        <v>4</v>
      </c>
      <c r="C166" s="27">
        <v>127247</v>
      </c>
      <c r="D166" s="27">
        <v>422570</v>
      </c>
      <c r="E166" s="27">
        <v>422570</v>
      </c>
      <c r="F166" s="27">
        <v>422570</v>
      </c>
      <c r="G166" s="27">
        <v>1590584</v>
      </c>
      <c r="H166" s="29">
        <v>0.26600000000000001</v>
      </c>
      <c r="I166" s="29">
        <v>0.26600000000000001</v>
      </c>
      <c r="J166" s="29">
        <v>0.26600000000000001</v>
      </c>
      <c r="K166" s="29"/>
      <c r="L166" s="29">
        <v>7.3999999999999996E-2</v>
      </c>
      <c r="M166" s="29">
        <v>0.09</v>
      </c>
      <c r="N166" s="29">
        <v>0.112</v>
      </c>
      <c r="O166" s="29">
        <v>0.13</v>
      </c>
      <c r="P166" s="27">
        <v>3245517</v>
      </c>
      <c r="Q166" s="26">
        <v>2.56</v>
      </c>
      <c r="R166" s="27">
        <v>1189733</v>
      </c>
      <c r="S166" s="27">
        <v>464408</v>
      </c>
      <c r="T166" s="26">
        <v>2.52</v>
      </c>
      <c r="U166" s="27">
        <v>1318363</v>
      </c>
      <c r="V166" s="27">
        <v>522508</v>
      </c>
      <c r="W166" s="26">
        <v>2.38</v>
      </c>
      <c r="X166" s="27">
        <v>1409774</v>
      </c>
      <c r="Y166" s="27">
        <v>592129</v>
      </c>
      <c r="Z166" s="26">
        <v>2.16</v>
      </c>
      <c r="AA166" s="27">
        <v>1447715</v>
      </c>
      <c r="AB166" s="27">
        <v>669432</v>
      </c>
      <c r="AD166" s="30"/>
    </row>
    <row r="167" spans="1:30" ht="10.5" customHeight="1" x14ac:dyDescent="0.15">
      <c r="A167" s="24" t="s">
        <v>135</v>
      </c>
      <c r="B167" s="43">
        <v>4</v>
      </c>
      <c r="C167" s="44">
        <v>162599</v>
      </c>
      <c r="D167" s="44">
        <v>477883</v>
      </c>
      <c r="E167" s="44">
        <v>477883</v>
      </c>
      <c r="F167" s="44">
        <v>477883</v>
      </c>
      <c r="G167" s="44">
        <v>2032482</v>
      </c>
      <c r="H167" s="45">
        <v>0.23499999999999999</v>
      </c>
      <c r="I167" s="45">
        <v>0.23499999999999999</v>
      </c>
      <c r="J167" s="45">
        <v>0.23499999999999999</v>
      </c>
      <c r="K167" s="45"/>
      <c r="L167" s="45">
        <v>7.3999999999999996E-2</v>
      </c>
      <c r="M167" s="45">
        <v>0.09</v>
      </c>
      <c r="N167" s="45">
        <v>0.112</v>
      </c>
      <c r="O167" s="45">
        <v>0.1</v>
      </c>
      <c r="P167" s="44">
        <v>4761107</v>
      </c>
      <c r="Q167" s="33" t="s">
        <v>201</v>
      </c>
      <c r="R167" s="34" t="s">
        <v>201</v>
      </c>
      <c r="S167" s="34" t="s">
        <v>201</v>
      </c>
      <c r="T167" s="33" t="s">
        <v>201</v>
      </c>
      <c r="U167" s="34" t="s">
        <v>201</v>
      </c>
      <c r="V167" s="34" t="s">
        <v>201</v>
      </c>
      <c r="W167" s="33" t="s">
        <v>201</v>
      </c>
      <c r="X167" s="34" t="s">
        <v>201</v>
      </c>
      <c r="Y167" s="34" t="s">
        <v>201</v>
      </c>
      <c r="Z167" s="33" t="s">
        <v>201</v>
      </c>
      <c r="AA167" s="34" t="s">
        <v>201</v>
      </c>
      <c r="AB167" s="34" t="s">
        <v>201</v>
      </c>
      <c r="AD167" s="30"/>
    </row>
    <row r="168" spans="1:30" ht="10.5" customHeight="1" x14ac:dyDescent="0.15">
      <c r="A168" s="25" t="s">
        <v>71</v>
      </c>
      <c r="B168" s="47">
        <v>4</v>
      </c>
      <c r="C168" s="27">
        <v>271343</v>
      </c>
      <c r="D168" s="27">
        <v>555584</v>
      </c>
      <c r="E168" s="27">
        <v>470064</v>
      </c>
      <c r="F168" s="27">
        <v>470064</v>
      </c>
      <c r="G168" s="27">
        <v>3391787</v>
      </c>
      <c r="H168" s="29">
        <v>0.13900000000000001</v>
      </c>
      <c r="I168" s="29">
        <v>0.13900000000000001</v>
      </c>
      <c r="J168" s="29">
        <v>0.16400000000000001</v>
      </c>
      <c r="K168" s="29"/>
      <c r="L168" s="29">
        <v>7.3999999999999996E-2</v>
      </c>
      <c r="M168" s="29">
        <v>0.09</v>
      </c>
      <c r="N168" s="29">
        <v>0.112</v>
      </c>
      <c r="O168" s="29">
        <v>9.0999999999999998E-2</v>
      </c>
      <c r="P168" s="27">
        <v>5181841</v>
      </c>
      <c r="Q168" s="26">
        <v>1.87</v>
      </c>
      <c r="R168" s="27">
        <v>396839</v>
      </c>
      <c r="S168" s="27">
        <v>212443</v>
      </c>
      <c r="T168" s="26">
        <v>1.85</v>
      </c>
      <c r="U168" s="27">
        <v>452125</v>
      </c>
      <c r="V168" s="27">
        <v>243955</v>
      </c>
      <c r="W168" s="26">
        <v>1.96</v>
      </c>
      <c r="X168" s="27">
        <v>451785</v>
      </c>
      <c r="Y168" s="27">
        <v>230349</v>
      </c>
      <c r="Z168" s="26">
        <v>2.1800000000000002</v>
      </c>
      <c r="AA168" s="27">
        <v>542239</v>
      </c>
      <c r="AB168" s="27">
        <v>248556</v>
      </c>
      <c r="AD168" s="30"/>
    </row>
    <row r="169" spans="1:30" ht="10.5" customHeight="1" x14ac:dyDescent="0.15">
      <c r="A169" s="24" t="s">
        <v>30</v>
      </c>
      <c r="B169" s="43">
        <v>3</v>
      </c>
      <c r="C169" s="44">
        <v>574105</v>
      </c>
      <c r="D169" s="44">
        <v>1301214</v>
      </c>
      <c r="E169" s="44">
        <v>1301214</v>
      </c>
      <c r="F169" s="44">
        <v>1301214</v>
      </c>
      <c r="G169" s="44">
        <v>7176318</v>
      </c>
      <c r="H169" s="45">
        <v>0.18099999999999999</v>
      </c>
      <c r="I169" s="45">
        <v>0.18099999999999999</v>
      </c>
      <c r="J169" s="45">
        <v>0.18099999999999999</v>
      </c>
      <c r="K169" s="45"/>
      <c r="L169" s="45">
        <v>7.8E-2</v>
      </c>
      <c r="M169" s="45">
        <v>9.6000000000000002E-2</v>
      </c>
      <c r="N169" s="45">
        <v>0.12</v>
      </c>
      <c r="O169" s="45">
        <v>7.4999999999999997E-2</v>
      </c>
      <c r="P169" s="44">
        <v>17306911</v>
      </c>
      <c r="Q169" s="46">
        <v>1.51</v>
      </c>
      <c r="R169" s="44">
        <v>2190475</v>
      </c>
      <c r="S169" s="44">
        <v>1453909</v>
      </c>
      <c r="T169" s="46">
        <v>1.72</v>
      </c>
      <c r="U169" s="44">
        <v>2583276</v>
      </c>
      <c r="V169" s="44">
        <v>1502379</v>
      </c>
      <c r="W169" s="46">
        <v>1.6</v>
      </c>
      <c r="X169" s="44">
        <v>2639557</v>
      </c>
      <c r="Y169" s="44">
        <v>1654384</v>
      </c>
      <c r="Z169" s="46">
        <v>1.61</v>
      </c>
      <c r="AA169" s="44">
        <v>2770258</v>
      </c>
      <c r="AB169" s="44">
        <v>1716503</v>
      </c>
      <c r="AD169" s="30"/>
    </row>
    <row r="170" spans="1:30" ht="10.5" customHeight="1" x14ac:dyDescent="0.15">
      <c r="A170" s="25" t="s">
        <v>31</v>
      </c>
      <c r="B170" s="47">
        <v>5</v>
      </c>
      <c r="C170" s="27">
        <v>31765</v>
      </c>
      <c r="D170" s="27">
        <v>71454</v>
      </c>
      <c r="E170" s="27">
        <v>51418</v>
      </c>
      <c r="F170" s="27">
        <v>51418</v>
      </c>
      <c r="G170" s="27">
        <v>397066</v>
      </c>
      <c r="H170" s="29">
        <v>0.129</v>
      </c>
      <c r="I170" s="29">
        <v>0.129</v>
      </c>
      <c r="J170" s="29">
        <v>0.18</v>
      </c>
      <c r="K170" s="29"/>
      <c r="L170" s="29">
        <v>7.0000000000000007E-2</v>
      </c>
      <c r="M170" s="29">
        <v>8.5000000000000006E-2</v>
      </c>
      <c r="N170" s="29">
        <v>0.105</v>
      </c>
      <c r="O170" s="29">
        <v>6.0999999999999999E-2</v>
      </c>
      <c r="P170" s="27">
        <v>842291</v>
      </c>
      <c r="Q170" s="26">
        <v>1.52</v>
      </c>
      <c r="R170" s="27">
        <v>71938</v>
      </c>
      <c r="S170" s="27">
        <v>47231</v>
      </c>
      <c r="T170" s="26">
        <v>1.66</v>
      </c>
      <c r="U170" s="27">
        <v>88271</v>
      </c>
      <c r="V170" s="27">
        <v>53140</v>
      </c>
      <c r="W170" s="26">
        <v>1.57</v>
      </c>
      <c r="X170" s="27">
        <v>85918</v>
      </c>
      <c r="Y170" s="27">
        <v>54565</v>
      </c>
      <c r="Z170" s="26">
        <v>1.8</v>
      </c>
      <c r="AA170" s="27">
        <v>97982</v>
      </c>
      <c r="AB170" s="27">
        <v>54327</v>
      </c>
      <c r="AD170" s="30"/>
    </row>
    <row r="171" spans="1:30" x14ac:dyDescent="0.15">
      <c r="Q171" s="23"/>
      <c r="R171" s="22"/>
      <c r="S171" s="22"/>
      <c r="T171" s="23"/>
      <c r="U171" s="22"/>
      <c r="V171" s="22"/>
      <c r="W171" s="23"/>
      <c r="X171" s="22"/>
      <c r="Y171" s="22"/>
      <c r="Z171" s="23"/>
      <c r="AA171" s="22"/>
      <c r="AB171" s="22"/>
      <c r="AC171" s="22"/>
    </row>
    <row r="172" spans="1:30" s="42" customFormat="1" ht="12.75" customHeight="1" x14ac:dyDescent="0.15">
      <c r="A172" s="37" t="s">
        <v>208</v>
      </c>
      <c r="B172" s="38"/>
      <c r="C172" s="38"/>
      <c r="D172" s="38"/>
      <c r="E172" s="38"/>
      <c r="F172" s="38"/>
      <c r="G172" s="38"/>
      <c r="H172" s="38"/>
      <c r="I172" s="38"/>
      <c r="J172" s="38"/>
      <c r="K172" s="39"/>
      <c r="L172" s="39"/>
      <c r="M172" s="39"/>
      <c r="N172" s="39"/>
      <c r="O172" s="39"/>
      <c r="P172" s="40"/>
      <c r="Q172" s="41"/>
      <c r="R172" s="40"/>
      <c r="S172" s="40"/>
      <c r="T172" s="41"/>
      <c r="U172" s="40"/>
      <c r="V172" s="40"/>
      <c r="W172" s="41"/>
      <c r="X172" s="40"/>
      <c r="Y172" s="40"/>
      <c r="Z172" s="41"/>
      <c r="AA172" s="40"/>
      <c r="AB172" s="40"/>
      <c r="AC172" s="40"/>
    </row>
    <row r="173" spans="1:30" s="42" customFormat="1" ht="12.5" customHeight="1" x14ac:dyDescent="0.15">
      <c r="A173" s="38" t="s">
        <v>222</v>
      </c>
      <c r="B173" s="38"/>
      <c r="C173" s="38"/>
      <c r="D173" s="38"/>
      <c r="E173" s="38"/>
      <c r="F173" s="38"/>
      <c r="G173" s="38"/>
      <c r="H173" s="38"/>
      <c r="I173" s="38"/>
      <c r="J173" s="38"/>
      <c r="K173" s="35"/>
      <c r="L173" s="39"/>
      <c r="M173" s="39"/>
      <c r="N173" s="39"/>
      <c r="O173" s="39"/>
      <c r="P173" s="40"/>
      <c r="Q173" s="36"/>
      <c r="R173" s="40"/>
      <c r="S173" s="40"/>
      <c r="T173" s="41"/>
      <c r="U173" s="40"/>
      <c r="V173" s="40"/>
      <c r="W173" s="41"/>
      <c r="X173" s="40"/>
      <c r="Y173" s="40"/>
      <c r="Z173" s="36"/>
      <c r="AA173" s="40"/>
      <c r="AB173" s="40"/>
      <c r="AC173" s="40"/>
    </row>
    <row r="174" spans="1:30" s="42" customFormat="1" ht="12.75" customHeight="1" x14ac:dyDescent="0.15">
      <c r="A174" s="38" t="s">
        <v>220</v>
      </c>
      <c r="B174" s="38"/>
      <c r="C174" s="38"/>
      <c r="D174" s="38"/>
      <c r="E174" s="38"/>
      <c r="F174" s="38"/>
      <c r="G174" s="38"/>
      <c r="H174" s="38"/>
      <c r="I174" s="38"/>
      <c r="J174" s="38"/>
      <c r="K174" s="35"/>
      <c r="L174" s="39"/>
      <c r="M174" s="39"/>
      <c r="N174" s="39"/>
      <c r="O174" s="39"/>
      <c r="P174" s="40"/>
      <c r="Q174" s="36"/>
      <c r="R174" s="40"/>
      <c r="S174" s="40"/>
      <c r="T174" s="41"/>
      <c r="U174" s="40"/>
      <c r="V174" s="40"/>
      <c r="W174" s="41"/>
      <c r="X174" s="40"/>
      <c r="Y174" s="40"/>
      <c r="Z174" s="36"/>
      <c r="AA174" s="40"/>
      <c r="AB174" s="40"/>
      <c r="AC174" s="40"/>
    </row>
    <row r="175" spans="1:30" s="39" customFormat="1" ht="12.75" customHeight="1" x14ac:dyDescent="0.15">
      <c r="A175" s="38" t="s">
        <v>215</v>
      </c>
      <c r="B175" s="38"/>
      <c r="C175" s="38"/>
      <c r="D175" s="38"/>
      <c r="E175" s="38"/>
      <c r="F175" s="38"/>
      <c r="G175" s="38"/>
      <c r="H175" s="38"/>
      <c r="I175" s="38"/>
      <c r="J175" s="38"/>
      <c r="K175" s="35"/>
      <c r="L175" s="38"/>
      <c r="M175" s="38"/>
      <c r="N175" s="38"/>
      <c r="P175" s="40"/>
      <c r="Q175" s="41"/>
      <c r="R175" s="40"/>
      <c r="S175" s="40"/>
      <c r="T175" s="41"/>
      <c r="U175" s="40"/>
      <c r="V175" s="40"/>
      <c r="W175" s="41"/>
      <c r="X175" s="40"/>
      <c r="Y175" s="40"/>
      <c r="Z175" s="41"/>
      <c r="AA175" s="40"/>
      <c r="AB175" s="40"/>
      <c r="AC175" s="40"/>
    </row>
    <row r="176" spans="1:30" s="42" customFormat="1" ht="12.75" customHeight="1" x14ac:dyDescent="0.15">
      <c r="A176" s="38" t="s">
        <v>213</v>
      </c>
      <c r="B176" s="38"/>
      <c r="C176" s="38"/>
      <c r="D176" s="38"/>
      <c r="E176" s="38"/>
      <c r="F176" s="38"/>
      <c r="G176" s="38"/>
      <c r="H176" s="38"/>
      <c r="I176" s="38"/>
      <c r="J176" s="38"/>
      <c r="K176" s="39"/>
      <c r="L176" s="39"/>
      <c r="M176" s="39"/>
      <c r="N176" s="39"/>
      <c r="O176" s="39"/>
      <c r="P176" s="40"/>
      <c r="Q176" s="41"/>
      <c r="R176" s="40"/>
      <c r="S176" s="40"/>
      <c r="T176" s="41"/>
      <c r="U176" s="40"/>
      <c r="V176" s="40"/>
      <c r="W176" s="41"/>
      <c r="X176" s="40"/>
      <c r="Y176" s="40"/>
      <c r="Z176" s="41"/>
      <c r="AA176" s="40"/>
      <c r="AB176" s="40"/>
      <c r="AC176" s="40"/>
    </row>
  </sheetData>
  <mergeCells count="4">
    <mergeCell ref="Q5:S5"/>
    <mergeCell ref="T5:V5"/>
    <mergeCell ref="W5:Y5"/>
    <mergeCell ref="Z5:AB5"/>
  </mergeCells>
  <pageMargins left="0.70866141732283472" right="0.70866141732283472" top="0.78740157480314965" bottom="0.78740157480314965" header="0.31496062992125984" footer="0.31496062992125984"/>
  <pageSetup paperSize="9" scale="75" fitToWidth="2" fitToHeight="0" orientation="landscape" r:id="rId1"/>
  <headerFooter>
    <oddFooter>&amp;LFINMA Key Metrics 2020&amp;R&amp;P/&amp;N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GDok Document" ma:contentTypeID="0x0101003A499141982C43AFAF241BDE541C18D500095EC17B92A6C54CA6FB8B3CD4F62E23" ma:contentTypeVersion="18" ma:contentTypeDescription="Create a new document." ma:contentTypeScope="" ma:versionID="8baf39e13fbc52d248a802dc69311878">
  <xsd:schema xmlns:xsd="http://www.w3.org/2001/XMLSchema" xmlns:xs="http://www.w3.org/2001/XMLSchema" xmlns:p="http://schemas.microsoft.com/office/2006/metadata/properties" xmlns:ns2="f280f101-3cb0-4217-adc9-922bffc30a36" targetNamespace="http://schemas.microsoft.com/office/2006/metadata/properties" ma:root="true" ma:fieldsID="31cd16b30cf736495b9756eb22b1468b" ns2:_="">
    <xsd:import namespace="f280f101-3cb0-4217-adc9-922bffc30a36"/>
    <xsd:element name="properties">
      <xsd:complexType>
        <xsd:sequence>
          <xsd:element name="documentManagement">
            <xsd:complexType>
              <xsd:all>
                <xsd:element ref="ns2:_dlc_DocId" minOccurs="0"/>
                <xsd:element ref="ns2:_dlc_DocIdUrl" minOccurs="0"/>
                <xsd:element ref="ns2:_dlc_DocIdPersistId" minOccurs="0"/>
                <xsd:element ref="ns2:FinmaDocumentDate" minOccurs="0"/>
                <xsd:element ref="ns2:FinmaCaseDescription" minOccurs="0"/>
                <xsd:element ref="ns2:f6ac7f7711e24d149a1ab98f6cfad432" minOccurs="0"/>
                <xsd:element ref="ns2:TaxCatchAll" minOccurs="0"/>
                <xsd:element ref="ns2:TaxCatchAllLabel" minOccurs="0"/>
                <xsd:element ref="ns2:FinmaCaseID" minOccurs="0"/>
                <xsd:element ref="ns2:g1c9cab47ab34847b4ac830bba5063b0" minOccurs="0"/>
                <xsd:element ref="ns2:h5452bf913d342ef967d06fb0970c0a5" minOccurs="0"/>
                <xsd:element ref="ns2:n1f5c6536ac648a38ad663cdf8bd44e6" minOccurs="0"/>
                <xsd:element ref="ns2:FinmaPasswordProtected" minOccurs="0"/>
                <xsd:element ref="ns2:FinmaValidationDate" minOccurs="0"/>
                <xsd:element ref="ns2:FinmaValidationResult" minOccurs="0"/>
                <xsd:element ref="ns2:FinmaObjectId" minOccurs="0"/>
                <xsd:element ref="ns2:FinmaObjectName" minOccurs="0"/>
                <xsd:element ref="ns2:Aktionswer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80f101-3cb0-4217-adc9-922bffc30a3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FinmaDocumentDate" ma:index="11" nillable="true" ma:displayName="Dokument Datum" ma:format="DateOnly" ma:internalName="FinmaDocumentDate">
      <xsd:simpleType>
        <xsd:restriction base="dms:DateTime"/>
      </xsd:simpleType>
    </xsd:element>
    <xsd:element name="FinmaCaseDescription" ma:index="12" nillable="true" ma:displayName="Geschäfts Bezeichnung" ma:default="Publikation Key Metrics 2021 (G01331101)" ma:internalName="FinmaCaseDescription">
      <xsd:simpleType>
        <xsd:restriction base="dms:Text">
          <xsd:maxLength value="255"/>
        </xsd:restriction>
      </xsd:simpleType>
    </xsd:element>
    <xsd:element name="f6ac7f7711e24d149a1ab98f6cfad432" ma:index="13" nillable="true" ma:taxonomy="true" ma:internalName="f6ac7f7711e24d149a1ab98f6cfad432" ma:taxonomyFieldName="FinmaCaseStatus" ma:displayName="Geschäfts Status" ma:default="1;#Aktiv|7439e81f-a110-4e88-a7af-acf8d4806223" ma:fieldId="{f6ac7f77-11e2-4d14-9a1a-b98f6cfad432}" ma:sspId="1614e331-078d-4830-aac2-889f77d1de05" ma:termSetId="fbd22871-fe11-4cfd-b99d-0f5fc7eae3ca"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565c3f93-2ac4-441a-816d-5df271eca07b}" ma:internalName="TaxCatchAll" ma:showField="CatchAllData" ma:web="f280f101-3cb0-4217-adc9-922bffc30a36">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565c3f93-2ac4-441a-816d-5df271eca07b}" ma:internalName="TaxCatchAllLabel" ma:readOnly="true" ma:showField="CatchAllDataLabel" ma:web="f280f101-3cb0-4217-adc9-922bffc30a36">
      <xsd:complexType>
        <xsd:complexContent>
          <xsd:extension base="dms:MultiChoiceLookup">
            <xsd:sequence>
              <xsd:element name="Value" type="dms:Lookup" maxOccurs="unbounded" minOccurs="0" nillable="true"/>
            </xsd:sequence>
          </xsd:extension>
        </xsd:complexContent>
      </xsd:complexType>
    </xsd:element>
    <xsd:element name="FinmaCaseID" ma:index="17" nillable="true" ma:displayName="Geschäfts ID" ma:default="G01331101" ma:internalName="FinmaCaseID">
      <xsd:simpleType>
        <xsd:restriction base="dms:Text">
          <xsd:maxLength value="255"/>
        </xsd:restriction>
      </xsd:simpleType>
    </xsd:element>
    <xsd:element name="g1c9cab47ab34847b4ac830bba5063b0" ma:index="18" nillable="true" ma:taxonomy="true" ma:internalName="g1c9cab47ab34847b4ac830bba5063b0" ma:taxonomyFieldName="FinmaCatchphrases" ma:displayName="Schlagwort" ma:fieldId="{01c9cab4-7ab3-4847-b4ac-830bba5063b0}" ma:taxonomyMulti="true" ma:sspId="1614e331-078d-4830-aac2-889f77d1de05" ma:termSetId="35ed469d-bfb4-4e58-83fd-01918edae149" ma:anchorId="00000000-0000-0000-0000-000000000000" ma:open="false" ma:isKeyword="false">
      <xsd:complexType>
        <xsd:sequence>
          <xsd:element ref="pc:Terms" minOccurs="0" maxOccurs="1"/>
        </xsd:sequence>
      </xsd:complexType>
    </xsd:element>
    <xsd:element name="h5452bf913d342ef967d06fb0970c0a5" ma:index="20" nillable="true" ma:taxonomy="true" ma:internalName="h5452bf913d342ef967d06fb0970c0a5" ma:taxonomyFieldName="FinmaCategory" ma:displayName="Kategorie" ma:fieldId="{15452bf9-13d3-42ef-967d-06fb0970c0a5}" ma:sspId="1614e331-078d-4830-aac2-889f77d1de05" ma:termSetId="76a2fa96-3e9b-4d62-901d-d1895154867f" ma:anchorId="de8e377e-5092-4bcb-9739-6ef0d154a6b9" ma:open="false" ma:isKeyword="false">
      <xsd:complexType>
        <xsd:sequence>
          <xsd:element ref="pc:Terms" minOccurs="0" maxOccurs="1"/>
        </xsd:sequence>
      </xsd:complexType>
    </xsd:element>
    <xsd:element name="n1f5c6536ac648a38ad663cdf8bd44e6" ma:index="22" nillable="true" ma:taxonomy="true" ma:internalName="n1f5c6536ac648a38ad663cdf8bd44e6" ma:taxonomyFieldName="FinmaCrmEntityIDs" ma:displayName="CRM Verknüpfung IDs" ma:fieldId="{71f5c653-6ac6-48a3-8ad6-63cdf8bd44e6}" ma:taxonomyMulti="true" ma:sspId="1614e331-078d-4830-aac2-889f77d1de05" ma:termSetId="98c4bad7-eb0e-4672-b16c-fb8a83ada5ca" ma:anchorId="d1f95cf7-69ad-4051-9763-5f9274d3bd20" ma:open="false" ma:isKeyword="false">
      <xsd:complexType>
        <xsd:sequence>
          <xsd:element ref="pc:Terms" minOccurs="0" maxOccurs="1"/>
        </xsd:sequence>
      </xsd:complexType>
    </xsd:element>
    <xsd:element name="FinmaPasswordProtected" ma:index="24" nillable="true" ma:displayName="Passwortgeschützt" ma:internalName="FinmaPasswordProtected">
      <xsd:simpleType>
        <xsd:restriction base="dms:Boolean"/>
      </xsd:simpleType>
    </xsd:element>
    <xsd:element name="FinmaValidationDate" ma:index="25" nillable="true" ma:displayName="Prüfzeitpunkt" ma:format="DateTime" ma:internalName="FinmaValidationDate">
      <xsd:simpleType>
        <xsd:restriction base="dms:DateTime"/>
      </xsd:simpleType>
    </xsd:element>
    <xsd:element name="FinmaValidationResult" ma:index="27" nillable="true" ma:displayName="ValidationResults" ma:internalName="FinmaValidationResult">
      <xsd:simpleType>
        <xsd:restriction base="dms:Note">
          <xsd:maxLength value="255"/>
        </xsd:restriction>
      </xsd:simpleType>
    </xsd:element>
    <xsd:element name="FinmaObjectId" ma:index="28" nillable="true" ma:displayName="Finma Objekt ID" ma:default="F00164912" ma:internalName="FinmaObjectId">
      <xsd:simpleType>
        <xsd:restriction base="dms:Text">
          <xsd:maxLength value="255"/>
        </xsd:restriction>
      </xsd:simpleType>
    </xsd:element>
    <xsd:element name="FinmaObjectName" ma:index="29" nillable="true" ma:displayName="Finma Objekt Bezeichnung" ma:default="Eidgenössische Finanzmarktaufsicht FINMA (F00164912)" ma:internalName="FinmaObjectName">
      <xsd:simpleType>
        <xsd:restriction base="dms:Text">
          <xsd:maxLength value="255"/>
        </xsd:restriction>
      </xsd:simpleType>
    </xsd:element>
    <xsd:element name="Aktionswert" ma:index="30" nillable="true" ma:displayName="Aktionswert" ma:hidden="true" ma:internalName="Aktionswert"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f280f101-3cb0-4217-adc9-922bffc30a36">G01331101-000008</_dlc_DocId>
    <_dlc_DocIdUrl xmlns="f280f101-3cb0-4217-adc9-922bffc30a36">
      <Url>https://gdok.finma.ch/container/1514/_layouts/15/DocIdRedir.aspx?ID=G01331101-000008</Url>
      <Description>G01331101-000008</Description>
    </_dlc_DocIdUrl>
    <FinmaDocumentDate xmlns="f280f101-3cb0-4217-adc9-922bffc30a36">2021-05-15T22:00:00+00:00</FinmaDocumentDate>
    <f6ac7f7711e24d149a1ab98f6cfad432 xmlns="f280f101-3cb0-4217-adc9-922bffc30a36">
      <Terms xmlns="http://schemas.microsoft.com/office/infopath/2007/PartnerControls">
        <TermInfo xmlns="http://schemas.microsoft.com/office/infopath/2007/PartnerControls">
          <TermName xmlns="http://schemas.microsoft.com/office/infopath/2007/PartnerControls">Aktiv</TermName>
          <TermId xmlns="http://schemas.microsoft.com/office/infopath/2007/PartnerControls">7439e81f-a110-4e88-a7af-acf8d4806223</TermId>
        </TermInfo>
      </Terms>
    </f6ac7f7711e24d149a1ab98f6cfad432>
    <FinmaValidationDate xmlns="f280f101-3cb0-4217-adc9-922bffc30a36">2022-08-29T09:03:23+00:00</FinmaValidationDate>
    <FinmaCaseDescription xmlns="f280f101-3cb0-4217-adc9-922bffc30a36">Publikation Key Metrics 2021 (G01331101)</FinmaCaseDescription>
    <FinmaCaseID xmlns="f280f101-3cb0-4217-adc9-922bffc30a36">G01331101</FinmaCaseID>
    <n1f5c6536ac648a38ad663cdf8bd44e6 xmlns="f280f101-3cb0-4217-adc9-922bffc30a36">
      <Terms xmlns="http://schemas.microsoft.com/office/infopath/2007/PartnerControls"/>
    </n1f5c6536ac648a38ad663cdf8bd44e6>
    <FinmaValidationResult xmlns="f280f101-3cb0-4217-adc9-922bffc30a36" xsi:nil="true"/>
    <g1c9cab47ab34847b4ac830bba5063b0 xmlns="f280f101-3cb0-4217-adc9-922bffc30a36">
      <Terms xmlns="http://schemas.microsoft.com/office/infopath/2007/PartnerControls"/>
    </g1c9cab47ab34847b4ac830bba5063b0>
    <Aktionswert xmlns="f280f101-3cb0-4217-adc9-922bffc30a36" xsi:nil="true"/>
    <h5452bf913d342ef967d06fb0970c0a5 xmlns="f280f101-3cb0-4217-adc9-922bffc30a36">
      <Terms xmlns="http://schemas.microsoft.com/office/infopath/2007/PartnerControls"/>
    </h5452bf913d342ef967d06fb0970c0a5>
    <FinmaObjectId xmlns="f280f101-3cb0-4217-adc9-922bffc30a36">F00164912</FinmaObjectId>
    <FinmaObjectName xmlns="f280f101-3cb0-4217-adc9-922bffc30a36">Eidgenössische Finanzmarktaufsicht FINMA (F00164912)</FinmaObjectName>
    <TaxCatchAll xmlns="f280f101-3cb0-4217-adc9-922bffc30a36">
      <Value>1</Value>
    </TaxCatchAll>
    <FinmaPasswordProtected xmlns="f280f101-3cb0-4217-adc9-922bffc30a36">false</FinmaPasswordProtected>
  </documentManagement>
</p:properties>
</file>

<file path=customXml/itemProps1.xml><?xml version="1.0" encoding="utf-8"?>
<ds:datastoreItem xmlns:ds="http://schemas.openxmlformats.org/officeDocument/2006/customXml" ds:itemID="{3870F95E-C7DB-4DDA-9C52-EC36BBAF9295}">
  <ds:schemaRefs>
    <ds:schemaRef ds:uri="http://schemas.microsoft.com/sharepoint/events"/>
  </ds:schemaRefs>
</ds:datastoreItem>
</file>

<file path=customXml/itemProps2.xml><?xml version="1.0" encoding="utf-8"?>
<ds:datastoreItem xmlns:ds="http://schemas.openxmlformats.org/officeDocument/2006/customXml" ds:itemID="{AC6F1A08-FDBB-48D3-83CD-86A89B141F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80f101-3cb0-4217-adc9-922bffc30a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10B86C-2A10-423F-9755-80DC4238C10B}">
  <ds:schemaRefs>
    <ds:schemaRef ds:uri="http://schemas.microsoft.com/sharepoint/v3/contenttype/forms"/>
  </ds:schemaRefs>
</ds:datastoreItem>
</file>

<file path=customXml/itemProps4.xml><?xml version="1.0" encoding="utf-8"?>
<ds:datastoreItem xmlns:ds="http://schemas.openxmlformats.org/officeDocument/2006/customXml" ds:itemID="{7C070294-8B0D-40E4-80A7-F0FFB86F597C}">
  <ds:schemaRefs>
    <ds:schemaRef ds:uri="http://schemas.microsoft.com/office/2006/metadata/properties"/>
    <ds:schemaRef ds:uri="http://schemas.microsoft.com/office/infopath/2007/PartnerControls"/>
    <ds:schemaRef ds:uri="f280f101-3cb0-4217-adc9-922bffc30a36"/>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Tabelle1</vt:lpstr>
      <vt:lpstr>KeyMetrics2020</vt:lpstr>
      <vt:lpstr>KeyMetrics2020!Druckbereich</vt:lpstr>
      <vt:lpstr>KeyMetrics2020!Drucktitel</vt:lpstr>
    </vt:vector>
  </TitlesOfParts>
  <Company>FINMA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Steiner Christian</dc:creator>
  <cp:lastModifiedBy>Natalia Alessia Jacob</cp:lastModifiedBy>
  <dcterms:created xsi:type="dcterms:W3CDTF">2019-06-03T15:39:55Z</dcterms:created>
  <dcterms:modified xsi:type="dcterms:W3CDTF">2026-02-23T14:02:08Z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opic">
    <vt:lpwstr/>
  </property>
  <property fmtid="{D5CDD505-2E9C-101B-9397-08002B2CF9AE}" pid="3" name="OSP">
    <vt:lpwstr>11;#4-01.9 Verschiedenes|e6fcb4e3-30b0-4407-a767-d767f5fd947e</vt:lpwstr>
  </property>
  <property fmtid="{D5CDD505-2E9C-101B-9397-08002B2CF9AE}" pid="4" name="OU">
    <vt:lpwstr>2;#B-ANI|72e08c1a-6daa-4ddd-9fb5-697ff07cf528</vt:lpwstr>
  </property>
  <property fmtid="{D5CDD505-2E9C-101B-9397-08002B2CF9AE}" pid="5" name="ContentTypeId">
    <vt:lpwstr>0x0101003A499141982C43AFAF241BDE541C18D500095EC17B92A6C54CA6FB8B3CD4F62E23</vt:lpwstr>
  </property>
  <property fmtid="{D5CDD505-2E9C-101B-9397-08002B2CF9AE}" pid="6" name="_dlc_DocIdItemGuid">
    <vt:lpwstr>48984a59-b0b8-4e2a-b28d-498dc7f9def2</vt:lpwstr>
  </property>
  <property fmtid="{D5CDD505-2E9C-101B-9397-08002B2CF9AE}" pid="7" name="FinmaCaseStatus">
    <vt:lpwstr>1;#Aktiv|7439e81f-a110-4e88-a7af-acf8d4806223</vt:lpwstr>
  </property>
  <property fmtid="{D5CDD505-2E9C-101B-9397-08002B2CF9AE}" pid="8" name="FinmaCrmEntityIDs">
    <vt:lpwstr/>
  </property>
  <property fmtid="{D5CDD505-2E9C-101B-9397-08002B2CF9AE}" pid="9" name="FinmaCatchphrases">
    <vt:lpwstr/>
  </property>
  <property fmtid="{D5CDD505-2E9C-101B-9397-08002B2CF9AE}" pid="10" name="FinmaCategory">
    <vt:lpwstr/>
  </property>
</Properties>
</file>