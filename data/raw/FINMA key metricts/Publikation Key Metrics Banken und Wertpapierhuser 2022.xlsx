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atalialessia/Desktop/RAW_Data_Banks/"/>
    </mc:Choice>
  </mc:AlternateContent>
  <xr:revisionPtr revIDLastSave="0" documentId="13_ncr:1_{EDE0A967-AFB5-3740-8B8D-9B84E85DCF7B}" xr6:coauthVersionLast="47" xr6:coauthVersionMax="47" xr10:uidLastSave="{00000000-0000-0000-0000-000000000000}"/>
  <bookViews>
    <workbookView xWindow="11320" yWindow="500" windowWidth="17480" windowHeight="16300" xr2:uid="{00000000-000D-0000-FFFF-FFFF00000000}"/>
  </bookViews>
  <sheets>
    <sheet name="Tabelle1" sheetId="17" r:id="rId1"/>
    <sheet name="Key Metrics 2022" sheetId="16" r:id="rId2"/>
  </sheets>
  <externalReferences>
    <externalReference r:id="rId3"/>
  </externalReferences>
  <definedNames>
    <definedName name="_xlnm.Print_Area" localSheetId="1">'Key Metrics 2022'!$A$1:$AD$176</definedName>
    <definedName name="_xlnm.Print_Titles" localSheetId="1">'Key Metrics 2022'!$6:$7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6" l="1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</calcChain>
</file>

<file path=xl/sharedStrings.xml><?xml version="1.0" encoding="utf-8"?>
<sst xmlns="http://schemas.openxmlformats.org/spreadsheetml/2006/main" count="458" uniqueCount="240">
  <si>
    <t>Name</t>
  </si>
  <si>
    <t>Entris Banking AG</t>
  </si>
  <si>
    <t>Valiant Bank AG</t>
  </si>
  <si>
    <t>Alpha RHEINTAL Bank AG</t>
  </si>
  <si>
    <t>Caisse d'Epargne et de Crédit Mutuel de Chermignon société coopérative</t>
  </si>
  <si>
    <t>Bezirks-Sparkasse Dielsdorf Genossenschaft</t>
  </si>
  <si>
    <t>GRB Glarner Regionalbank Genossenschaft</t>
  </si>
  <si>
    <t>Urner Kantonalbank</t>
  </si>
  <si>
    <t>Appenzeller Kantonalbank</t>
  </si>
  <si>
    <t>Basler Kantonalbank</t>
  </si>
  <si>
    <t>Banque Cantonale de Fribourg</t>
  </si>
  <si>
    <t>Banque Cantonale de Genève</t>
  </si>
  <si>
    <t>Glarner Kantonalbank</t>
  </si>
  <si>
    <t>Basellandschaftliche Kantonalbank</t>
  </si>
  <si>
    <t>Luzerner Kantonalbank AG</t>
  </si>
  <si>
    <t>Banque Cantonale du Jura SA</t>
  </si>
  <si>
    <t>Banque Cantonale du Valais</t>
  </si>
  <si>
    <t>Thurgauer Kantonalbank</t>
  </si>
  <si>
    <t>BANK ZIMMERBERG AG</t>
  </si>
  <si>
    <t>Bank EKI Genossenschaft</t>
  </si>
  <si>
    <t>Spar+Leihkasse Riggisberg AG</t>
  </si>
  <si>
    <t>Hypothekarbank Lenzburg AG</t>
  </si>
  <si>
    <t>Banca dello Stato del Cantone Ticino</t>
  </si>
  <si>
    <t>Berner Kantonalbank AG</t>
  </si>
  <si>
    <t>Graubündner Kantonalbank</t>
  </si>
  <si>
    <t>Banque Cantonale Vaudoise</t>
  </si>
  <si>
    <t>St. Galler Kantonalbank AG</t>
  </si>
  <si>
    <t>Schaffhauser Kantonalbank</t>
  </si>
  <si>
    <t>Schwyzer Kantonalbank</t>
  </si>
  <si>
    <t>Zuger Kantonalbank</t>
  </si>
  <si>
    <t>Zürcher Landbank AG</t>
  </si>
  <si>
    <t>Regiobank Solothurn AG</t>
  </si>
  <si>
    <t>Caisse d'Epargne Riviera, société coopérative</t>
  </si>
  <si>
    <t>Cornèr Banca SA</t>
  </si>
  <si>
    <t>Bank Julius Bär &amp; Co. AG</t>
  </si>
  <si>
    <t>Privatbank IHAG Zürich AG</t>
  </si>
  <si>
    <t>Lienhardt &amp; Partner Privatbank Zürich AG</t>
  </si>
  <si>
    <t>EFG Bank European Financial Group SA</t>
  </si>
  <si>
    <t>Bank Vontobel AG</t>
  </si>
  <si>
    <t>VP Bank (Schweiz) AG</t>
  </si>
  <si>
    <t>Bank J. Safra Sarasin AG</t>
  </si>
  <si>
    <t>Deutsche Bank (Suisse) SA</t>
  </si>
  <si>
    <t>J.P. Morgan (Suisse) SA</t>
  </si>
  <si>
    <t>BANCA DEL SEMPIONE SA</t>
  </si>
  <si>
    <t>DZ PRIVATBANK (Schweiz) AG</t>
  </si>
  <si>
    <t>ODDO BHF (Schweiz) AG</t>
  </si>
  <si>
    <t>Habib Bank AG Zürich</t>
  </si>
  <si>
    <t>Piguet Galland &amp; Cie SA</t>
  </si>
  <si>
    <t>Rothschild &amp; Co Bank AG</t>
  </si>
  <si>
    <t>Ersparniskasse Rüeggisberg Genossenschaft</t>
  </si>
  <si>
    <t>SB Saanen Bank AG</t>
  </si>
  <si>
    <t>Bank Cler AG</t>
  </si>
  <si>
    <t>SELVI &amp; Cie SA</t>
  </si>
  <si>
    <t>REYL &amp; Cie SA</t>
  </si>
  <si>
    <t>Gonet &amp; Cie SA</t>
  </si>
  <si>
    <t>Banque Lombard Odier &amp; Cie SA</t>
  </si>
  <si>
    <t>Credit Europe Bank (Suisse) SA</t>
  </si>
  <si>
    <t>Banque Thaler SA</t>
  </si>
  <si>
    <t>Privatbank Bellerive AG</t>
  </si>
  <si>
    <t>Mercantil Bank (Schweiz) AG</t>
  </si>
  <si>
    <t>Bank BSU Genossenschaft</t>
  </si>
  <si>
    <t>Bank Linth LLB AG</t>
  </si>
  <si>
    <t>Migros Bank AG</t>
  </si>
  <si>
    <t>Dreyfus Söhne &amp; Cie. Aktiengesellschaft, Banquiers</t>
  </si>
  <si>
    <t>Edmond de Rothschild (Suisse) S.A.</t>
  </si>
  <si>
    <t>WIR Bank Genossenschaft</t>
  </si>
  <si>
    <t>Freie Gemeinschaftsbank Genossenschaft</t>
  </si>
  <si>
    <t>CBH Compagnie Bancaire Helvétique SA</t>
  </si>
  <si>
    <t>Bank CIC (Schweiz) AG</t>
  </si>
  <si>
    <t>Banque de Commerce et de Placements SA</t>
  </si>
  <si>
    <t>Barclays Bank (Suisse) SA</t>
  </si>
  <si>
    <t>Schroder &amp; Co Bank AG</t>
  </si>
  <si>
    <t>EFG Bank AG</t>
  </si>
  <si>
    <t>Hyposwiss Private Bank Genève SA</t>
  </si>
  <si>
    <t>F. van Lanschot Bankiers (Schweiz) AG</t>
  </si>
  <si>
    <t>SAXO BANK (SCHWEIZ) AG</t>
  </si>
  <si>
    <t>CA Indosuez (Switzerland) SA</t>
  </si>
  <si>
    <t>UNION BANCAIRE PRIVEE, UBP SA</t>
  </si>
  <si>
    <t>Frankfurter Bankgesellschaft (Schweiz) AG</t>
  </si>
  <si>
    <t>Aargauische Kantonalbank</t>
  </si>
  <si>
    <t>Fidurhône SA</t>
  </si>
  <si>
    <t>Delen (Suisse) SA</t>
  </si>
  <si>
    <t>Scobag Privatbank AG</t>
  </si>
  <si>
    <t>SOCIETE GENERALE Private Banking (Suisse) SA</t>
  </si>
  <si>
    <t>CIM BANQUE SA</t>
  </si>
  <si>
    <t>Banca Popolare di Sondrio (Suisse) SA</t>
  </si>
  <si>
    <t>AXION SWISS BANK SA</t>
  </si>
  <si>
    <t>Banca Aletti &amp; C. (Suisse) SA</t>
  </si>
  <si>
    <t>Quantus AG</t>
  </si>
  <si>
    <t>BANQUE HERITAGE SA</t>
  </si>
  <si>
    <t>Tellco AG</t>
  </si>
  <si>
    <t>Quilvest (Switzerland) Ltd.</t>
  </si>
  <si>
    <t>BNP Paribas (Suisse) SA</t>
  </si>
  <si>
    <t>Vontobel Holding AG</t>
  </si>
  <si>
    <t>Valiant Holding AG</t>
  </si>
  <si>
    <t>Edmond de Rothschild Holding SA</t>
  </si>
  <si>
    <t>HSBC Private Bank (Suisse) SA</t>
  </si>
  <si>
    <t>Crédit Agricole next bank (Suisse) SA</t>
  </si>
  <si>
    <t>Swissquote Bank SA</t>
  </si>
  <si>
    <t>BANCA ZARATTINI &amp; CO. SA</t>
  </si>
  <si>
    <t>J. Safra Sarasin Holding AG</t>
  </si>
  <si>
    <t>Swissquote Group Holding SA</t>
  </si>
  <si>
    <t>SeeBeteiligungs AG</t>
  </si>
  <si>
    <t>Financière SYZ SA</t>
  </si>
  <si>
    <t>NPB Neue Privat Bank AG</t>
  </si>
  <si>
    <t>LGT Bank (Schweiz) AG</t>
  </si>
  <si>
    <t>Banque Cramer &amp; Cie SA</t>
  </si>
  <si>
    <t>Gonet SA</t>
  </si>
  <si>
    <t>Clientis AG</t>
  </si>
  <si>
    <t>BANCA CREDINVEST SA</t>
  </si>
  <si>
    <t>FAB Private Bank (Suisse) SA</t>
  </si>
  <si>
    <t>EFG International AG</t>
  </si>
  <si>
    <t>Dukascopy Bank SA</t>
  </si>
  <si>
    <t>VZ Depotbank AG</t>
  </si>
  <si>
    <t>Bank-now AG</t>
  </si>
  <si>
    <t>HINDUJA SUISSE HOLDING SA</t>
  </si>
  <si>
    <t>VZ Holding AG</t>
  </si>
  <si>
    <t>bank zweiplus ag</t>
  </si>
  <si>
    <t>QNB (Suisse) SA</t>
  </si>
  <si>
    <t>Bank von Roll AG</t>
  </si>
  <si>
    <t>Banco Itaú (Suisse) SA</t>
  </si>
  <si>
    <t>Swiss Bankers Prepaid Services AG</t>
  </si>
  <si>
    <t>Julius Bär Gruppe AG</t>
  </si>
  <si>
    <t>Helvetische Bank AG</t>
  </si>
  <si>
    <t>Cembra Money Bank AG</t>
  </si>
  <si>
    <t>Banque du Léman SA</t>
  </si>
  <si>
    <t>Banque Internationale de Commerce - BRED (Suisse) SA</t>
  </si>
  <si>
    <t>Groupe Mirabaud</t>
  </si>
  <si>
    <t>Banco Santander International SA</t>
  </si>
  <si>
    <t>Bank Avera Genossenschaft</t>
  </si>
  <si>
    <t>Remaco Asset Management AG</t>
  </si>
  <si>
    <t>SEBA Bank AG</t>
  </si>
  <si>
    <t>Sygnum Bank AG</t>
  </si>
  <si>
    <t>1. Quartal</t>
  </si>
  <si>
    <t>2. Quartal</t>
  </si>
  <si>
    <t>3. Quartal</t>
  </si>
  <si>
    <t>4. Quartal</t>
  </si>
  <si>
    <t>Anrechenbare Eigenmittel</t>
  </si>
  <si>
    <t>davon hartes Kernkapital (CET1)</t>
  </si>
  <si>
    <t>davon Kernkapital (T1)</t>
  </si>
  <si>
    <t>CET1-Quote (CET1 in % der RWA)</t>
  </si>
  <si>
    <t>Kernkapital-quote (T1 in % der RWA)</t>
  </si>
  <si>
    <t>Gesamtkapital-
quote (in % 
der RWA)</t>
  </si>
  <si>
    <t>LCR</t>
  </si>
  <si>
    <t>Zähler der LCR (HQLA)</t>
  </si>
  <si>
    <t>Nenner der LCR (Net Outflow)</t>
  </si>
  <si>
    <t>in TCHF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</si>
  <si>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</si>
  <si>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</si>
  <si>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</si>
  <si>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</si>
  <si>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</si>
  <si>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</si>
  <si>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</si>
  <si>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</si>
  <si>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</si>
  <si>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</si>
  <si>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</si>
  <si>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</si>
  <si>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</si>
  <si>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</si>
  <si>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</si>
  <si>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</si>
  <si>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</si>
  <si>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</si>
  <si>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</si>
  <si>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</si>
  <si>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</si>
  <si>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</si>
  <si>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</si>
  <si>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</si>
  <si>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</si>
  <si>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</si>
  <si>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</si>
  <si>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</si>
  <si>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BANQUE AUDI (SUISSE) SA</t>
  </si>
  <si>
    <t>FlowBank SA</t>
  </si>
  <si>
    <t>NBK Private Bank (Switzerland) Ltd</t>
  </si>
  <si>
    <t>S.P. Hinduja Banque Privée SA</t>
  </si>
  <si>
    <t>Mindest-
eigenmittel (RWA-basiert)</t>
  </si>
  <si>
    <t>Basel III Leverage
Ratio</t>
  </si>
  <si>
    <t>Gesamt-
engagement</t>
  </si>
  <si>
    <t>Banque Eric Sturdza SA</t>
  </si>
  <si>
    <t>Banque Internationale à Luxembourg (Suisse) SA</t>
  </si>
  <si>
    <t>BBVA SA</t>
  </si>
  <si>
    <t>BERGOS AG</t>
  </si>
  <si>
    <t>Crypto Finance AG</t>
  </si>
  <si>
    <t>InCore Bank AG</t>
  </si>
  <si>
    <t>Kaleido Privatbank AG</t>
  </si>
  <si>
    <t>NEUTRAL HOLDING S.A. SPF</t>
  </si>
  <si>
    <t>Obwaldner Kantonalbank</t>
  </si>
  <si>
    <t>ONE swiss bank SA</t>
  </si>
  <si>
    <t>SOBACO Holding AG</t>
  </si>
  <si>
    <t>Taurus SA</t>
  </si>
  <si>
    <t>Spalte29</t>
  </si>
  <si>
    <t>Spalte30</t>
  </si>
  <si>
    <t>Spalte31</t>
  </si>
  <si>
    <t>NSFR</t>
  </si>
  <si>
    <t>Zähler der NSFR (ASF)</t>
  </si>
  <si>
    <t>Nenner der NSFR (RSF)</t>
  </si>
  <si>
    <t>Groupe Pictet</t>
  </si>
  <si>
    <t>FINMA-Publikation von Key Metrics 2022</t>
  </si>
  <si>
    <t>Alpian SA</t>
  </si>
  <si>
    <t>Baloise Bank AG</t>
  </si>
  <si>
    <t>BANQUE BANORIENT (SUISSE) SA</t>
  </si>
  <si>
    <t>Banque Syz SA</t>
  </si>
  <si>
    <t>BZ Bank Aktiengesellschaft</t>
  </si>
  <si>
    <t>Groupe Eric Sturdza SA</t>
  </si>
  <si>
    <t>Maerki Baumann &amp; Co. AG</t>
  </si>
  <si>
    <t>Nidwaldner Kantonalbank</t>
  </si>
  <si>
    <t>PKB PRIVATE BANK SA</t>
  </si>
  <si>
    <t>radicant bank ag</t>
  </si>
  <si>
    <t>Sparhafen Bank AG</t>
  </si>
  <si>
    <t>Sparhafen Genossenschaft</t>
  </si>
  <si>
    <t>TradeXBank AG</t>
  </si>
  <si>
    <r>
      <t>1)</t>
    </r>
    <r>
      <rPr>
        <sz val="7"/>
        <rFont val="Arial"/>
        <family val="2"/>
      </rPr>
      <t xml:space="preserve"> Die Kategorie nach BankV Art. 2 Abs. 2 bezieht sich auf den Stichtag 31.12.2022.</t>
    </r>
  </si>
  <si>
    <t>Antizyklischer Puffer (AZP; in % der RWA)</t>
  </si>
  <si>
    <t>CET1-Zielquote
inkl. AZP</t>
  </si>
  <si>
    <t>T1-Zielquote
inkl. AZP</t>
  </si>
  <si>
    <t>Gesamtkapital-
Zielquote inkl. AZP</t>
  </si>
  <si>
    <t>2)</t>
  </si>
  <si>
    <t>n/a</t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</si>
  <si>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Holding- und Gruppengesellschaften sind unter bestimmten Voraussetzungen von der Offenlegung der Liquiditätskennzahlen befreit (Rz 8 Rundschreiben 2016/1 "Offenlegung - Banken" bzw. Art. 14 Liquiditätsverordnung (LiqV) bzw. Rz 104 ff. Rundschreiben 2015/2 "Liquiditätsrisiken - Banken").</t>
    </r>
  </si>
  <si>
    <t>Banque Cantonale Neuchâteloise</t>
  </si>
  <si>
    <t>Risiko-gewichtete Aktiven (RWA)</t>
  </si>
  <si>
    <r>
      <t>ISP Group AG</t>
    </r>
    <r>
      <rPr>
        <vertAlign val="superscript"/>
        <sz val="8"/>
        <color theme="1"/>
        <rFont val="Arial"/>
        <family val="2"/>
      </rPr>
      <t xml:space="preserve"> 4)</t>
    </r>
  </si>
  <si>
    <r>
      <t>ISP Securities AG</t>
    </r>
    <r>
      <rPr>
        <vertAlign val="superscript"/>
        <sz val="8"/>
        <color theme="1"/>
        <rFont val="Arial"/>
        <family val="2"/>
      </rPr>
      <t xml:space="preserve"> 4)</t>
    </r>
  </si>
  <si>
    <r>
      <rPr>
        <vertAlign val="superscript"/>
        <sz val="7"/>
        <rFont val="Arial"/>
        <family val="2"/>
      </rPr>
      <t xml:space="preserve">4) </t>
    </r>
    <r>
      <rPr>
        <sz val="7"/>
        <rFont val="Arial"/>
        <family val="2"/>
      </rPr>
      <t>Siehe Publikation seitens Institut für weitergehende Informationen zur Kapitalsituation.</t>
    </r>
  </si>
  <si>
    <r>
      <rPr>
        <vertAlign val="superscript"/>
        <sz val="7"/>
        <rFont val="Arial"/>
        <family val="2"/>
      </rPr>
      <t xml:space="preserve">3) </t>
    </r>
    <r>
      <rPr>
        <sz val="7"/>
        <rFont val="Arial"/>
        <family val="2"/>
      </rPr>
      <t>Offenlegung des Geschäftsberichts 2022 und der regulatorischen Kennzahlen per 31.12.2022 noch ausstehend (Stand 15.06.2023).</t>
    </r>
  </si>
  <si>
    <t>3)</t>
  </si>
  <si>
    <t>Offenlegung gemäss Rundschreiben 2016/1 "Offenlegung - Banken" per 31.12.2022</t>
  </si>
  <si>
    <t>Spalte210</t>
  </si>
  <si>
    <t>Kategorie 2021</t>
  </si>
  <si>
    <r>
      <t xml:space="preserve">Kategorie </t>
    </r>
    <r>
      <rPr>
        <b/>
        <vertAlign val="superscript"/>
        <sz val="8"/>
        <color theme="1"/>
        <rFont val="Arial"/>
        <family val="2"/>
      </rPr>
      <t>1)</t>
    </r>
    <r>
      <rPr>
        <b/>
        <sz val="8"/>
        <color theme="1"/>
        <rFont val="Arial"/>
        <family val="2"/>
      </rPr>
      <t xml:space="preserve"> 2022</t>
    </r>
  </si>
  <si>
    <t>PDF</t>
  </si>
  <si>
    <t>Spalte112</t>
  </si>
  <si>
    <t>CET1 ohne AZP</t>
  </si>
  <si>
    <t>Zeilenbeschriftungen</t>
  </si>
  <si>
    <t>Gesamtergebnis</t>
  </si>
  <si>
    <t>Summe von Risiko-gewichtete Aktiven (RWA)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</si>
</sst>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vertAlign val="superscript"/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theme="1"/>
      <name val="Arial"/>
      <family val="2"/>
    </font>
    <font>
      <sz val="14"/>
      <color rgb="FF00669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7" fillId="0" borderId="0" xfId="2" applyFont="1"/>
    <xf numFmtId="0" fontId="5" fillId="0" borderId="0" xfId="0" applyFont="1" applyAlignment="1">
      <alignment wrapText="1"/>
    </xf>
    <xf numFmtId="3" fontId="7" fillId="0" borderId="0" xfId="2" applyNumberFormat="1" applyFont="1" applyAlignment="1">
      <alignment horizontal="right" wrapText="1"/>
    </xf>
    <xf numFmtId="0" fontId="7" fillId="0" borderId="0" xfId="2" applyFont="1" applyAlignment="1">
      <alignment horizontal="right" wrapText="1"/>
    </xf>
    <xf numFmtId="164" fontId="7" fillId="0" borderId="0" xfId="1" applyNumberFormat="1" applyFont="1" applyFill="1" applyBorder="1" applyAlignment="1" applyProtection="1">
      <alignment horizontal="right" wrapText="1"/>
    </xf>
    <xf numFmtId="9" fontId="7" fillId="0" borderId="0" xfId="1" applyFont="1" applyFill="1" applyBorder="1" applyAlignment="1" applyProtection="1">
      <alignment horizontal="right" wrapText="1"/>
    </xf>
    <xf numFmtId="9" fontId="7" fillId="0" borderId="1" xfId="1" applyFont="1" applyFill="1" applyBorder="1" applyAlignment="1" applyProtection="1">
      <alignment horizontal="right" wrapText="1"/>
    </xf>
    <xf numFmtId="9" fontId="7" fillId="0" borderId="2" xfId="1" applyFont="1" applyFill="1" applyBorder="1" applyAlignment="1" applyProtection="1">
      <alignment horizontal="right" wrapText="1"/>
    </xf>
    <xf numFmtId="164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9" fontId="3" fillId="0" borderId="1" xfId="0" applyNumberFormat="1" applyFont="1" applyBorder="1"/>
    <xf numFmtId="3" fontId="3" fillId="0" borderId="2" xfId="0" applyNumberFormat="1" applyFont="1" applyBorder="1" applyAlignment="1">
      <alignment horizontal="right" vertical="center"/>
    </xf>
    <xf numFmtId="0" fontId="3" fillId="2" borderId="3" xfId="0" applyFont="1" applyFill="1" applyBorder="1"/>
    <xf numFmtId="0" fontId="3" fillId="0" borderId="3" xfId="0" applyFont="1" applyBorder="1"/>
    <xf numFmtId="9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3" fillId="0" borderId="0" xfId="1" applyNumberFormat="1" applyFont="1"/>
    <xf numFmtId="9" fontId="14" fillId="0" borderId="0" xfId="3" applyNumberFormat="1" applyFont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15" fillId="0" borderId="0" xfId="0" applyNumberFormat="1" applyFont="1"/>
    <xf numFmtId="3" fontId="15" fillId="0" borderId="0" xfId="0" applyNumberFormat="1" applyFont="1" applyAlignment="1">
      <alignment horizontal="right"/>
    </xf>
    <xf numFmtId="164" fontId="15" fillId="0" borderId="0" xfId="1" applyNumberFormat="1" applyFont="1"/>
    <xf numFmtId="164" fontId="15" fillId="0" borderId="0" xfId="1" applyNumberFormat="1" applyFont="1" applyAlignment="1">
      <alignment horizontal="right"/>
    </xf>
    <xf numFmtId="9" fontId="3" fillId="2" borderId="3" xfId="0" applyNumberFormat="1" applyFont="1" applyFill="1" applyBorder="1" applyAlignment="1">
      <alignment horizontal="right"/>
    </xf>
    <xf numFmtId="0" fontId="15" fillId="0" borderId="0" xfId="0" applyFont="1"/>
    <xf numFmtId="164" fontId="15" fillId="0" borderId="0" xfId="0" applyNumberFormat="1" applyFont="1"/>
    <xf numFmtId="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2" borderId="3" xfId="0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3" fontId="15" fillId="2" borderId="0" xfId="0" applyNumberFormat="1" applyFont="1" applyFill="1" applyAlignment="1">
      <alignment horizontal="right"/>
    </xf>
    <xf numFmtId="0" fontId="3" fillId="0" borderId="3" xfId="0" applyFont="1" applyBorder="1" applyAlignment="1">
      <alignment horizontal="right"/>
    </xf>
    <xf numFmtId="9" fontId="13" fillId="0" borderId="3" xfId="0" applyNumberFormat="1" applyFont="1" applyBorder="1" applyAlignment="1">
      <alignment horizontal="right"/>
    </xf>
    <xf numFmtId="3" fontId="13" fillId="0" borderId="3" xfId="0" applyNumberFormat="1" applyFont="1" applyBorder="1" applyAlignment="1">
      <alignment horizontal="right"/>
    </xf>
    <xf numFmtId="164" fontId="13" fillId="0" borderId="0" xfId="1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9" fontId="13" fillId="2" borderId="3" xfId="0" applyNumberFormat="1" applyFont="1" applyFill="1" applyBorder="1" applyAlignment="1">
      <alignment horizontal="right"/>
    </xf>
    <xf numFmtId="3" fontId="13" fillId="2" borderId="3" xfId="0" applyNumberFormat="1" applyFont="1" applyFill="1" applyBorder="1" applyAlignment="1">
      <alignment horizontal="right"/>
    </xf>
    <xf numFmtId="3" fontId="13" fillId="2" borderId="0" xfId="0" applyNumberFormat="1" applyFont="1" applyFill="1" applyAlignment="1">
      <alignment horizontal="right"/>
    </xf>
    <xf numFmtId="164" fontId="3" fillId="0" borderId="0" xfId="1" applyNumberFormat="1" applyFont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16" fillId="0" borderId="0" xfId="0" applyFont="1"/>
    <xf numFmtId="164" fontId="3" fillId="5" borderId="0" xfId="0" applyNumberFormat="1" applyFont="1" applyFill="1"/>
    <xf numFmtId="164" fontId="0" fillId="5" borderId="0" xfId="0" applyNumberFormat="1" applyFill="1" applyAlignment="1">
      <alignment vertical="center"/>
    </xf>
    <xf numFmtId="164" fontId="7" fillId="5" borderId="0" xfId="1" applyNumberFormat="1" applyFont="1" applyFill="1" applyBorder="1" applyAlignment="1" applyProtection="1">
      <alignment horizontal="right" wrapText="1"/>
    </xf>
    <xf numFmtId="164" fontId="3" fillId="5" borderId="0" xfId="0" applyNumberFormat="1" applyFont="1" applyFill="1" applyAlignment="1">
      <alignment vertical="center"/>
    </xf>
    <xf numFmtId="164" fontId="3" fillId="6" borderId="3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3" fontId="13" fillId="5" borderId="3" xfId="0" applyNumberFormat="1" applyFont="1" applyFill="1" applyBorder="1" applyAlignment="1">
      <alignment horizontal="right"/>
    </xf>
    <xf numFmtId="164" fontId="15" fillId="5" borderId="0" xfId="0" applyNumberFormat="1" applyFont="1" applyFill="1"/>
    <xf numFmtId="164" fontId="3" fillId="5" borderId="0" xfId="0" applyNumberFormat="1" applyFont="1" applyFill="1" applyAlignment="1">
      <alignment horizontal="left" vertical="center"/>
    </xf>
    <xf numFmtId="9" fontId="14" fillId="5" borderId="0" xfId="3" applyNumberFormat="1" applyFont="1" applyFill="1" applyAlignment="1" applyProtection="1">
      <alignment horizontal="left" vertical="center"/>
    </xf>
    <xf numFmtId="9" fontId="5" fillId="0" borderId="1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2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Link" xfId="3" builtinId="8"/>
    <cellStyle name="Prozent" xfId="1" builtinId="5"/>
    <cellStyle name="Standard" xfId="0" builtinId="0"/>
    <cellStyle name="Standard_Tabelle2" xfId="2" xr:uid="{00000000-0005-0000-0000-000003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77931</xdr:colOff>
      <xdr:row>0</xdr:row>
      <xdr:rowOff>51954</xdr:rowOff>
    </xdr:from>
    <xdr:to>
      <xdr:col>14</xdr:col>
      <xdr:colOff>165653</xdr:colOff>
      <xdr:row>4</xdr:row>
      <xdr:rowOff>247650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974281" y="51954"/>
          <a:ext cx="3250022" cy="13958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ASF: Verfügbare stabile Refinanzierung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T1: Kernkapital (Tier 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HQLA: Total der qualitativ hochwertigen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liquiden Aktiven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Leverage Ratio: Ungewichtete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RSF: Erforderliche stabile Refinanzierung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Publikation%20Key%20Metrics%20Banken%20und%20Wertpapierhaeuser%202021D.xlsx" TargetMode="External"/><Relationship Id="rId2" Type="http://schemas.openxmlformats.org/officeDocument/2006/relationships/externalLinkPath" Target="/Users/natalialessia/Downloads/Publikation%20Key%20Metrics%20Banken%20und%20Wertpapierhaeuser%202021D.xlsx" TargetMode="External"/><Relationship Id="rId1" Type="http://schemas.openxmlformats.org/officeDocument/2006/relationships/externalLinkPath" Target="/Users/natalialessia/Downloads/Publikation%20Key%20Metrics%20Banken%20und%20Wertpapierhaeuser%202021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eyMetrics2021"/>
    </sheetNames>
    <sheetDataSet>
      <sheetData sheetId="0">
        <row r="1">
          <cell r="A1" t="str">
            <v>FINMA-Publikation von Key Metrics 2021</v>
          </cell>
        </row>
        <row r="2">
          <cell r="A2" t="str">
            <v>Offenlegung gemäss Rundschreiben "Offenlegung - Banken" per 31.12.2021</v>
          </cell>
        </row>
        <row r="6">
          <cell r="A6" t="str">
            <v>Name</v>
          </cell>
          <cell r="B6" t="str">
            <v>Kategorie 1)</v>
          </cell>
        </row>
        <row r="8">
          <cell r="A8" t="str">
            <v>Spalte1</v>
          </cell>
          <cell r="B8" t="str">
            <v>Spalte2</v>
          </cell>
        </row>
        <row r="9">
          <cell r="A9" t="str">
            <v>Aargauische Kantonalbank</v>
          </cell>
          <cell r="B9">
            <v>3</v>
          </cell>
        </row>
        <row r="10">
          <cell r="A10" t="str">
            <v>Alpha RHEINTAL Bank AG</v>
          </cell>
          <cell r="B10">
            <v>4</v>
          </cell>
        </row>
        <row r="11">
          <cell r="A11" t="str">
            <v>Appenzeller Kantonalbank</v>
          </cell>
          <cell r="B11">
            <v>4</v>
          </cell>
        </row>
        <row r="12">
          <cell r="A12" t="str">
            <v>AXION SWISS BANK SA</v>
          </cell>
          <cell r="B12">
            <v>4</v>
          </cell>
        </row>
        <row r="13">
          <cell r="A13" t="str">
            <v>Baloise Bank SoBa AG</v>
          </cell>
          <cell r="B13">
            <v>4</v>
          </cell>
        </row>
        <row r="14">
          <cell r="A14" t="str">
            <v>Banca Aletti &amp; C. (Suisse) SA</v>
          </cell>
          <cell r="B14">
            <v>5</v>
          </cell>
        </row>
        <row r="15">
          <cell r="A15" t="str">
            <v>BANCA CREDINVEST SA</v>
          </cell>
          <cell r="B15">
            <v>5</v>
          </cell>
        </row>
        <row r="16">
          <cell r="A16" t="str">
            <v>BANCA DEL SEMPIONE SA</v>
          </cell>
          <cell r="B16">
            <v>5</v>
          </cell>
        </row>
        <row r="17">
          <cell r="A17" t="str">
            <v>Banca dello Stato del Cantone Ticino</v>
          </cell>
          <cell r="B17">
            <v>3</v>
          </cell>
        </row>
        <row r="18">
          <cell r="A18" t="str">
            <v>Banca Popolare di Sondrio (Suisse) SA</v>
          </cell>
          <cell r="B18">
            <v>4</v>
          </cell>
        </row>
        <row r="19">
          <cell r="A19" t="str">
            <v>BANCA ZARATTINI &amp; CO. SA</v>
          </cell>
          <cell r="B19">
            <v>5</v>
          </cell>
        </row>
        <row r="20">
          <cell r="A20" t="str">
            <v>Banco Itaú (Suisse) SA</v>
          </cell>
          <cell r="B20">
            <v>5</v>
          </cell>
        </row>
        <row r="21">
          <cell r="A21" t="str">
            <v>Banco Santander International SA</v>
          </cell>
          <cell r="B21">
            <v>4</v>
          </cell>
        </row>
        <row r="22">
          <cell r="A22" t="str">
            <v>Bank Avera Genossenschaft</v>
          </cell>
          <cell r="B22">
            <v>4</v>
          </cell>
        </row>
        <row r="23">
          <cell r="A23" t="str">
            <v>Bank BSU Genossenschaft</v>
          </cell>
          <cell r="B23">
            <v>5</v>
          </cell>
        </row>
        <row r="24">
          <cell r="A24" t="str">
            <v>Bank CIC (Schweiz) AG</v>
          </cell>
          <cell r="B24">
            <v>4</v>
          </cell>
        </row>
        <row r="25">
          <cell r="A25" t="str">
            <v>Bank Cler AG</v>
          </cell>
          <cell r="B25">
            <v>3</v>
          </cell>
        </row>
        <row r="26">
          <cell r="A26" t="str">
            <v>Bank EKI Genossenschaft</v>
          </cell>
          <cell r="B26">
            <v>4</v>
          </cell>
        </row>
        <row r="27">
          <cell r="A27" t="str">
            <v>Bank J. Safra Sarasin AG</v>
          </cell>
          <cell r="B27">
            <v>3</v>
          </cell>
        </row>
        <row r="28">
          <cell r="A28" t="str">
            <v>Bank Julius Bär &amp; Co. AG</v>
          </cell>
          <cell r="B28">
            <v>3</v>
          </cell>
        </row>
        <row r="29">
          <cell r="A29" t="str">
            <v>Bank Linth LLB AG</v>
          </cell>
          <cell r="B29">
            <v>4</v>
          </cell>
        </row>
        <row r="30">
          <cell r="A30" t="str">
            <v>Bank Sparhafen Zürich AG</v>
          </cell>
          <cell r="B30">
            <v>5</v>
          </cell>
        </row>
        <row r="31">
          <cell r="A31" t="str">
            <v>Bank von Roll AG</v>
          </cell>
          <cell r="B31">
            <v>5</v>
          </cell>
        </row>
        <row r="32">
          <cell r="A32" t="str">
            <v>Bank Vontobel AG</v>
          </cell>
          <cell r="B32">
            <v>3</v>
          </cell>
        </row>
        <row r="33">
          <cell r="A33" t="str">
            <v>BANK ZIMMERBERG AG</v>
          </cell>
          <cell r="B33">
            <v>5</v>
          </cell>
        </row>
        <row r="34">
          <cell r="A34" t="str">
            <v>bank zweiplus ag</v>
          </cell>
          <cell r="B34">
            <v>5</v>
          </cell>
        </row>
        <row r="35">
          <cell r="A35" t="str">
            <v>Bank-now AG</v>
          </cell>
          <cell r="B35">
            <v>5</v>
          </cell>
        </row>
        <row r="36">
          <cell r="A36" t="str">
            <v>BANQUE AUDI (SUISSE) SA</v>
          </cell>
          <cell r="B36">
            <v>4</v>
          </cell>
        </row>
        <row r="37">
          <cell r="A37" t="str">
            <v>Banque Cantonale de Fribourg</v>
          </cell>
          <cell r="B37">
            <v>3</v>
          </cell>
        </row>
        <row r="38">
          <cell r="A38" t="str">
            <v>Banque Cantonale de Genève</v>
          </cell>
          <cell r="B38">
            <v>3</v>
          </cell>
        </row>
        <row r="39">
          <cell r="A39" t="str">
            <v>Banque Cantonale du Jura SA</v>
          </cell>
          <cell r="B39">
            <v>4</v>
          </cell>
        </row>
        <row r="40">
          <cell r="A40" t="str">
            <v>Banque Cantonale du Valais</v>
          </cell>
          <cell r="B40">
            <v>3</v>
          </cell>
        </row>
        <row r="41">
          <cell r="A41" t="str">
            <v>Banque cantonale neuchâteloise</v>
          </cell>
          <cell r="B41">
            <v>4</v>
          </cell>
        </row>
        <row r="42">
          <cell r="A42" t="str">
            <v>Banque Cantonale Vaudoise</v>
          </cell>
          <cell r="B42">
            <v>3</v>
          </cell>
        </row>
        <row r="43">
          <cell r="A43" t="str">
            <v>Banque Cramer &amp; Cie SA</v>
          </cell>
          <cell r="B43">
            <v>5</v>
          </cell>
        </row>
        <row r="44">
          <cell r="A44" t="str">
            <v>Banque de Commerce et de Placements SA</v>
          </cell>
          <cell r="B44">
            <v>5</v>
          </cell>
        </row>
        <row r="45">
          <cell r="A45" t="str">
            <v>Banque Degroof Petercam (Suisse) SA</v>
          </cell>
          <cell r="B45">
            <v>5</v>
          </cell>
        </row>
        <row r="46">
          <cell r="A46" t="str">
            <v>Banque du Léman SA</v>
          </cell>
          <cell r="B46">
            <v>5</v>
          </cell>
        </row>
        <row r="47">
          <cell r="A47" t="str">
            <v>Banque Eric Sturdza SA</v>
          </cell>
          <cell r="B47">
            <v>5</v>
          </cell>
        </row>
        <row r="48">
          <cell r="A48" t="str">
            <v>BANQUE HERITAGE SA</v>
          </cell>
          <cell r="B48">
            <v>4</v>
          </cell>
        </row>
        <row r="49">
          <cell r="A49" t="str">
            <v>Banque Internationale à Luxembourg (Suisse) SA</v>
          </cell>
          <cell r="B49">
            <v>4</v>
          </cell>
        </row>
        <row r="50">
          <cell r="A50" t="str">
            <v>Banque Internationale de Commerce - BRED (Suisse) SA</v>
          </cell>
          <cell r="B50">
            <v>5</v>
          </cell>
        </row>
        <row r="51">
          <cell r="A51" t="str">
            <v>Banque Lombard Odier &amp; Cie SA</v>
          </cell>
          <cell r="B51">
            <v>3</v>
          </cell>
        </row>
        <row r="52">
          <cell r="A52" t="str">
            <v>Banque SYZ SA</v>
          </cell>
          <cell r="B52">
            <v>4</v>
          </cell>
        </row>
        <row r="53">
          <cell r="A53" t="str">
            <v>Banque Thaler SA</v>
          </cell>
          <cell r="B53">
            <v>5</v>
          </cell>
        </row>
        <row r="54">
          <cell r="A54" t="str">
            <v>Barclays Bank (Suisse) SA</v>
          </cell>
          <cell r="B54">
            <v>4</v>
          </cell>
        </row>
        <row r="55">
          <cell r="A55" t="str">
            <v>Basellandschaftliche Kantonalbank</v>
          </cell>
          <cell r="B55">
            <v>3</v>
          </cell>
        </row>
        <row r="56">
          <cell r="A56" t="str">
            <v>Basler Kantonalbank</v>
          </cell>
          <cell r="B56">
            <v>3</v>
          </cell>
        </row>
        <row r="57">
          <cell r="A57" t="str">
            <v>BBVA SA</v>
          </cell>
          <cell r="B57">
            <v>4</v>
          </cell>
        </row>
        <row r="58">
          <cell r="A58" t="str">
            <v>BERGOS AG</v>
          </cell>
          <cell r="B58">
            <v>5</v>
          </cell>
        </row>
        <row r="59">
          <cell r="A59" t="str">
            <v>Berner Kantonalbank AG</v>
          </cell>
          <cell r="B59">
            <v>3</v>
          </cell>
        </row>
        <row r="60">
          <cell r="A60" t="str">
            <v>Bezirks-Sparkasse Dielsdorf Genossenschaft</v>
          </cell>
          <cell r="B60">
            <v>4</v>
          </cell>
        </row>
        <row r="61">
          <cell r="A61" t="str">
            <v>BLOM BANK (Switzerland) SA</v>
          </cell>
          <cell r="B61">
            <v>5</v>
          </cell>
        </row>
        <row r="62">
          <cell r="A62" t="str">
            <v>BNP Paribas (Suisse) SA</v>
          </cell>
          <cell r="B62">
            <v>3</v>
          </cell>
        </row>
        <row r="63">
          <cell r="A63" t="str">
            <v>BSZ Genossenschaft</v>
          </cell>
          <cell r="B63">
            <v>5</v>
          </cell>
        </row>
        <row r="64">
          <cell r="A64" t="str">
            <v>CA Indosuez (Switzerland) SA</v>
          </cell>
          <cell r="B64">
            <v>3</v>
          </cell>
        </row>
        <row r="65">
          <cell r="A65" t="str">
            <v>Caisse d'Epargne et de Crédit Mutuel de Chermignon société coopérative</v>
          </cell>
          <cell r="B65">
            <v>5</v>
          </cell>
        </row>
        <row r="66">
          <cell r="A66" t="str">
            <v>Caisse d'Epargne Riviera, société coopérative</v>
          </cell>
          <cell r="B66">
            <v>5</v>
          </cell>
        </row>
        <row r="67">
          <cell r="A67" t="str">
            <v>CBH Compagnie Bancaire Helvétique SA</v>
          </cell>
          <cell r="B67">
            <v>4</v>
          </cell>
        </row>
        <row r="68">
          <cell r="A68" t="str">
            <v>Cembra Money Bank AG</v>
          </cell>
          <cell r="B68">
            <v>4</v>
          </cell>
        </row>
        <row r="69">
          <cell r="A69" t="str">
            <v>CIM BANQUE SA</v>
          </cell>
          <cell r="B69">
            <v>5</v>
          </cell>
        </row>
        <row r="70">
          <cell r="A70" t="str">
            <v>Cité Gestion SA</v>
          </cell>
          <cell r="B70">
            <v>5</v>
          </cell>
        </row>
        <row r="71">
          <cell r="A71" t="str">
            <v>Clientis AG</v>
          </cell>
          <cell r="B71">
            <v>4</v>
          </cell>
        </row>
        <row r="72">
          <cell r="A72" t="str">
            <v>Cornèr Banca SA</v>
          </cell>
          <cell r="B72">
            <v>4</v>
          </cell>
        </row>
        <row r="73">
          <cell r="A73" t="str">
            <v>Crédit Agricole next bank (Suisse) SA</v>
          </cell>
          <cell r="B73">
            <v>4</v>
          </cell>
        </row>
        <row r="74">
          <cell r="A74" t="str">
            <v>Credit Europe Bank (Suisse) SA</v>
          </cell>
          <cell r="B74">
            <v>5</v>
          </cell>
        </row>
        <row r="75">
          <cell r="A75" t="str">
            <v>Crypto Finance (Brokerage) AG</v>
          </cell>
          <cell r="B75">
            <v>5</v>
          </cell>
        </row>
        <row r="76">
          <cell r="A76" t="str">
            <v>Crypto Finance AG</v>
          </cell>
          <cell r="B76">
            <v>5</v>
          </cell>
        </row>
        <row r="77">
          <cell r="A77" t="str">
            <v>Delen (Suisse) SA</v>
          </cell>
          <cell r="B77">
            <v>5</v>
          </cell>
        </row>
        <row r="78">
          <cell r="A78" t="str">
            <v>Deutsche Bank (Suisse) SA</v>
          </cell>
          <cell r="B78">
            <v>4</v>
          </cell>
        </row>
        <row r="79">
          <cell r="A79" t="str">
            <v>Dreyfus Söhne &amp; Cie. Aktiengesellschaft, Banquiers</v>
          </cell>
          <cell r="B79">
            <v>4</v>
          </cell>
        </row>
        <row r="80">
          <cell r="A80" t="str">
            <v>Dukascopy Bank SA</v>
          </cell>
          <cell r="B80">
            <v>5</v>
          </cell>
        </row>
        <row r="81">
          <cell r="A81" t="str">
            <v>DZ PRIVATBANK (Schweiz) AG</v>
          </cell>
          <cell r="B81">
            <v>5</v>
          </cell>
        </row>
        <row r="82">
          <cell r="A82" t="str">
            <v>Edmond de Rothschild (Suisse) S.A.</v>
          </cell>
          <cell r="B82">
            <v>3</v>
          </cell>
        </row>
        <row r="83">
          <cell r="A83" t="str">
            <v>Edmond de Rothschild Holding SA</v>
          </cell>
          <cell r="B83">
            <v>3</v>
          </cell>
        </row>
        <row r="84">
          <cell r="A84" t="str">
            <v>EFG Bank AG</v>
          </cell>
          <cell r="B84">
            <v>3</v>
          </cell>
        </row>
        <row r="85">
          <cell r="A85" t="str">
            <v>EFG Bank European Financial Group SA</v>
          </cell>
          <cell r="B85">
            <v>3</v>
          </cell>
        </row>
        <row r="86">
          <cell r="A86" t="str">
            <v>EFG International AG</v>
          </cell>
          <cell r="B86">
            <v>3</v>
          </cell>
        </row>
        <row r="87">
          <cell r="A87" t="str">
            <v>Entris Banking AG</v>
          </cell>
          <cell r="B87">
            <v>5</v>
          </cell>
        </row>
        <row r="88">
          <cell r="A88" t="str">
            <v>Ersparniskasse Rüeggisberg Genossenschaft</v>
          </cell>
          <cell r="B88">
            <v>5</v>
          </cell>
        </row>
        <row r="89">
          <cell r="A89" t="str">
            <v>F. van Lanschot Bankiers (Schweiz) AG</v>
          </cell>
          <cell r="B89">
            <v>5</v>
          </cell>
        </row>
        <row r="90">
          <cell r="A90" t="str">
            <v>FAB Private Bank (Suisse) SA</v>
          </cell>
          <cell r="B90">
            <v>5</v>
          </cell>
        </row>
        <row r="91">
          <cell r="A91" t="str">
            <v>Fidurhône SA</v>
          </cell>
          <cell r="B91">
            <v>5</v>
          </cell>
        </row>
        <row r="92">
          <cell r="A92" t="str">
            <v>Financière SYZ SA</v>
          </cell>
          <cell r="B92">
            <v>4</v>
          </cell>
        </row>
        <row r="93">
          <cell r="A93" t="str">
            <v>FlowBank SA</v>
          </cell>
          <cell r="B93">
            <v>5</v>
          </cell>
        </row>
        <row r="94">
          <cell r="A94" t="str">
            <v>Frankfurter Bankgesellschaft (Schweiz) AG</v>
          </cell>
          <cell r="B94">
            <v>4</v>
          </cell>
        </row>
        <row r="95">
          <cell r="A95" t="str">
            <v>Freie Gemeinschaftsbank Genossenschaft</v>
          </cell>
          <cell r="B95">
            <v>5</v>
          </cell>
        </row>
        <row r="96">
          <cell r="A96" t="str">
            <v>Gazprombank (Schweiz) AG</v>
          </cell>
          <cell r="B96">
            <v>5</v>
          </cell>
        </row>
        <row r="97">
          <cell r="A97" t="str">
            <v>Glarner Kantonalbank</v>
          </cell>
          <cell r="B97">
            <v>4</v>
          </cell>
        </row>
        <row r="98">
          <cell r="A98" t="str">
            <v>Gonet &amp; Cie SA</v>
          </cell>
          <cell r="B98">
            <v>5</v>
          </cell>
        </row>
        <row r="99">
          <cell r="A99" t="str">
            <v>Gonet SA</v>
          </cell>
          <cell r="B99">
            <v>5</v>
          </cell>
        </row>
        <row r="100">
          <cell r="A100" t="str">
            <v>Graubündner Kantonalbank</v>
          </cell>
          <cell r="B100">
            <v>3</v>
          </cell>
        </row>
        <row r="101">
          <cell r="A101" t="str">
            <v>GRB Glarner Regionalbank Genossenschaft</v>
          </cell>
          <cell r="B101">
            <v>5</v>
          </cell>
        </row>
        <row r="102">
          <cell r="A102" t="str">
            <v>Groupe Mirabaud</v>
          </cell>
          <cell r="B102">
            <v>4</v>
          </cell>
        </row>
        <row r="103">
          <cell r="A103" t="str">
            <v>Groupe Pictet</v>
          </cell>
          <cell r="B103">
            <v>3</v>
          </cell>
        </row>
        <row r="104">
          <cell r="A104" t="str">
            <v>Habib Bank AG Zürich</v>
          </cell>
          <cell r="B104">
            <v>4</v>
          </cell>
        </row>
        <row r="105">
          <cell r="A105" t="str">
            <v>Helvetische Bank AG</v>
          </cell>
          <cell r="B105">
            <v>5</v>
          </cell>
        </row>
        <row r="106">
          <cell r="A106" t="str">
            <v>HINDUJA SUISSE HOLDING SA</v>
          </cell>
          <cell r="B106">
            <v>5</v>
          </cell>
        </row>
        <row r="107">
          <cell r="A107" t="str">
            <v>HSBC Private Bank (Suisse) SA</v>
          </cell>
          <cell r="B107">
            <v>3</v>
          </cell>
        </row>
        <row r="108">
          <cell r="A108" t="str">
            <v>Hyposwiss Private Bank Genève SA</v>
          </cell>
          <cell r="B108">
            <v>4</v>
          </cell>
        </row>
        <row r="109">
          <cell r="A109" t="str">
            <v>Hypothekarbank Lenzburg AG</v>
          </cell>
          <cell r="B109">
            <v>4</v>
          </cell>
        </row>
        <row r="110">
          <cell r="A110" t="str">
            <v>InCore Bank AG</v>
          </cell>
          <cell r="B110">
            <v>5</v>
          </cell>
        </row>
        <row r="111">
          <cell r="A111" t="str">
            <v>Intesa Sanpaolo Private Bank (Suisse) Morval SA</v>
          </cell>
          <cell r="B111">
            <v>5</v>
          </cell>
        </row>
        <row r="112">
          <cell r="A112" t="str">
            <v>ISP Group AG</v>
          </cell>
          <cell r="B112">
            <v>5</v>
          </cell>
        </row>
        <row r="113">
          <cell r="A113" t="str">
            <v>ISP Securities AG</v>
          </cell>
          <cell r="B113">
            <v>5</v>
          </cell>
        </row>
        <row r="114">
          <cell r="A114" t="str">
            <v>J. Safra Sarasin Holding AG</v>
          </cell>
          <cell r="B114">
            <v>3</v>
          </cell>
        </row>
        <row r="115">
          <cell r="A115" t="str">
            <v>J.P. Morgan (Suisse) SA</v>
          </cell>
          <cell r="B115">
            <v>4</v>
          </cell>
        </row>
        <row r="116">
          <cell r="A116" t="str">
            <v>Julius Bär Gruppe AG</v>
          </cell>
          <cell r="B116">
            <v>3</v>
          </cell>
        </row>
        <row r="117">
          <cell r="A117" t="str">
            <v>Kaleido Privatbank AG</v>
          </cell>
          <cell r="B117">
            <v>5</v>
          </cell>
        </row>
        <row r="118">
          <cell r="A118" t="str">
            <v>LGT Bank (Schweiz) AG</v>
          </cell>
          <cell r="B118">
            <v>4</v>
          </cell>
        </row>
        <row r="119">
          <cell r="A119" t="str">
            <v>Lienhardt &amp; Partner Privatbank Zürich AG</v>
          </cell>
          <cell r="B119">
            <v>4</v>
          </cell>
        </row>
        <row r="120">
          <cell r="A120" t="str">
            <v>Luzerner Kantonalbank AG</v>
          </cell>
          <cell r="B120">
            <v>3</v>
          </cell>
        </row>
        <row r="121">
          <cell r="A121" t="str">
            <v>Mercantil Bank (Schweiz) AG</v>
          </cell>
          <cell r="B121">
            <v>5</v>
          </cell>
        </row>
        <row r="122">
          <cell r="A122" t="str">
            <v>Migros Bank AG</v>
          </cell>
          <cell r="B122">
            <v>3</v>
          </cell>
        </row>
        <row r="123">
          <cell r="A123" t="str">
            <v>NBK Private Bank (Switzerland) Ltd</v>
          </cell>
          <cell r="B123">
            <v>5</v>
          </cell>
        </row>
        <row r="124">
          <cell r="A124" t="str">
            <v>NEUTRAL HOLDING S.A. SPF</v>
          </cell>
          <cell r="B124">
            <v>5</v>
          </cell>
        </row>
        <row r="125">
          <cell r="A125" t="str">
            <v>NPB Neue Privat Bank AG</v>
          </cell>
          <cell r="B125">
            <v>5</v>
          </cell>
        </row>
        <row r="126">
          <cell r="A126" t="str">
            <v>Obwaldner Kantonalbank</v>
          </cell>
          <cell r="B126">
            <v>4</v>
          </cell>
        </row>
        <row r="127">
          <cell r="A127" t="str">
            <v>ODDO BHF (Schweiz) AG</v>
          </cell>
          <cell r="B127">
            <v>5</v>
          </cell>
        </row>
        <row r="128">
          <cell r="A128" t="str">
            <v>ONE swiss bank SA</v>
          </cell>
          <cell r="B128">
            <v>5</v>
          </cell>
        </row>
        <row r="129">
          <cell r="A129" t="str">
            <v>PATRIMONY 1873 SA</v>
          </cell>
          <cell r="B129">
            <v>5</v>
          </cell>
        </row>
        <row r="130">
          <cell r="A130" t="str">
            <v>Piguet Galland &amp; Cie SA</v>
          </cell>
          <cell r="B130">
            <v>4</v>
          </cell>
        </row>
        <row r="131">
          <cell r="A131" t="str">
            <v>PKB PRIVATBANK SA</v>
          </cell>
          <cell r="B131">
            <v>4</v>
          </cell>
        </row>
        <row r="132">
          <cell r="A132" t="str">
            <v>Privatbank Bellerive AG</v>
          </cell>
          <cell r="B132">
            <v>5</v>
          </cell>
        </row>
        <row r="133">
          <cell r="A133" t="str">
            <v>Privatbank IHAG Zürich AG</v>
          </cell>
          <cell r="B133">
            <v>5</v>
          </cell>
        </row>
        <row r="134">
          <cell r="A134" t="str">
            <v>QNB (Suisse) SA</v>
          </cell>
          <cell r="B134">
            <v>5</v>
          </cell>
        </row>
        <row r="135">
          <cell r="A135" t="str">
            <v>Quantus AG</v>
          </cell>
          <cell r="B135">
            <v>5</v>
          </cell>
        </row>
        <row r="136">
          <cell r="A136" t="str">
            <v>Quilvest (Switzerland) Ltd.</v>
          </cell>
          <cell r="B136">
            <v>5</v>
          </cell>
        </row>
        <row r="137">
          <cell r="A137" t="str">
            <v>Quintet Private Bank (Schweiz) AG</v>
          </cell>
          <cell r="B137">
            <v>5</v>
          </cell>
        </row>
        <row r="138">
          <cell r="A138" t="str">
            <v>Regiobank Solothurn AG</v>
          </cell>
          <cell r="B138">
            <v>4</v>
          </cell>
        </row>
        <row r="139">
          <cell r="A139" t="str">
            <v>Remaco Asset Management AG</v>
          </cell>
          <cell r="B139">
            <v>5</v>
          </cell>
        </row>
        <row r="140">
          <cell r="A140" t="str">
            <v>REYL &amp; Cie SA</v>
          </cell>
          <cell r="B140">
            <v>4</v>
          </cell>
        </row>
        <row r="141">
          <cell r="A141" t="str">
            <v>Rothschild &amp; Co Bank AG</v>
          </cell>
          <cell r="B141">
            <v>4</v>
          </cell>
        </row>
        <row r="142">
          <cell r="A142" t="str">
            <v>S.P. Hinduja Banque Privée SA</v>
          </cell>
          <cell r="B142">
            <v>5</v>
          </cell>
        </row>
        <row r="143">
          <cell r="A143" t="str">
            <v>SAXO BANK (SCHWEIZ) AG</v>
          </cell>
          <cell r="B143">
            <v>5</v>
          </cell>
        </row>
        <row r="144">
          <cell r="A144" t="str">
            <v>SB Saanen Bank AG</v>
          </cell>
          <cell r="B144">
            <v>5</v>
          </cell>
        </row>
        <row r="145">
          <cell r="A145" t="str">
            <v>Sberbank (Switzerland) AG</v>
          </cell>
          <cell r="B145">
            <v>5</v>
          </cell>
        </row>
        <row r="146">
          <cell r="A146" t="str">
            <v>Schaffhauser Kantonalbank</v>
          </cell>
          <cell r="B146">
            <v>4</v>
          </cell>
        </row>
        <row r="147">
          <cell r="A147" t="str">
            <v>Schroder &amp; Co Bank AG</v>
          </cell>
          <cell r="B147">
            <v>4</v>
          </cell>
        </row>
        <row r="148">
          <cell r="A148" t="str">
            <v>Schwyzer Kantonalbank</v>
          </cell>
          <cell r="B148">
            <v>3</v>
          </cell>
        </row>
        <row r="149">
          <cell r="A149" t="str">
            <v>Scobag Privatbank AG</v>
          </cell>
          <cell r="B149">
            <v>5</v>
          </cell>
        </row>
        <row r="150">
          <cell r="A150" t="str">
            <v>SEBA Bank AG</v>
          </cell>
          <cell r="B150">
            <v>5</v>
          </cell>
        </row>
        <row r="151">
          <cell r="A151" t="str">
            <v>SeeBeteiligungs AG</v>
          </cell>
          <cell r="B151">
            <v>5</v>
          </cell>
        </row>
        <row r="152">
          <cell r="A152" t="str">
            <v>SELVI &amp; Cie SA</v>
          </cell>
          <cell r="B152">
            <v>5</v>
          </cell>
        </row>
        <row r="153">
          <cell r="A153" t="str">
            <v>SOBACO Holding AG</v>
          </cell>
          <cell r="B153">
            <v>5</v>
          </cell>
        </row>
        <row r="154">
          <cell r="A154" t="str">
            <v>SOCIETE GENERALE Private Banking (Suisse) SA</v>
          </cell>
          <cell r="B154">
            <v>4</v>
          </cell>
        </row>
        <row r="155">
          <cell r="A155" t="str">
            <v>Spar+Leihkasse Riggisberg AG</v>
          </cell>
          <cell r="B155">
            <v>5</v>
          </cell>
        </row>
        <row r="156">
          <cell r="A156" t="str">
            <v>St. Galler Kantonalbank AG</v>
          </cell>
          <cell r="B156">
            <v>3</v>
          </cell>
        </row>
        <row r="157">
          <cell r="A157" t="str">
            <v>Swiss Bankers Prepaid Services AG</v>
          </cell>
          <cell r="B157">
            <v>5</v>
          </cell>
        </row>
        <row r="158">
          <cell r="A158" t="str">
            <v>Swissquote Bank SA</v>
          </cell>
          <cell r="B158">
            <v>4</v>
          </cell>
        </row>
        <row r="159">
          <cell r="A159" t="str">
            <v>Swissquote Group Holding SA</v>
          </cell>
          <cell r="B159">
            <v>4</v>
          </cell>
        </row>
        <row r="160">
          <cell r="A160" t="str">
            <v>Sygnum Bank AG</v>
          </cell>
          <cell r="B160">
            <v>5</v>
          </cell>
        </row>
        <row r="161">
          <cell r="A161" t="str">
            <v>Taurus SA</v>
          </cell>
          <cell r="B161">
            <v>5</v>
          </cell>
        </row>
        <row r="162">
          <cell r="A162" t="str">
            <v>Tellco AG</v>
          </cell>
          <cell r="B162">
            <v>5</v>
          </cell>
        </row>
        <row r="163">
          <cell r="A163" t="str">
            <v>Thurgauer Kantonalbank</v>
          </cell>
          <cell r="B163">
            <v>3</v>
          </cell>
        </row>
        <row r="164">
          <cell r="A164" t="str">
            <v>UNION BANCAIRE PRIVEE, UBP SA</v>
          </cell>
          <cell r="B164">
            <v>3</v>
          </cell>
        </row>
        <row r="165">
          <cell r="A165" t="str">
            <v>Urner Kantonalbank</v>
          </cell>
          <cell r="B165">
            <v>4</v>
          </cell>
        </row>
        <row r="166">
          <cell r="A166" t="str">
            <v>Valiant Bank AG</v>
          </cell>
          <cell r="B166">
            <v>3</v>
          </cell>
        </row>
        <row r="167">
          <cell r="A167" t="str">
            <v>Valiant Holding AG</v>
          </cell>
          <cell r="B167">
            <v>3</v>
          </cell>
        </row>
        <row r="168">
          <cell r="A168" t="str">
            <v>Vontobel Holding AG</v>
          </cell>
          <cell r="B168">
            <v>3</v>
          </cell>
        </row>
        <row r="169">
          <cell r="A169" t="str">
            <v>VP Bank (Schweiz) AG</v>
          </cell>
          <cell r="B169">
            <v>4</v>
          </cell>
        </row>
        <row r="170">
          <cell r="A170" t="str">
            <v>VZ Depotbank AG</v>
          </cell>
          <cell r="B170">
            <v>4</v>
          </cell>
        </row>
        <row r="171">
          <cell r="A171" t="str">
            <v>VZ Holding AG</v>
          </cell>
          <cell r="B171">
            <v>4</v>
          </cell>
        </row>
        <row r="172">
          <cell r="A172" t="str">
            <v>WIR Bank Genossenschaft</v>
          </cell>
          <cell r="B172">
            <v>4</v>
          </cell>
        </row>
        <row r="173">
          <cell r="A173" t="str">
            <v>Zuger Kantonalbank</v>
          </cell>
          <cell r="B173">
            <v>3</v>
          </cell>
        </row>
        <row r="174">
          <cell r="A174" t="str">
            <v>Zürcher Landbank AG</v>
          </cell>
          <cell r="B174">
            <v>5</v>
          </cell>
        </row>
        <row r="175">
          <cell r="A175"/>
          <cell r="B175"/>
        </row>
        <row r="176">
          <cell r="A176" t="str">
            <v>1) Die Kategorie nach BankV Art. 2 Abs. 2 bezieht sich auf den Stichtag 31.12.2021.</v>
          </cell>
          <cell r="B176"/>
        </row>
        <row r="177">
          <cell r="A177" t="str">
            <v xml:space="preserve">2) Infolge der COVID-19-Krise hat der Bundesrat auf Antrag der Schweizerischen Nationalbank den nationalen antizyklischen Kapitalpuffer (AZP) per 27.03.2020 deaktiviert. Mit Wirkung ab 30.09.2022 wurde er reaktiviert. </v>
          </cell>
          <cell r="B177"/>
        </row>
        <row r="178">
          <cell r="A178" t="str">
            <v>3) Holding- und Gruppengesellschaften sind unter bestimmten Voraussetzungen von der Offenlegung der LCR-Liquiditätskennzahlen befreit (Rz 8 Rundschreiben 2016/1 "Offenlegung - Banken" bzw. Art. 14 Liquiditätsverordnung (LiqV) bzw. Rz 104 ff. Rundschreiben 2015/2 "Liquiditätsrisiken - Banken").</v>
          </cell>
          <cell r="B178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Jacob" refreshedDate="46076.630197569444" createdVersion="8" refreshedVersion="8" minRefreshableVersion="3" recordCount="167" xr:uid="{CCB69FB0-DEB9-4149-A838-DE7C733AB497}">
  <cacheSource type="worksheet">
    <worksheetSource ref="A6:AG173" sheet="Key Metrics 2022"/>
  </cacheSource>
  <cacheFields count="33">
    <cacheField name="Name" numFmtId="0">
      <sharedItems containsBlank="1" count="167">
        <m/>
        <s v="Spalte1"/>
        <s v="Aargauische Kantonalbank"/>
        <s v="Alpha RHEINTAL Bank AG"/>
        <s v="Alpian SA"/>
        <s v="Appenzeller Kantonalbank"/>
        <s v="AXION SWISS BANK SA"/>
        <s v="Baloise Bank AG"/>
        <s v="Banca Aletti &amp; C. (Suisse) SA"/>
        <s v="BANCA CREDINVEST SA"/>
        <s v="BANCA DEL SEMPIONE SA"/>
        <s v="Banca dello Stato del Cantone Ticino"/>
        <s v="Banca Popolare di Sondrio (Suisse) SA"/>
        <s v="BANCA ZARATTINI &amp; CO. SA"/>
        <s v="Banco Itaú (Suisse) SA"/>
        <s v="Banco Santander International SA"/>
        <s v="Bank Avera Genossenschaft"/>
        <s v="Bank BSU Genossenschaft"/>
        <s v="Bank CIC (Schweiz) AG"/>
        <s v="Bank Cler AG"/>
        <s v="Bank EKI Genossenschaft"/>
        <s v="Bank J. Safra Sarasin AG"/>
        <s v="Bank Julius Bär &amp; Co. AG"/>
        <s v="Bank Linth LLB AG"/>
        <s v="Bank von Roll AG"/>
        <s v="Bank Vontobel AG"/>
        <s v="BANK ZIMMERBERG AG"/>
        <s v="bank zweiplus ag"/>
        <s v="Bank-now AG"/>
        <s v="BANQUE AUDI (SUISSE) SA"/>
        <s v="BANQUE BANORIENT (SUISSE) SA"/>
        <s v="Banque Cantonale de Fribourg"/>
        <s v="Banque Cantonale de Genève"/>
        <s v="Banque Cantonale du Jura SA"/>
        <s v="Banque Cantonale du Valais"/>
        <s v="Banque Cantonale Neuchâteloise"/>
        <s v="Banque Cantonale Vaudoise"/>
        <s v="Banque Cramer &amp; Cie SA"/>
        <s v="Banque de Commerce et de Placements SA"/>
        <s v="Banque du Léman SA"/>
        <s v="Banque Eric Sturdza SA"/>
        <s v="BANQUE HERITAGE SA"/>
        <s v="Banque Internationale à Luxembourg (Suisse) SA"/>
        <s v="Banque Internationale de Commerce - BRED (Suisse) SA"/>
        <s v="Banque Lombard Odier &amp; Cie SA"/>
        <s v="Banque Syz SA"/>
        <s v="Banque Thaler SA"/>
        <s v="Barclays Bank (Suisse) SA"/>
        <s v="Basellandschaftliche Kantonalbank"/>
        <s v="Basler Kantonalbank"/>
        <s v="BBVA SA"/>
        <s v="BERGOS AG"/>
        <s v="Berner Kantonalbank AG"/>
        <s v="Bezirks-Sparkasse Dielsdorf Genossenschaft"/>
        <s v="BNP Paribas (Suisse) SA"/>
        <s v="BZ Bank Aktiengesellschaft"/>
        <s v="CA Indosuez (Switzerland) SA"/>
        <s v="Caisse d'Epargne et de Crédit Mutuel de Chermignon société coopérative"/>
        <s v="Caisse d'Epargne Riviera, société coopérative"/>
        <s v="CBH Compagnie Bancaire Helvétique SA"/>
        <s v="Cembra Money Bank AG"/>
        <s v="CIM BANQUE SA"/>
        <s v="Clientis AG"/>
        <s v="Cornèr Banca SA"/>
        <s v="Crédit Agricole next bank (Suisse) SA"/>
        <s v="Credit Europe Bank (Suisse) SA"/>
        <s v="Crypto Finance AG"/>
        <s v="Delen (Suisse) SA"/>
        <s v="Deutsche Bank (Suisse) SA"/>
        <s v="Dreyfus Söhne &amp; Cie. Aktiengesellschaft, Banquiers"/>
        <s v="Dukascopy Bank SA"/>
        <s v="DZ PRIVATBANK (Schweiz) AG"/>
        <s v="Edmond de Rothschild (Suisse) S.A."/>
        <s v="Edmond de Rothschild Holding SA"/>
        <s v="EFG Bank AG"/>
        <s v="EFG Bank European Financial Group SA"/>
        <s v="EFG International AG"/>
        <s v="Entris Banking AG"/>
        <s v="Ersparniskasse Rüeggisberg Genossenschaft"/>
        <s v="F. van Lanschot Bankiers (Schweiz) AG"/>
        <s v="FAB Private Bank (Suisse) SA"/>
        <s v="Fidurhône SA"/>
        <s v="Financière SYZ SA"/>
        <s v="FlowBank SA"/>
        <s v="Frankfurter Bankgesellschaft (Schweiz) AG"/>
        <s v="Freie Gemeinschaftsbank Genossenschaft"/>
        <s v="Glarner Kantonalbank"/>
        <s v="Gonet &amp; Cie SA"/>
        <s v="Gonet SA"/>
        <s v="Graubündner Kantonalbank"/>
        <s v="GRB Glarner Regionalbank Genossenschaft"/>
        <s v="Groupe Eric Sturdza SA"/>
        <s v="Groupe Mirabaud"/>
        <s v="Groupe Pictet"/>
        <s v="Habib Bank AG Zürich"/>
        <s v="Helvetische Bank AG"/>
        <s v="HINDUJA SUISSE HOLDING SA"/>
        <s v="HSBC Private Bank (Suisse) SA"/>
        <s v="Hyposwiss Private Bank Genève SA"/>
        <s v="Hypothekarbank Lenzburg AG"/>
        <s v="InCore Bank AG"/>
        <s v="ISP Group AG 4)"/>
        <s v="ISP Securities AG 4)"/>
        <s v="J. Safra Sarasin Holding AG"/>
        <s v="J.P. Morgan (Suisse) SA"/>
        <s v="Julius Bär Gruppe AG"/>
        <s v="Kaleido Privatbank AG"/>
        <s v="LGT Bank (Schweiz) AG"/>
        <s v="Lienhardt &amp; Partner Privatbank Zürich AG"/>
        <s v="Luzerner Kantonalbank AG"/>
        <s v="Maerki Baumann &amp; Co. AG"/>
        <s v="Mercantil Bank (Schweiz) AG"/>
        <s v="Migros Bank AG"/>
        <s v="NBK Private Bank (Switzerland) Ltd"/>
        <s v="NEUTRAL HOLDING S.A. SPF"/>
        <s v="Nidwaldner Kantonalbank"/>
        <s v="NPB Neue Privat Bank AG"/>
        <s v="Obwaldner Kantonalbank"/>
        <s v="ODDO BHF (Schweiz) AG"/>
        <s v="ONE swiss bank SA"/>
        <s v="Piguet Galland &amp; Cie SA"/>
        <s v="PKB PRIVATE BANK SA"/>
        <s v="Privatbank Bellerive AG"/>
        <s v="Privatbank IHAG Zürich AG"/>
        <s v="QNB (Suisse) SA"/>
        <s v="Quantus AG"/>
        <s v="Quilvest (Switzerland) Ltd."/>
        <s v="radicant bank ag"/>
        <s v="Regiobank Solothurn AG"/>
        <s v="Remaco Asset Management AG"/>
        <s v="REYL &amp; Cie SA"/>
        <s v="Rothschild &amp; Co Bank AG"/>
        <s v="S.P. Hinduja Banque Privée SA"/>
        <s v="SAXO BANK (SCHWEIZ) AG"/>
        <s v="SB Saanen Bank AG"/>
        <s v="Schaffhauser Kantonalbank"/>
        <s v="Schroder &amp; Co Bank AG"/>
        <s v="Schwyzer Kantonalbank"/>
        <s v="Scobag Privatbank AG"/>
        <s v="SEBA Bank AG"/>
        <s v="SeeBeteiligungs AG"/>
        <s v="SELVI &amp; Cie SA"/>
        <s v="SOBACO Holding AG"/>
        <s v="SOCIETE GENERALE Private Banking (Suisse) SA"/>
        <s v="Spar+Leihkasse Riggisberg AG"/>
        <s v="Sparhafen Bank AG"/>
        <s v="Sparhafen Genossenschaft"/>
        <s v="St. Galler Kantonalbank AG"/>
        <s v="Swiss Bankers Prepaid Services AG"/>
        <s v="Swissquote Bank SA"/>
        <s v="Swissquote Group Holding SA"/>
        <s v="Sygnum Bank AG"/>
        <s v="Taurus SA"/>
        <s v="Tellco AG"/>
        <s v="Thurgauer Kantonalbank"/>
        <s v="TradeXBank AG"/>
        <s v="UNION BANCAIRE PRIVEE, UBP SA"/>
        <s v="Urner Kantonalbank"/>
        <s v="Valiant Bank AG"/>
        <s v="Valiant Holding AG"/>
        <s v="Vontobel Holding AG"/>
        <s v="VP Bank (Schweiz) AG"/>
        <s v="VZ Depotbank AG"/>
        <s v="VZ Holding AG"/>
        <s v="WIR Bank Genossenschaft"/>
        <s v="Zuger Kantonalbank"/>
        <s v="Zürcher Landbank AG"/>
      </sharedItems>
    </cacheField>
    <cacheField name="Kategorie 1) 2022" numFmtId="0">
      <sharedItems containsBlank="1" containsMixedTypes="1" containsNumber="1" containsInteger="1" minValue="3" maxValue="5"/>
    </cacheField>
    <cacheField name="Kategorie 2021" numFmtId="0">
      <sharedItems containsBlank="1" containsMixedTypes="1" containsNumber="1" containsInteger="1" minValue="3" maxValue="5"/>
    </cacheField>
    <cacheField name="Mindest-_x000a_eigenmittel (RWA-basiert)" numFmtId="3">
      <sharedItems containsMixedTypes="1" containsNumber="1" containsInteger="1" minValue="623" maxValue="2044268"/>
    </cacheField>
    <cacheField name="Anrechenbare Eigenmittel" numFmtId="3">
      <sharedItems containsMixedTypes="1" containsNumber="1" containsInteger="1" minValue="2380" maxValue="6267610"/>
    </cacheField>
    <cacheField name="davon hartes Kernkapital (CET1)" numFmtId="3">
      <sharedItems containsMixedTypes="1" containsNumber="1" containsInteger="1" minValue="-1503" maxValue="6177643"/>
    </cacheField>
    <cacheField name="davon Kernkapital (T1)" numFmtId="3">
      <sharedItems containsMixedTypes="1" containsNumber="1" containsInteger="1" minValue="2380" maxValue="6177643"/>
    </cacheField>
    <cacheField name="Risiko-gewichtete Aktiven (RWA)" numFmtId="3">
      <sharedItems containsMixedTypes="1" containsNumber="1" containsInteger="1" minValue="7792" maxValue="25553355"/>
    </cacheField>
    <cacheField name="CET1-Quote (CET1 in % der RWA)" numFmtId="0">
      <sharedItems containsBlank="1" containsMixedTypes="1" containsNumber="1" minValue="-3.4000000000000002E-2" maxValue="1.972"/>
    </cacheField>
    <cacheField name="Kernkapital-quote (T1 in % der RWA)" numFmtId="0">
      <sharedItems containsBlank="1" containsMixedTypes="1" containsNumber="1" minValue="6.6000000000000003E-2" maxValue="1.972"/>
    </cacheField>
    <cacheField name="Gesamtkapital-_x000a_quote (in % _x000a_der RWA)" numFmtId="0">
      <sharedItems containsBlank="1" containsMixedTypes="1" containsNumber="1" minValue="6.6000000000000003E-2" maxValue="1.972"/>
    </cacheField>
    <cacheField name="Antizyklischer Puffer (AZP; in % der RWA)" numFmtId="0">
      <sharedItems containsBlank="1" containsMixedTypes="1" containsNumber="1" minValue="0" maxValue="2.5000000000000001E-2"/>
    </cacheField>
    <cacheField name="CET1 ohne AZP" numFmtId="0">
      <sharedItems containsBlank="1" containsMixedTypes="1" containsNumber="1" minValue="6.9999999999999993E-2" maxValue="7.8E-2"/>
    </cacheField>
    <cacheField name="CET1-Zielquote_x000a_inkl. AZP" numFmtId="0">
      <sharedItems containsBlank="1" containsMixedTypes="1" containsNumber="1" minValue="7.0000000000000007E-2" maxValue="9.6000000000000002E-2"/>
    </cacheField>
    <cacheField name="T1-Zielquote_x000a_inkl. AZP" numFmtId="0">
      <sharedItems containsBlank="1" containsMixedTypes="1" containsNumber="1" minValue="8.5000000000000006E-2" maxValue="0.114"/>
    </cacheField>
    <cacheField name="Gesamtkapital-_x000a_Zielquote inkl. AZP" numFmtId="0">
      <sharedItems containsBlank="1" containsMixedTypes="1" containsNumber="1" minValue="0.105" maxValue="0.13800000000000001"/>
    </cacheField>
    <cacheField name="Basel III Leverage_x000a_Ratio" numFmtId="0">
      <sharedItems containsBlank="1" containsMixedTypes="1" containsNumber="1" minValue="0.02" maxValue="0.91800000000000004"/>
    </cacheField>
    <cacheField name="Gesamt-_x000a_engagement" numFmtId="3">
      <sharedItems containsMixedTypes="1" containsNumber="1" containsInteger="1" minValue="4794" maxValue="106496589"/>
    </cacheField>
    <cacheField name="LCR" numFmtId="0">
      <sharedItems containsBlank="1" containsMixedTypes="1" containsNumber="1" minValue="1.05" maxValue="22.37"/>
    </cacheField>
    <cacheField name="Zähler der LCR (HQLA)" numFmtId="0">
      <sharedItems containsMixedTypes="1" containsNumber="1" containsInteger="1" minValue="602" maxValue="30418266"/>
    </cacheField>
    <cacheField name="Nenner der LCR (Net Outflow)" numFmtId="0">
      <sharedItems containsMixedTypes="1" containsNumber="1" containsInteger="1" minValue="48" maxValue="17122161"/>
    </cacheField>
    <cacheField name="LCR2" numFmtId="0">
      <sharedItems containsBlank="1" containsMixedTypes="1" containsNumber="1" minValue="1.03" maxValue="22.78"/>
    </cacheField>
    <cacheField name="Zähler der LCR (HQLA)2" numFmtId="0">
      <sharedItems containsMixedTypes="1" containsNumber="1" containsInteger="1" minValue="602" maxValue="29609983"/>
    </cacheField>
    <cacheField name="Nenner der LCR (Net Outflow)2" numFmtId="0">
      <sharedItems containsMixedTypes="1" containsNumber="1" containsInteger="1" minValue="55" maxValue="17051201"/>
    </cacheField>
    <cacheField name="LCR3" numFmtId="0">
      <sharedItems containsBlank="1" containsMixedTypes="1" containsNumber="1" minValue="1.04" maxValue="67.680000000000007"/>
    </cacheField>
    <cacheField name="Zähler der LCR (HQLA)3" numFmtId="0">
      <sharedItems containsMixedTypes="1" containsNumber="1" containsInteger="1" minValue="184" maxValue="28195805"/>
    </cacheField>
    <cacheField name="Nenner der LCR (Net Outflow)3" numFmtId="0">
      <sharedItems containsMixedTypes="1" containsNumber="1" containsInteger="1" minValue="3" maxValue="14817936"/>
    </cacheField>
    <cacheField name="LCR4" numFmtId="0">
      <sharedItems containsBlank="1" containsMixedTypes="1" containsNumber="1" minValue="1.04" maxValue="25.01"/>
    </cacheField>
    <cacheField name="Zähler der LCR (HQLA)4" numFmtId="0">
      <sharedItems containsMixedTypes="1" containsNumber="1" containsInteger="1" minValue="303" maxValue="24807732"/>
    </cacheField>
    <cacheField name="Nenner der LCR (Net Outflow)4" numFmtId="0">
      <sharedItems containsMixedTypes="1" containsNumber="1" containsInteger="1" minValue="17" maxValue="13983096"/>
    </cacheField>
    <cacheField name="NSFR" numFmtId="0">
      <sharedItems containsBlank="1" containsMixedTypes="1" containsNumber="1" minValue="0.96" maxValue="7.28"/>
    </cacheField>
    <cacheField name="Zähler der NSFR (ASF)" numFmtId="0">
      <sharedItems containsMixedTypes="1" containsNumber="1" containsInteger="1" minValue="3601" maxValue="65624518"/>
    </cacheField>
    <cacheField name="Nenner der NSFR (RSF)" numFmtId="0">
      <sharedItems containsMixedTypes="1" containsNumber="1" containsInteger="1" minValue="2534" maxValue="470634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m/>
    <m/>
    <s v="in TCHF"/>
    <s v="in TCHF"/>
    <s v="in TCHF"/>
    <s v="in TCHF"/>
    <s v="in TCHF"/>
    <m/>
    <m/>
    <m/>
    <m/>
    <m/>
    <m/>
    <m/>
    <m/>
    <m/>
    <s v="in TCHF"/>
    <m/>
    <s v="in TCHF"/>
    <s v="in TCHF"/>
    <m/>
    <s v="in TCHF"/>
    <s v="in TCHF"/>
    <m/>
    <s v="in TCHF"/>
    <s v="in TCHF"/>
    <m/>
    <s v="in TCHF"/>
    <s v="in TCHF"/>
    <m/>
    <s v="in TCHF"/>
    <s v="in TCHF"/>
  </r>
  <r>
    <x v="1"/>
    <s v="Spalte2"/>
    <s v="Spalte210"/>
    <s v="Spalte3"/>
    <s v="Spalte4"/>
    <s v="Spalte5"/>
    <s v="Spalte6"/>
    <s v="Spalte7"/>
    <s v="Spalte8"/>
    <s v="Spalte9"/>
    <s v="Spalte10"/>
    <s v="Spalte11"/>
    <s v="Spalte112"/>
    <s v="Spalte12"/>
    <s v="Spalte13"/>
    <s v="Spalte14"/>
    <s v="Spalte15"/>
    <s v="Spalte16"/>
    <s v="Spalte17"/>
    <s v="Spalte18"/>
    <s v="Spalte19"/>
    <s v="Spalte20"/>
    <s v="Spalte21"/>
    <s v="Spalte22"/>
    <s v="Spalte23"/>
    <s v="Spalte24"/>
    <s v="Spalte25"/>
    <s v="Spalte26"/>
    <s v="Spalte27"/>
    <s v="Spalte28"/>
    <s v="Spalte29"/>
    <s v="Spalte30"/>
    <s v="Spalte31"/>
  </r>
  <r>
    <x v="2"/>
    <n v="3"/>
    <n v="3"/>
    <n v="1195244"/>
    <n v="2760424"/>
    <n v="2688206"/>
    <n v="2688206"/>
    <n v="14940545"/>
    <n v="0.18"/>
    <n v="0.18"/>
    <n v="0.185"/>
    <n v="1.2E-2"/>
    <n v="7.8E-2"/>
    <n v="0.09"/>
    <n v="0.108"/>
    <n v="0.13200000000000001"/>
    <n v="6.9000000000000006E-2"/>
    <n v="39194456"/>
    <n v="1.96"/>
    <n v="10031259"/>
    <n v="5111061"/>
    <n v="1.9"/>
    <n v="9385692"/>
    <n v="4946782"/>
    <n v="1.56"/>
    <n v="8777244"/>
    <n v="5621140"/>
    <n v="1.47"/>
    <n v="9387908"/>
    <n v="6378835"/>
    <n v="1.48"/>
    <n v="27019982"/>
    <n v="18287510"/>
  </r>
  <r>
    <x v="3"/>
    <n v="4"/>
    <n v="4"/>
    <n v="128314"/>
    <n v="244418"/>
    <n v="244418"/>
    <n v="244418"/>
    <n v="1603926"/>
    <n v="0.152"/>
    <n v="0.152"/>
    <n v="0.152"/>
    <n v="1.2E-2"/>
    <n v="7.3999999999999996E-2"/>
    <n v="8.5999999999999993E-2"/>
    <n v="0.10199999999999999"/>
    <n v="0.124"/>
    <n v="0.08"/>
    <n v="3051218"/>
    <n v="1.26"/>
    <n v="305982"/>
    <n v="242595"/>
    <n v="1.03"/>
    <n v="264499"/>
    <n v="255657"/>
    <n v="1.05"/>
    <n v="222340"/>
    <n v="210873"/>
    <n v="1.0900000000000001"/>
    <n v="240504"/>
    <n v="220595"/>
    <n v="1.22"/>
    <n v="2344307"/>
    <n v="1927352"/>
  </r>
  <r>
    <x v="4"/>
    <n v="5"/>
    <s v="Nicht vorhanden"/>
    <n v="2304"/>
    <n v="16988"/>
    <n v="16988"/>
    <n v="16988"/>
    <n v="28800"/>
    <n v="0.59"/>
    <n v="0.59"/>
    <n v="0.59"/>
    <n v="0"/>
    <n v="7.0000000000000007E-2"/>
    <n v="7.0000000000000007E-2"/>
    <n v="8.5000000000000006E-2"/>
    <n v="0.105"/>
    <n v="0.70399999999999996"/>
    <n v="24122"/>
    <s v="n/a"/>
    <s v="n/a"/>
    <s v="n/a"/>
    <s v="n/a"/>
    <s v="n/a"/>
    <s v="n/a"/>
    <n v="67.680000000000007"/>
    <n v="184"/>
    <n v="3"/>
    <n v="25.01"/>
    <n v="835"/>
    <n v="33"/>
    <n v="0.96"/>
    <n v="53080"/>
    <n v="55448"/>
  </r>
  <r>
    <x v="5"/>
    <n v="4"/>
    <n v="4"/>
    <n v="142987"/>
    <n v="352266"/>
    <n v="352266"/>
    <n v="352266"/>
    <n v="1787341"/>
    <n v="0.19700000000000001"/>
    <n v="0.19700000000000001"/>
    <n v="0.19700000000000001"/>
    <n v="1.4E-2"/>
    <n v="7.3999999999999996E-2"/>
    <n v="8.7999999999999995E-2"/>
    <n v="0.104"/>
    <n v="0.126"/>
    <n v="8.4000000000000005E-2"/>
    <n v="4181062"/>
    <n v="1.67"/>
    <n v="656340"/>
    <n v="392374"/>
    <n v="1.69"/>
    <n v="659057"/>
    <n v="389570"/>
    <n v="1.45"/>
    <n v="581809"/>
    <n v="400490"/>
    <n v="1.34"/>
    <n v="514260"/>
    <n v="383750"/>
    <n v="1.35"/>
    <n v="3491369"/>
    <n v="2580102"/>
  </r>
  <r>
    <x v="6"/>
    <n v="4"/>
    <n v="4"/>
    <n v="22057"/>
    <n v="76687"/>
    <n v="56687"/>
    <n v="76687"/>
    <n v="275709"/>
    <n v="0.20599999999999999"/>
    <n v="0.27800000000000002"/>
    <n v="0.27800000000000002"/>
    <n v="0"/>
    <n v="7.3999999999999996E-2"/>
    <n v="7.3999999999999996E-2"/>
    <n v="0.09"/>
    <n v="0.112"/>
    <n v="4.3999999999999997E-2"/>
    <n v="1725793"/>
    <n v="4.63"/>
    <n v="625970"/>
    <n v="135294"/>
    <n v="3.83"/>
    <n v="540012"/>
    <n v="141170"/>
    <n v="4.03"/>
    <n v="565686"/>
    <n v="140425"/>
    <n v="2.98"/>
    <n v="377571"/>
    <n v="126728"/>
    <n v="2.88"/>
    <n v="1041260"/>
    <n v="361577"/>
  </r>
  <r>
    <x v="7"/>
    <n v="4"/>
    <s v="Nicht vorhanden"/>
    <n v="271850"/>
    <n v="524344"/>
    <n v="418112"/>
    <n v="458112"/>
    <n v="3398121"/>
    <n v="0.123"/>
    <n v="0.13500000000000001"/>
    <n v="0.154"/>
    <n v="1.7999999999999999E-2"/>
    <n v="7.3999999999999996E-2"/>
    <n v="9.1999999999999998E-2"/>
    <n v="0.108"/>
    <n v="0.13"/>
    <n v="5.2999999999999999E-2"/>
    <n v="8698002"/>
    <n v="1.68"/>
    <n v="1477585"/>
    <n v="881444"/>
    <n v="1.62"/>
    <n v="1425365"/>
    <n v="877500"/>
    <n v="1.5"/>
    <n v="1133837"/>
    <n v="753859"/>
    <n v="1.64"/>
    <n v="978112"/>
    <n v="596301"/>
    <n v="1.32"/>
    <n v="7672898"/>
    <n v="5812222"/>
  </r>
  <r>
    <x v="8"/>
    <n v="5"/>
    <n v="5"/>
    <n v="1778"/>
    <n v="27076"/>
    <n v="27076"/>
    <n v="27076"/>
    <n v="22222"/>
    <n v="1.218"/>
    <n v="1.218"/>
    <n v="1.218"/>
    <n v="0"/>
    <n v="7.0000000000000007E-2"/>
    <n v="7.0000000000000007E-2"/>
    <n v="8.5000000000000006E-2"/>
    <n v="0.105"/>
    <n v="0.29899999999999999"/>
    <n v="90454"/>
    <n v="2.19"/>
    <n v="34620"/>
    <n v="15785"/>
    <n v="2.35"/>
    <n v="34566"/>
    <n v="14693"/>
    <n v="2.48"/>
    <n v="34615"/>
    <n v="13953"/>
    <n v="2.76"/>
    <n v="34012"/>
    <n v="12329"/>
    <n v="1.86"/>
    <n v="54066"/>
    <n v="29113"/>
  </r>
  <r>
    <x v="9"/>
    <n v="5"/>
    <n v="5"/>
    <n v="8527"/>
    <n v="30725"/>
    <n v="30725"/>
    <n v="30725"/>
    <n v="106590"/>
    <n v="0.28799999999999998"/>
    <n v="0.28799999999999998"/>
    <n v="0.28799999999999998"/>
    <n v="1E-3"/>
    <n v="6.9999999999999993E-2"/>
    <n v="7.0999999999999994E-2"/>
    <n v="8.5999999999999993E-2"/>
    <n v="0.106"/>
    <n v="6.0999999999999999E-2"/>
    <n v="503042"/>
    <n v="1.74"/>
    <n v="58785"/>
    <n v="33824"/>
    <n v="1.65"/>
    <n v="58127"/>
    <n v="35178"/>
    <n v="1.49"/>
    <n v="56668"/>
    <n v="38010"/>
    <n v="1.36"/>
    <n v="55182"/>
    <n v="40696"/>
    <n v="2.0299999999999998"/>
    <n v="296711"/>
    <n v="146192"/>
  </r>
  <r>
    <x v="10"/>
    <n v="5"/>
    <n v="5"/>
    <n v="36857"/>
    <n v="127388"/>
    <n v="127388"/>
    <n v="127388"/>
    <n v="460718"/>
    <n v="0.27600000000000002"/>
    <n v="0.27600000000000002"/>
    <n v="0.27600000000000002"/>
    <n v="2E-3"/>
    <n v="6.9999999999999993E-2"/>
    <n v="7.1999999999999995E-2"/>
    <n v="8.6999999999999994E-2"/>
    <n v="0.107"/>
    <n v="0.14399999999999999"/>
    <n v="885232"/>
    <n v="6.13"/>
    <n v="216183"/>
    <n v="35243"/>
    <n v="3.71"/>
    <n v="220429"/>
    <n v="59370"/>
    <n v="3.36"/>
    <n v="172142"/>
    <n v="51179"/>
    <n v="2.67"/>
    <n v="157614"/>
    <n v="58951"/>
    <n v="1.84"/>
    <n v="710259"/>
    <n v="386115"/>
  </r>
  <r>
    <x v="11"/>
    <n v="3"/>
    <n v="3"/>
    <n v="692941"/>
    <n v="1632031"/>
    <n v="1340301"/>
    <n v="1390301"/>
    <n v="8661764"/>
    <n v="0.155"/>
    <n v="0.161"/>
    <n v="0.188"/>
    <n v="8.9999999999999993E-3"/>
    <n v="7.8E-2"/>
    <n v="8.6999999999999994E-2"/>
    <n v="0.105"/>
    <n v="0.129"/>
    <n v="7.2999999999999995E-2"/>
    <n v="19124254"/>
    <n v="1.88"/>
    <n v="3427928"/>
    <n v="1823729"/>
    <n v="1.89"/>
    <n v="3407358"/>
    <n v="1806786"/>
    <n v="1.79"/>
    <n v="3443596"/>
    <n v="1919379"/>
    <n v="1.67"/>
    <n v="3754761"/>
    <n v="2243179"/>
    <n v="1.42"/>
    <n v="15179249"/>
    <n v="10670351"/>
  </r>
  <r>
    <x v="12"/>
    <n v="4"/>
    <n v="4"/>
    <n v="201335"/>
    <n v="438981"/>
    <n v="438981"/>
    <n v="438981"/>
    <n v="2516686"/>
    <n v="0.17399999999999999"/>
    <n v="0.17399999999999999"/>
    <n v="0.17399999999999999"/>
    <n v="1.6E-2"/>
    <n v="7.3999999999999996E-2"/>
    <n v="0.09"/>
    <n v="0.106"/>
    <n v="0.128"/>
    <n v="6.5000000000000002E-2"/>
    <n v="6733605"/>
    <n v="1.59"/>
    <n v="903936"/>
    <n v="567052"/>
    <n v="1.83"/>
    <n v="912311"/>
    <n v="499070"/>
    <n v="1.7"/>
    <n v="921985"/>
    <n v="542069"/>
    <n v="1.71"/>
    <n v="923847"/>
    <n v="540302"/>
    <n v="1.2"/>
    <n v="4565204"/>
    <n v="3811079"/>
  </r>
  <r>
    <x v="13"/>
    <n v="5"/>
    <n v="5"/>
    <n v="18217"/>
    <n v="69522"/>
    <n v="69522"/>
    <n v="69522"/>
    <n v="227711"/>
    <n v="0.30499999999999999"/>
    <n v="0.30499999999999999"/>
    <n v="0.30499999999999999"/>
    <n v="0"/>
    <n v="7.0000000000000007E-2"/>
    <n v="7.0000000000000007E-2"/>
    <n v="8.5000000000000006E-2"/>
    <n v="0.105"/>
    <n v="0.152"/>
    <n v="456530"/>
    <n v="1.54"/>
    <n v="74628"/>
    <n v="48543"/>
    <n v="1.96"/>
    <n v="80376"/>
    <n v="40978"/>
    <n v="1.6"/>
    <n v="69847"/>
    <n v="43652"/>
    <n v="1.87"/>
    <n v="75834"/>
    <n v="40498"/>
    <n v="1.73"/>
    <n v="298442"/>
    <n v="172730"/>
  </r>
  <r>
    <x v="14"/>
    <n v="5"/>
    <n v="5"/>
    <n v="39543"/>
    <n v="213191"/>
    <n v="213191"/>
    <n v="213191"/>
    <n v="494293"/>
    <n v="0.43099999999999999"/>
    <n v="0.43099999999999999"/>
    <n v="0.43099999999999999"/>
    <n v="0"/>
    <n v="7.0000000000000007E-2"/>
    <n v="7.0000000000000007E-2"/>
    <n v="8.5000000000000006E-2"/>
    <n v="0.105"/>
    <n v="0.151"/>
    <n v="1409990"/>
    <n v="2.86"/>
    <n v="362082"/>
    <n v="126731"/>
    <n v="1.92"/>
    <n v="281413"/>
    <n v="146622"/>
    <n v="1.96"/>
    <n v="238213"/>
    <n v="121815"/>
    <n v="1.78"/>
    <n v="428888"/>
    <n v="240615"/>
    <n v="2"/>
    <n v="720142"/>
    <n v="360687"/>
  </r>
  <r>
    <x v="15"/>
    <n v="4"/>
    <n v="4"/>
    <n v="112177"/>
    <n v="1183299"/>
    <n v="1182529"/>
    <n v="1182529"/>
    <n v="1402216"/>
    <n v="0.84299999999999997"/>
    <n v="0.84299999999999997"/>
    <n v="0.84399999999999997"/>
    <n v="0"/>
    <n v="7.3999999999999996E-2"/>
    <n v="7.3999999999999996E-2"/>
    <n v="0.09"/>
    <n v="0.112"/>
    <n v="0.33500000000000002"/>
    <n v="3527349"/>
    <n v="1.52"/>
    <n v="1056808"/>
    <n v="694086"/>
    <n v="1.66"/>
    <n v="1069554"/>
    <n v="644171"/>
    <n v="1.85"/>
    <n v="1134203"/>
    <n v="614065"/>
    <n v="2.13"/>
    <n v="1100854"/>
    <n v="516713"/>
    <n v="2.17"/>
    <n v="2678590"/>
    <n v="1236566"/>
  </r>
  <r>
    <x v="16"/>
    <n v="4"/>
    <n v="4"/>
    <n v="158899"/>
    <n v="319874"/>
    <n v="319874"/>
    <n v="319874"/>
    <n v="1986232"/>
    <n v="0.161"/>
    <n v="0.161"/>
    <n v="0.161"/>
    <n v="1.7000000000000001E-2"/>
    <n v="7.3999999999999996E-2"/>
    <n v="9.0999999999999998E-2"/>
    <n v="0.107"/>
    <n v="0.129"/>
    <n v="6.7000000000000004E-2"/>
    <n v="4768233"/>
    <n v="1.79"/>
    <n v="505048"/>
    <n v="281627"/>
    <n v="1.74"/>
    <n v="504126"/>
    <n v="290232"/>
    <n v="1.47"/>
    <n v="431766"/>
    <n v="293388"/>
    <n v="1.3"/>
    <n v="403367"/>
    <n v="311055"/>
    <n v="1.31"/>
    <n v="4110640"/>
    <n v="3132749"/>
  </r>
  <r>
    <x v="17"/>
    <n v="5"/>
    <n v="5"/>
    <n v="41556"/>
    <n v="87767"/>
    <n v="87767"/>
    <n v="87767"/>
    <n v="519454"/>
    <n v="0.16900000000000001"/>
    <n v="0.16900000000000001"/>
    <n v="0.16900000000000001"/>
    <n v="1.7000000000000001E-2"/>
    <n v="6.9999999999999993E-2"/>
    <n v="8.6999999999999994E-2"/>
    <n v="0.10199999999999999"/>
    <n v="0.122"/>
    <n v="7.2999999999999995E-2"/>
    <n v="1203620"/>
    <n v="2.0499999999999998"/>
    <n v="113934"/>
    <n v="55462"/>
    <n v="2.5099999999999998"/>
    <n v="129574"/>
    <n v="51608"/>
    <n v="1.96"/>
    <n v="120561"/>
    <n v="61523"/>
    <n v="1.68"/>
    <n v="112432"/>
    <n v="67063"/>
    <n v="1.32"/>
    <n v="1074957"/>
    <n v="816138"/>
  </r>
  <r>
    <x v="18"/>
    <n v="4"/>
    <n v="4"/>
    <n v="462078"/>
    <n v="829034"/>
    <n v="576307"/>
    <n v="666307"/>
    <n v="5775978"/>
    <n v="0.1"/>
    <n v="0.115"/>
    <n v="0.14399999999999999"/>
    <n v="8.9999999999999993E-3"/>
    <n v="7.400000000000001E-2"/>
    <n v="8.3000000000000004E-2"/>
    <n v="9.9000000000000005E-2"/>
    <n v="0.121"/>
    <n v="0.05"/>
    <n v="13410878"/>
    <n v="2.52"/>
    <n v="2044368"/>
    <n v="809953"/>
    <n v="2.2799999999999998"/>
    <n v="2153836"/>
    <n v="946685"/>
    <n v="1.93"/>
    <n v="2068260"/>
    <n v="1069382"/>
    <n v="1.75"/>
    <n v="2122368"/>
    <n v="1212085"/>
    <n v="1.1200000000000001"/>
    <n v="7574500"/>
    <n v="6770839"/>
  </r>
  <r>
    <x v="19"/>
    <n v="3"/>
    <n v="3"/>
    <n v="616111"/>
    <n v="1413352"/>
    <n v="1303124"/>
    <n v="1393124"/>
    <n v="7701384"/>
    <n v="0.16900000000000001"/>
    <n v="0.18099999999999999"/>
    <n v="0.184"/>
    <n v="1.7999999999999999E-2"/>
    <n v="7.8E-2"/>
    <n v="9.6000000000000002E-2"/>
    <n v="0.114"/>
    <n v="0.13800000000000001"/>
    <n v="7.0999999999999994E-2"/>
    <n v="19598876"/>
    <n v="1.51"/>
    <n v="4097540"/>
    <n v="2710124"/>
    <n v="1.48"/>
    <n v="3924973"/>
    <n v="2644902"/>
    <n v="1.47"/>
    <n v="3538470"/>
    <n v="2410770"/>
    <n v="1.59"/>
    <n v="2193079"/>
    <n v="1375137"/>
    <n v="1.32"/>
    <n v="16248272"/>
    <n v="12280869"/>
  </r>
  <r>
    <x v="20"/>
    <n v="4"/>
    <n v="4"/>
    <n v="56412"/>
    <n v="127313"/>
    <n v="117983"/>
    <n v="117983"/>
    <n v="705153"/>
    <n v="0.16700000000000001"/>
    <n v="0.16700000000000001"/>
    <n v="0.18099999999999999"/>
    <n v="1.4E-2"/>
    <n v="7.3999999999999996E-2"/>
    <n v="8.7999999999999995E-2"/>
    <n v="0.104"/>
    <n v="0.126"/>
    <n v="7.0999999999999994E-2"/>
    <n v="1669616"/>
    <n v="2.54"/>
    <n v="302341"/>
    <n v="119075"/>
    <n v="2.64"/>
    <n v="299476"/>
    <n v="113600"/>
    <n v="2.71"/>
    <n v="324131"/>
    <n v="119452"/>
    <n v="2.27"/>
    <n v="310439"/>
    <n v="136527"/>
    <n v="1.32"/>
    <n v="1337015"/>
    <n v="1015079"/>
  </r>
  <r>
    <x v="21"/>
    <n v="3"/>
    <n v="3"/>
    <n v="742125"/>
    <n v="2675788"/>
    <n v="2619114"/>
    <n v="2619114"/>
    <n v="9276566"/>
    <n v="0.28199999999999997"/>
    <n v="0.28199999999999997"/>
    <n v="0.28799999999999998"/>
    <n v="0"/>
    <n v="7.8E-2"/>
    <n v="7.8E-2"/>
    <n v="9.6000000000000002E-2"/>
    <n v="0.12"/>
    <n v="7.0999999999999994E-2"/>
    <n v="36835780"/>
    <n v="1.54"/>
    <n v="11065063"/>
    <n v="7179678"/>
    <n v="1.79"/>
    <n v="13861336"/>
    <n v="7762974"/>
    <n v="1.67"/>
    <n v="15107928"/>
    <n v="9050272"/>
    <n v="1.69"/>
    <n v="15469247"/>
    <n v="9133020"/>
    <n v="1.38"/>
    <n v="15817739"/>
    <n v="11444005"/>
  </r>
  <r>
    <x v="22"/>
    <n v="3"/>
    <n v="3"/>
    <n v="1687236"/>
    <n v="4282092"/>
    <n v="3321246"/>
    <n v="4173647"/>
    <n v="21090450"/>
    <n v="0.157"/>
    <n v="0.19800000000000001"/>
    <n v="0.20300000000000001"/>
    <n v="2E-3"/>
    <n v="7.8E-2"/>
    <n v="0.08"/>
    <n v="9.8000000000000004E-2"/>
    <n v="0.122"/>
    <n v="4.2000000000000003E-2"/>
    <n v="99365242"/>
    <n v="1.77"/>
    <n v="27851934"/>
    <n v="15702009"/>
    <n v="1.84"/>
    <n v="26121220"/>
    <n v="14206629"/>
    <n v="1.9"/>
    <n v="25446830"/>
    <n v="13417879"/>
    <n v="2.13"/>
    <n v="21446954"/>
    <n v="10085661"/>
    <n v="1.35"/>
    <n v="57956075"/>
    <n v="42851258"/>
  </r>
  <r>
    <x v="23"/>
    <n v="4"/>
    <n v="4"/>
    <n v="301023"/>
    <n v="579547"/>
    <n v="579547"/>
    <n v="579547"/>
    <n v="3762793"/>
    <n v="0.154"/>
    <n v="0.154"/>
    <n v="0.154"/>
    <n v="1.2999999999999999E-2"/>
    <n v="7.3999999999999996E-2"/>
    <n v="8.6999999999999994E-2"/>
    <n v="0.10299999999999999"/>
    <n v="0.125"/>
    <n v="6.9000000000000006E-2"/>
    <n v="8341272"/>
    <n v="1.33"/>
    <n v="1703256"/>
    <n v="1280099"/>
    <n v="1.33"/>
    <n v="1698120"/>
    <n v="1277128"/>
    <n v="1.28"/>
    <n v="1412470"/>
    <n v="1107102"/>
    <n v="1.31"/>
    <n v="959532"/>
    <n v="733536"/>
    <n v="1.17"/>
    <n v="6051030"/>
    <n v="5173836"/>
  </r>
  <r>
    <x v="24"/>
    <n v="5"/>
    <n v="5"/>
    <n v="6833"/>
    <n v="27338"/>
    <n v="27338"/>
    <n v="27338"/>
    <n v="85411"/>
    <n v="0.32"/>
    <n v="0.32"/>
    <n v="0.32"/>
    <n v="0"/>
    <n v="7.0000000000000007E-2"/>
    <n v="7.0000000000000007E-2"/>
    <n v="8.5000000000000006E-2"/>
    <n v="0.105"/>
    <n v="6.7000000000000004E-2"/>
    <n v="409522"/>
    <n v="2.13"/>
    <n v="101016"/>
    <n v="47326"/>
    <n v="2.0299999999999998"/>
    <n v="131366"/>
    <n v="64799"/>
    <n v="2.2799999999999998"/>
    <n v="111003"/>
    <n v="48680"/>
    <n v="2.91"/>
    <n v="165025"/>
    <n v="56662"/>
    <n v="2.82"/>
    <n v="250861"/>
    <n v="89037"/>
  </r>
  <r>
    <x v="25"/>
    <n v="3"/>
    <n v="3"/>
    <n v="366954"/>
    <n v="1262736"/>
    <n v="1161371"/>
    <n v="1161371"/>
    <n v="4586928"/>
    <n v="0.253"/>
    <n v="0.253"/>
    <n v="0.27500000000000002"/>
    <n v="2E-3"/>
    <n v="7.8E-2"/>
    <n v="0.08"/>
    <n v="9.8000000000000004E-2"/>
    <n v="0.122"/>
    <n v="5.3999999999999999E-2"/>
    <n v="21631422"/>
    <n v="1.35"/>
    <n v="7494124"/>
    <n v="5537376"/>
    <n v="1.44"/>
    <n v="8654527"/>
    <n v="6014912"/>
    <n v="1.52"/>
    <n v="8616231"/>
    <n v="5654709"/>
    <n v="1.56"/>
    <n v="7277015"/>
    <n v="4660507"/>
    <n v="1.23"/>
    <n v="10791008"/>
    <n v="8768836"/>
  </r>
  <r>
    <x v="26"/>
    <n v="5"/>
    <n v="5"/>
    <n v="47371"/>
    <n v="91696"/>
    <n v="88309"/>
    <n v="88309"/>
    <n v="592143"/>
    <n v="0.14899999999999999"/>
    <n v="0.14899999999999999"/>
    <n v="0.155"/>
    <n v="1.7999999999999999E-2"/>
    <n v="6.9999999999999993E-2"/>
    <n v="8.7999999999999995E-2"/>
    <n v="0.10299999999999999"/>
    <n v="0.123"/>
    <n v="5.8999999999999997E-2"/>
    <n v="1505876"/>
    <n v="1.52"/>
    <n v="227870"/>
    <n v="150088"/>
    <n v="1.52"/>
    <n v="203256"/>
    <n v="134031"/>
    <n v="1.75"/>
    <n v="164198"/>
    <n v="93837"/>
    <n v="1.36"/>
    <n v="149352"/>
    <n v="110172"/>
    <n v="1.17"/>
    <n v="1274501"/>
    <n v="1092617"/>
  </r>
  <r>
    <x v="27"/>
    <n v="5"/>
    <n v="5"/>
    <n v="11962"/>
    <n v="58129"/>
    <n v="58045"/>
    <n v="58045"/>
    <n v="149531"/>
    <n v="0.38800000000000001"/>
    <n v="0.38800000000000001"/>
    <n v="0.38900000000000001"/>
    <n v="0"/>
    <n v="7.0000000000000007E-2"/>
    <n v="7.0000000000000007E-2"/>
    <n v="8.5000000000000006E-2"/>
    <n v="0.105"/>
    <n v="0.105"/>
    <n v="550891"/>
    <n v="10.3"/>
    <n v="353764"/>
    <n v="34345"/>
    <n v="10.78"/>
    <n v="361755"/>
    <n v="33573"/>
    <n v="10.029999999999999"/>
    <n v="318653"/>
    <n v="31764"/>
    <n v="9.3000000000000007"/>
    <n v="362354"/>
    <n v="38946"/>
    <n v="7"/>
    <n v="483705"/>
    <n v="69126"/>
  </r>
  <r>
    <x v="28"/>
    <n v="5"/>
    <n v="5"/>
    <n v="252165"/>
    <n v="472899"/>
    <n v="367899"/>
    <n v="407899"/>
    <n v="3152064"/>
    <n v="0.11700000000000001"/>
    <n v="0.129"/>
    <n v="0.15"/>
    <n v="0"/>
    <n v="7.0000000000000007E-2"/>
    <n v="7.0000000000000007E-2"/>
    <n v="8.5000000000000006E-2"/>
    <n v="0.105"/>
    <n v="8.5000000000000006E-2"/>
    <n v="4813548"/>
    <s v="2)"/>
    <s v="2)"/>
    <s v="2)"/>
    <s v="2)"/>
    <s v="2)"/>
    <s v="2)"/>
    <s v="2)"/>
    <s v="2)"/>
    <s v="2)"/>
    <s v="2)"/>
    <s v="2)"/>
    <s v="2)"/>
    <s v="2)"/>
    <s v="2)"/>
    <s v="2)"/>
  </r>
  <r>
    <x v="29"/>
    <n v="4"/>
    <n v="4"/>
    <n v="28804"/>
    <n v="194231"/>
    <n v="187712"/>
    <n v="187712"/>
    <n v="360055"/>
    <n v="0.52100000000000002"/>
    <n v="0.52100000000000002"/>
    <n v="0.53900000000000003"/>
    <n v="0"/>
    <n v="7.3999999999999996E-2"/>
    <n v="7.3999999999999996E-2"/>
    <n v="0.09"/>
    <n v="0.112"/>
    <n v="0.14000000000000001"/>
    <n v="1340529"/>
    <n v="3.55"/>
    <n v="960686"/>
    <n v="270415"/>
    <n v="3.26"/>
    <n v="802812"/>
    <n v="246342"/>
    <n v="3.11"/>
    <n v="535673"/>
    <n v="172001"/>
    <n v="5.85"/>
    <n v="446772"/>
    <n v="76376"/>
    <n v="2.17"/>
    <n v="1104193"/>
    <n v="509106"/>
  </r>
  <r>
    <x v="30"/>
    <n v="5"/>
    <s v="Nicht vorhanden"/>
    <n v="15410"/>
    <n v="106850"/>
    <n v="106588"/>
    <n v="106588"/>
    <n v="192620"/>
    <n v="0.55300000000000005"/>
    <n v="0.55300000000000005"/>
    <n v="0.55500000000000005"/>
    <n v="0"/>
    <n v="7.0000000000000007E-2"/>
    <n v="7.0000000000000007E-2"/>
    <n v="8.5000000000000006E-2"/>
    <n v="0.105"/>
    <n v="0.27300000000000002"/>
    <n v="390880"/>
    <n v="4.91"/>
    <n v="348022"/>
    <n v="70816"/>
    <n v="5.74"/>
    <n v="232180"/>
    <n v="40431"/>
    <n v="4.7699999999999996"/>
    <n v="186515"/>
    <n v="39138"/>
    <n v="3.35"/>
    <n v="142460"/>
    <n v="42567"/>
    <n v="1.9"/>
    <n v="345469"/>
    <n v="181520"/>
  </r>
  <r>
    <x v="31"/>
    <n v="3"/>
    <n v="3"/>
    <n v="1021273"/>
    <n v="2362642"/>
    <n v="2360650"/>
    <n v="2360650"/>
    <n v="12765911"/>
    <n v="0.185"/>
    <n v="0.185"/>
    <n v="0.185"/>
    <n v="1.0999999999999999E-2"/>
    <n v="7.8E-2"/>
    <n v="8.8999999999999996E-2"/>
    <n v="0.107"/>
    <n v="0.13100000000000001"/>
    <n v="8.5000000000000006E-2"/>
    <n v="27721986"/>
    <n v="2.04"/>
    <n v="5063770"/>
    <n v="2487639"/>
    <n v="2.12"/>
    <n v="4629024"/>
    <n v="2185764"/>
    <n v="2.04"/>
    <n v="4759038"/>
    <n v="2328487"/>
    <n v="1.9"/>
    <n v="4390511"/>
    <n v="2311250"/>
    <n v="1.39"/>
    <n v="24008481"/>
    <n v="17268498"/>
  </r>
  <r>
    <x v="32"/>
    <n v="3"/>
    <n v="3"/>
    <n v="1084370"/>
    <n v="2231082"/>
    <n v="1935327"/>
    <n v="2070327"/>
    <n v="13554628"/>
    <n v="0.14299999999999999"/>
    <n v="0.153"/>
    <n v="0.16500000000000001"/>
    <n v="7.0000000000000001E-3"/>
    <n v="7.8E-2"/>
    <n v="8.5000000000000006E-2"/>
    <n v="0.10299999999999999"/>
    <n v="0.127"/>
    <n v="6.5000000000000002E-2"/>
    <n v="31725431"/>
    <n v="2.04"/>
    <n v="7568783"/>
    <n v="3718179"/>
    <n v="2.0099999999999998"/>
    <n v="7352005"/>
    <n v="3658085"/>
    <n v="1.88"/>
    <n v="7343144"/>
    <n v="3911951"/>
    <n v="1.85"/>
    <n v="8636025"/>
    <n v="4678918"/>
    <n v="1.42"/>
    <n v="21718208"/>
    <n v="15302636"/>
  </r>
  <r>
    <x v="33"/>
    <n v="4"/>
    <n v="4"/>
    <n v="134117"/>
    <n v="281779"/>
    <n v="278726"/>
    <n v="278726"/>
    <n v="1676463"/>
    <n v="0.16600000000000001"/>
    <n v="0.16600000000000001"/>
    <n v="0.16800000000000001"/>
    <n v="1.4999999999999999E-2"/>
    <n v="7.3999999999999996E-2"/>
    <n v="8.8999999999999996E-2"/>
    <n v="0.105"/>
    <n v="0.127"/>
    <n v="6.4000000000000001E-2"/>
    <n v="4332016"/>
    <n v="1.67"/>
    <n v="867682"/>
    <n v="519691"/>
    <n v="1.57"/>
    <n v="882486"/>
    <n v="561462"/>
    <n v="1.33"/>
    <n v="835579"/>
    <n v="630456"/>
    <n v="1.23"/>
    <n v="642690"/>
    <n v="524251"/>
    <n v="1.27"/>
    <n v="3313885"/>
    <n v="2603059"/>
  </r>
  <r>
    <x v="34"/>
    <n v="3"/>
    <n v="3"/>
    <n v="668300"/>
    <n v="1490455"/>
    <n v="1430303"/>
    <n v="1430303"/>
    <n v="8353746"/>
    <n v="0.17100000000000001"/>
    <n v="0.17100000000000001"/>
    <n v="0.17799999999999999"/>
    <n v="1.2999999999999999E-2"/>
    <n v="7.8E-2"/>
    <n v="9.0999999999999998E-2"/>
    <n v="0.109"/>
    <n v="0.13300000000000001"/>
    <n v="7.2999999999999995E-2"/>
    <n v="19547415"/>
    <n v="1.63"/>
    <n v="3347216"/>
    <n v="2049576"/>
    <n v="1.51"/>
    <n v="3274383"/>
    <n v="2167546"/>
    <n v="1.29"/>
    <n v="3169241"/>
    <n v="2451160"/>
    <n v="1.36"/>
    <n v="3409539"/>
    <n v="2504008"/>
    <n v="1.25"/>
    <n v="15092239"/>
    <n v="12065639"/>
  </r>
  <r>
    <x v="35"/>
    <n v="4"/>
    <n v="4"/>
    <n v="388377"/>
    <n v="987333"/>
    <n v="944289"/>
    <n v="944289"/>
    <n v="4854708"/>
    <n v="0.19500000000000001"/>
    <n v="0.19500000000000001"/>
    <n v="0.20300000000000001"/>
    <n v="1.4E-2"/>
    <n v="7.3999999999999996E-2"/>
    <n v="8.7999999999999995E-2"/>
    <n v="0.104"/>
    <n v="0.126"/>
    <n v="8.2000000000000003E-2"/>
    <n v="11491473"/>
    <n v="1.71"/>
    <n v="1899308"/>
    <n v="1113248"/>
    <n v="1.77"/>
    <n v="1872210"/>
    <n v="1057100"/>
    <n v="1.48"/>
    <n v="1671475"/>
    <n v="1128082"/>
    <n v="1.59"/>
    <n v="1662046"/>
    <n v="1045534"/>
    <n v="1.3"/>
    <n v="9348304"/>
    <n v="7198783"/>
  </r>
  <r>
    <x v="36"/>
    <n v="3"/>
    <n v="3"/>
    <n v="1530561"/>
    <n v="3391001"/>
    <n v="3369026"/>
    <n v="3369026"/>
    <n v="19132011"/>
    <n v="0.17599999999999999"/>
    <n v="0.17599999999999999"/>
    <n v="0.17699999999999999"/>
    <n v="0.01"/>
    <n v="7.8E-2"/>
    <n v="8.7999999999999995E-2"/>
    <n v="0.106"/>
    <n v="0.13"/>
    <n v="5.5E-2"/>
    <n v="61314995"/>
    <n v="1.48"/>
    <n v="13390084"/>
    <n v="9073056"/>
    <n v="1.39"/>
    <n v="12697709"/>
    <n v="9131013"/>
    <n v="1.24"/>
    <n v="13120697"/>
    <n v="10605761"/>
    <n v="1.34"/>
    <n v="14931048"/>
    <n v="11135524"/>
    <n v="1.24"/>
    <n v="38540025"/>
    <n v="30985302"/>
  </r>
  <r>
    <x v="37"/>
    <n v="5"/>
    <n v="5"/>
    <n v="24977"/>
    <n v="72691"/>
    <n v="67379"/>
    <n v="67379"/>
    <n v="312211"/>
    <n v="0.216"/>
    <n v="0.216"/>
    <n v="0.23300000000000001"/>
    <n v="0.01"/>
    <n v="7.0000000000000007E-2"/>
    <n v="0.08"/>
    <n v="9.5000000000000001E-2"/>
    <n v="0.115"/>
    <n v="8.7999999999999995E-2"/>
    <n v="769862"/>
    <n v="3.49"/>
    <n v="248623"/>
    <n v="71152"/>
    <n v="3.9"/>
    <n v="304859"/>
    <n v="78250"/>
    <n v="3.78"/>
    <n v="248126"/>
    <n v="65692"/>
    <n v="3.09"/>
    <n v="222243"/>
    <n v="71865"/>
    <n v="1.88"/>
    <n v="495282"/>
    <n v="263340"/>
  </r>
  <r>
    <x v="38"/>
    <n v="5"/>
    <n v="5"/>
    <n v="243809"/>
    <n v="555043"/>
    <n v="555043"/>
    <n v="555043"/>
    <n v="3047617"/>
    <n v="0.182"/>
    <n v="0.182"/>
    <n v="0.182"/>
    <n v="0"/>
    <n v="7.0000000000000007E-2"/>
    <n v="7.0000000000000007E-2"/>
    <n v="8.5000000000000006E-2"/>
    <n v="0.105"/>
    <n v="0.125"/>
    <n v="4440345"/>
    <n v="2.2599999999999998"/>
    <n v="810235"/>
    <n v="357731"/>
    <n v="2.81"/>
    <n v="771992"/>
    <n v="275055"/>
    <n v="2.08"/>
    <n v="785889"/>
    <n v="377274"/>
    <n v="2.1800000000000002"/>
    <n v="811804"/>
    <n v="372495"/>
    <n v="1.21"/>
    <n v="1636551"/>
    <n v="1356520"/>
  </r>
  <r>
    <x v="39"/>
    <n v="5"/>
    <n v="5"/>
    <n v="45555"/>
    <n v="82543"/>
    <n v="81000"/>
    <n v="81000"/>
    <n v="569441"/>
    <n v="0.14199999999999999"/>
    <n v="0.14199999999999999"/>
    <n v="0.14499999999999999"/>
    <n v="1.6E-2"/>
    <n v="6.9999999999999993E-2"/>
    <n v="8.5999999999999993E-2"/>
    <n v="0.10100000000000001"/>
    <n v="0.121"/>
    <n v="5.5E-2"/>
    <n v="1464505"/>
    <n v="2.57"/>
    <n v="128104"/>
    <n v="49870"/>
    <n v="1.53"/>
    <n v="140910"/>
    <n v="92260"/>
    <n v="1.39"/>
    <n v="121128"/>
    <n v="87255"/>
    <n v="1.6"/>
    <n v="145731"/>
    <n v="90934"/>
    <n v="1.1399999999999999"/>
    <n v="942270"/>
    <n v="828107"/>
  </r>
  <r>
    <x v="40"/>
    <n v="5"/>
    <n v="5"/>
    <n v="12191"/>
    <n v="26736"/>
    <n v="26736"/>
    <n v="26736"/>
    <n v="152391"/>
    <n v="0.17499999999999999"/>
    <n v="0.17499999999999999"/>
    <n v="0.17499999999999999"/>
    <n v="1E-3"/>
    <n v="6.9999999999999993E-2"/>
    <n v="7.0999999999999994E-2"/>
    <n v="8.5999999999999993E-2"/>
    <n v="0.106"/>
    <n v="0.08"/>
    <n v="332626"/>
    <n v="2.1800000000000002"/>
    <n v="26623"/>
    <n v="12220"/>
    <n v="2.52"/>
    <n v="41057"/>
    <n v="16292"/>
    <n v="1.48"/>
    <n v="24368"/>
    <n v="16498"/>
    <n v="1.44"/>
    <n v="23357"/>
    <n v="16179"/>
    <n v="2.0640000000000001"/>
    <n v="265754"/>
    <n v="128749"/>
  </r>
  <r>
    <x v="41"/>
    <n v="4"/>
    <n v="4"/>
    <n v="41578"/>
    <n v="91436"/>
    <n v="84055"/>
    <n v="84055"/>
    <n v="519726"/>
    <n v="0.16200000000000001"/>
    <n v="0.16200000000000001"/>
    <n v="0.17599999999999999"/>
    <n v="5.9999999999999995E-4"/>
    <n v="7.3999999999999996E-2"/>
    <n v="7.46E-2"/>
    <n v="9.06E-2"/>
    <n v="0.11260000000000001"/>
    <n v="7.4999999999999997E-2"/>
    <n v="1118621"/>
    <n v="4.0250000000000004"/>
    <n v="271082"/>
    <n v="67350"/>
    <n v="3.03"/>
    <n v="230962"/>
    <n v="76227"/>
    <n v="1.4435"/>
    <n v="221180"/>
    <n v="153221"/>
    <n v="2.2839999999999998"/>
    <n v="374888"/>
    <n v="164137"/>
    <n v="1.379"/>
    <n v="754162"/>
    <n v="546900"/>
  </r>
  <r>
    <x v="42"/>
    <n v="4"/>
    <n v="4"/>
    <n v="33939"/>
    <n v="124744"/>
    <n v="124744"/>
    <n v="124744"/>
    <n v="424240"/>
    <n v="0.29399999999999998"/>
    <n v="0.29399999999999998"/>
    <n v="0.29399999999999998"/>
    <n v="1E-3"/>
    <n v="7.3999999999999996E-2"/>
    <n v="7.4999999999999997E-2"/>
    <n v="9.0999999999999998E-2"/>
    <n v="0.113"/>
    <n v="0.115"/>
    <n v="1087779"/>
    <n v="1.72"/>
    <n v="390826"/>
    <n v="226852"/>
    <n v="1.6"/>
    <n v="374881"/>
    <n v="233810"/>
    <n v="1.52"/>
    <n v="330484"/>
    <n v="217611"/>
    <n v="2.0099999999999998"/>
    <n v="386341"/>
    <n v="192507"/>
    <n v="1.5"/>
    <n v="641650"/>
    <n v="426900"/>
  </r>
  <r>
    <x v="43"/>
    <n v="5"/>
    <n v="5"/>
    <n v="80180"/>
    <n v="165482"/>
    <n v="165482"/>
    <n v="165482"/>
    <n v="1002245"/>
    <n v="0.16500000000000001"/>
    <n v="0.16500000000000001"/>
    <n v="0.16500000000000001"/>
    <n v="0"/>
    <n v="7.0000000000000007E-2"/>
    <n v="7.0000000000000007E-2"/>
    <n v="8.5000000000000006E-2"/>
    <n v="0.105"/>
    <n v="9.4E-2"/>
    <n v="1766824"/>
    <n v="1.32"/>
    <n v="123759"/>
    <n v="93593"/>
    <n v="1.39"/>
    <n v="174035"/>
    <n v="125398"/>
    <n v="1.35"/>
    <n v="224564"/>
    <n v="166355"/>
    <n v="1.2"/>
    <n v="214696"/>
    <n v="179443"/>
    <n v="1.23"/>
    <n v="698603"/>
    <n v="568778"/>
  </r>
  <r>
    <x v="44"/>
    <n v="3"/>
    <n v="3"/>
    <n v="397314"/>
    <n v="1510477"/>
    <n v="1488818"/>
    <n v="1510477"/>
    <n v="4966429"/>
    <n v="0.3"/>
    <n v="0.30399999999999999"/>
    <n v="0.30399999999999999"/>
    <n v="0"/>
    <n v="7.8E-2"/>
    <n v="7.8E-2"/>
    <n v="9.6000000000000002E-2"/>
    <n v="0.12"/>
    <n v="0.08"/>
    <n v="18866774"/>
    <n v="2.13"/>
    <n v="13887272"/>
    <n v="6529515"/>
    <n v="2.17"/>
    <n v="13849714"/>
    <n v="6384427"/>
    <n v="2.06"/>
    <n v="13048779"/>
    <n v="6326795"/>
    <n v="2.04"/>
    <n v="11264745"/>
    <n v="5522371"/>
    <n v="2.12"/>
    <n v="9717523"/>
    <n v="4573604"/>
  </r>
  <r>
    <x v="45"/>
    <n v="4"/>
    <n v="4"/>
    <n v="50031"/>
    <n v="166145"/>
    <n v="166145"/>
    <n v="166145"/>
    <n v="625392"/>
    <n v="0.26600000000000001"/>
    <n v="0.26600000000000001"/>
    <n v="0.26600000000000001"/>
    <n v="1E-3"/>
    <n v="7.3999999999999996E-2"/>
    <n v="7.4999999999999997E-2"/>
    <n v="9.0999999999999998E-2"/>
    <n v="0.113"/>
    <n v="9.2999999999999999E-2"/>
    <n v="1782447"/>
    <n v="2.02"/>
    <n v="913748"/>
    <n v="451965"/>
    <n v="1.99"/>
    <n v="989265"/>
    <n v="497367"/>
    <n v="1.81"/>
    <n v="832378"/>
    <n v="459120"/>
    <n v="1.59"/>
    <n v="577152"/>
    <n v="362453"/>
    <n v="1.77"/>
    <n v="1115339"/>
    <n v="631046"/>
  </r>
  <r>
    <x v="46"/>
    <n v="5"/>
    <n v="5"/>
    <n v="14135"/>
    <n v="55257"/>
    <n v="55257"/>
    <n v="55257"/>
    <n v="176693"/>
    <n v="0.313"/>
    <n v="0.313"/>
    <n v="0.313"/>
    <n v="0"/>
    <n v="7.0000000000000007E-2"/>
    <n v="7.0000000000000007E-2"/>
    <n v="8.5000000000000006E-2"/>
    <n v="0.105"/>
    <n v="0.126"/>
    <n v="439521"/>
    <n v="1.7"/>
    <n v="113450"/>
    <n v="66852"/>
    <n v="1.93"/>
    <n v="120763"/>
    <n v="62574"/>
    <n v="1.72"/>
    <n v="116710"/>
    <n v="67832"/>
    <n v="1.62"/>
    <n v="111466"/>
    <n v="68852"/>
    <n v="1.8"/>
    <n v="202151"/>
    <n v="112180"/>
  </r>
  <r>
    <x v="47"/>
    <n v="4"/>
    <n v="4"/>
    <n v="76000"/>
    <n v="169922"/>
    <n v="119922"/>
    <n v="169922"/>
    <n v="949998"/>
    <n v="0.126"/>
    <n v="0.17899999999999999"/>
    <n v="0.17899999999999999"/>
    <n v="2E-3"/>
    <n v="7.3999999999999996E-2"/>
    <n v="7.5999999999999998E-2"/>
    <n v="9.1999999999999998E-2"/>
    <n v="0.114"/>
    <n v="4.4999999999999998E-2"/>
    <n v="3816198"/>
    <n v="1.64"/>
    <n v="504092"/>
    <n v="308181"/>
    <n v="1.96"/>
    <n v="605278"/>
    <n v="309576"/>
    <n v="1.88"/>
    <n v="645267"/>
    <n v="342985"/>
    <n v="1.26"/>
    <n v="357387"/>
    <n v="284028"/>
    <n v="1.18"/>
    <n v="2129619"/>
    <n v="1802604"/>
  </r>
  <r>
    <x v="48"/>
    <n v="3"/>
    <n v="3"/>
    <n v="1158773"/>
    <n v="2678792"/>
    <n v="2644659"/>
    <n v="2644659"/>
    <n v="14484663"/>
    <n v="0.183"/>
    <n v="0.183"/>
    <n v="0.185"/>
    <n v="1.2999999999999999E-2"/>
    <n v="7.8E-2"/>
    <n v="9.0999999999999998E-2"/>
    <n v="0.109"/>
    <n v="0.13300000000000001"/>
    <n v="7.2999999999999995E-2"/>
    <n v="36049451"/>
    <n v="1.22"/>
    <n v="5820003"/>
    <n v="4774313"/>
    <n v="1.28"/>
    <n v="5731884"/>
    <n v="4472489"/>
    <n v="1.34"/>
    <n v="5934332"/>
    <n v="4417854"/>
    <n v="1.36"/>
    <n v="6991574"/>
    <n v="5137515"/>
    <n v="1.5"/>
    <n v="27092512"/>
    <n v="18010738"/>
  </r>
  <r>
    <x v="49"/>
    <n v="3"/>
    <n v="3"/>
    <n v="1879410"/>
    <n v="4369549"/>
    <n v="4150381"/>
    <n v="4287562"/>
    <n v="23492624"/>
    <n v="0.17699999999999999"/>
    <n v="0.183"/>
    <n v="0.186"/>
    <n v="0.01"/>
    <n v="7.8E-2"/>
    <n v="8.7999999999999995E-2"/>
    <n v="0.106"/>
    <n v="0.13"/>
    <n v="6.9000000000000006E-2"/>
    <n v="62170759"/>
    <n v="1.88"/>
    <n v="10901794"/>
    <n v="5805737"/>
    <n v="1.32"/>
    <n v="10699445"/>
    <n v="8102894"/>
    <n v="1.37"/>
    <n v="9783174"/>
    <n v="7148949"/>
    <n v="1.54"/>
    <n v="10014560"/>
    <n v="6482367"/>
    <n v="1.22"/>
    <n v="38039260"/>
    <n v="31073957"/>
  </r>
  <r>
    <x v="50"/>
    <n v="4"/>
    <n v="4"/>
    <n v="19541"/>
    <n v="136442"/>
    <n v="136404"/>
    <n v="136404"/>
    <n v="244262"/>
    <n v="0.55800000000000005"/>
    <n v="0.55800000000000005"/>
    <n v="0.55900000000000005"/>
    <n v="0"/>
    <n v="7.3999999999999996E-2"/>
    <n v="7.3999999999999996E-2"/>
    <n v="0.09"/>
    <n v="0.112"/>
    <n v="0.14299999999999999"/>
    <n v="955914"/>
    <n v="2.65"/>
    <n v="414087"/>
    <n v="156421"/>
    <n v="2.27"/>
    <n v="345792"/>
    <n v="152113"/>
    <n v="1.87"/>
    <n v="262000"/>
    <n v="140042"/>
    <n v="1.75"/>
    <n v="201713"/>
    <n v="115496"/>
    <n v="1.75"/>
    <n v="649351"/>
    <n v="370911"/>
  </r>
  <r>
    <x v="51"/>
    <n v="5"/>
    <n v="5"/>
    <n v="15119"/>
    <n v="36331"/>
    <n v="36331"/>
    <n v="36331"/>
    <n v="188988"/>
    <n v="0.192"/>
    <n v="0.192"/>
    <n v="0.192"/>
    <n v="0"/>
    <n v="7.0000000000000007E-2"/>
    <n v="7.0000000000000007E-2"/>
    <n v="8.5000000000000006E-2"/>
    <n v="0.105"/>
    <n v="4.7E-2"/>
    <n v="765071"/>
    <n v="2.37"/>
    <n v="185656"/>
    <n v="78412"/>
    <n v="2.41"/>
    <n v="230373"/>
    <n v="95749"/>
    <n v="2.63"/>
    <n v="228845"/>
    <n v="87074"/>
    <n v="2.5499999999999998"/>
    <n v="182174"/>
    <n v="71355"/>
    <n v="2.31"/>
    <n v="467373"/>
    <n v="202614"/>
  </r>
  <r>
    <x v="52"/>
    <n v="3"/>
    <n v="3"/>
    <n v="1237328"/>
    <n v="3000172"/>
    <n v="2649812"/>
    <n v="2649812"/>
    <n v="15466598"/>
    <n v="0.17100000000000001"/>
    <n v="0.17100000000000001"/>
    <n v="0.19400000000000001"/>
    <n v="1.4E-2"/>
    <n v="7.8E-2"/>
    <n v="9.1999999999999998E-2"/>
    <n v="0.11"/>
    <n v="0.13400000000000001"/>
    <n v="6.5000000000000002E-2"/>
    <n v="40997251"/>
    <n v="1.81"/>
    <n v="8700153"/>
    <n v="4801783"/>
    <n v="1.75"/>
    <n v="8079296"/>
    <n v="4627351"/>
    <n v="1.72"/>
    <n v="7758888"/>
    <n v="4499956"/>
    <n v="1.88"/>
    <n v="8292752"/>
    <n v="4422273"/>
    <n v="1.57"/>
    <n v="33607279"/>
    <n v="21437757"/>
  </r>
  <r>
    <x v="53"/>
    <n v="4"/>
    <n v="4"/>
    <n v="61074"/>
    <n v="134528"/>
    <n v="132517"/>
    <n v="132517"/>
    <n v="763431"/>
    <n v="0.17399999999999999"/>
    <n v="0.17399999999999999"/>
    <n v="0.17599999999999999"/>
    <n v="1.4999999999999999E-2"/>
    <n v="7.3999999999999996E-2"/>
    <n v="8.8999999999999996E-2"/>
    <n v="0.105"/>
    <n v="0.127"/>
    <n v="7.5999999999999998E-2"/>
    <n v="1749653"/>
    <n v="3.05"/>
    <n v="201127"/>
    <n v="66039"/>
    <n v="2.78"/>
    <n v="162364"/>
    <n v="58457"/>
    <n v="2.44"/>
    <n v="162415"/>
    <n v="66451"/>
    <n v="2.5299999999999998"/>
    <n v="175375"/>
    <n v="69274"/>
    <n v="1.3"/>
    <n v="1437795"/>
    <n v="1104260"/>
  </r>
  <r>
    <x v="54"/>
    <n v="3"/>
    <n v="3"/>
    <n v="392163"/>
    <n v="1114095"/>
    <n v="1114095"/>
    <n v="1114095"/>
    <n v="4902040"/>
    <n v="0.22700000000000001"/>
    <n v="0.22700000000000001"/>
    <n v="0.22700000000000001"/>
    <n v="0"/>
    <n v="7.8E-2"/>
    <n v="7.8E-2"/>
    <n v="9.6000000000000002E-2"/>
    <n v="0.12"/>
    <n v="6.2E-2"/>
    <n v="17831617"/>
    <n v="1.35"/>
    <n v="5494675"/>
    <n v="4082147"/>
    <n v="1.23"/>
    <n v="5483422"/>
    <n v="4449142"/>
    <n v="1.32"/>
    <n v="5047056"/>
    <n v="3827317"/>
    <n v="1.32"/>
    <n v="5288817"/>
    <n v="4019950"/>
    <n v="1.06"/>
    <n v="6516659"/>
    <n v="6151429"/>
  </r>
  <r>
    <x v="55"/>
    <n v="5"/>
    <s v="Nicht vorhanden"/>
    <n v="16831"/>
    <n v="31953"/>
    <n v="31953"/>
    <n v="31953"/>
    <n v="210389"/>
    <n v="0.152"/>
    <n v="0.152"/>
    <n v="0.152"/>
    <n v="0"/>
    <n v="7.0000000000000007E-2"/>
    <n v="7.0000000000000007E-2"/>
    <n v="8.5000000000000006E-2"/>
    <n v="0.105"/>
    <n v="0.03"/>
    <n v="1049146"/>
    <n v="3.85"/>
    <n v="276498"/>
    <n v="71759"/>
    <n v="3.46"/>
    <n v="221708"/>
    <n v="64131"/>
    <n v="3.46"/>
    <n v="343575"/>
    <n v="99352"/>
    <n v="3.09"/>
    <n v="315387"/>
    <n v="102165"/>
    <n v="4.3499999999999996"/>
    <n v="591938"/>
    <n v="136199"/>
  </r>
  <r>
    <x v="56"/>
    <n v="3"/>
    <n v="3"/>
    <n v="711793"/>
    <n v="1869145"/>
    <n v="1538195"/>
    <n v="1538195"/>
    <n v="8897417"/>
    <n v="0.17299999999999999"/>
    <n v="0.17299999999999999"/>
    <n v="0.21"/>
    <n v="0"/>
    <n v="7.8E-2"/>
    <n v="7.8E-2"/>
    <n v="9.6000000000000002E-2"/>
    <n v="0.12"/>
    <n v="7.5999999999999998E-2"/>
    <n v="20238991"/>
    <n v="1.83"/>
    <n v="2646107"/>
    <n v="1449295"/>
    <n v="1.83"/>
    <n v="2823755"/>
    <n v="1540588"/>
    <n v="2.36"/>
    <n v="3619462"/>
    <n v="1535014"/>
    <n v="2.02"/>
    <n v="5320292"/>
    <n v="2633129"/>
    <n v="1.44"/>
    <n v="9262565"/>
    <n v="6418794"/>
  </r>
  <r>
    <x v="57"/>
    <n v="5"/>
    <n v="5"/>
    <n v="3403"/>
    <n v="9369"/>
    <n v="8000"/>
    <n v="8000"/>
    <n v="42539"/>
    <n v="0.188"/>
    <n v="0.188"/>
    <n v="0.22"/>
    <n v="2.5000000000000001E-2"/>
    <n v="7.0000000000000007E-2"/>
    <n v="9.5000000000000001E-2"/>
    <n v="0.11"/>
    <n v="0.13"/>
    <n v="6.8000000000000005E-2"/>
    <n v="118498"/>
    <n v="2.19"/>
    <n v="20037"/>
    <n v="9154"/>
    <n v="2.5299999999999998"/>
    <n v="24218"/>
    <n v="9560"/>
    <n v="2.58"/>
    <n v="24511"/>
    <n v="9512"/>
    <n v="2.63"/>
    <n v="25259"/>
    <n v="9587"/>
    <n v="1.93"/>
    <n v="109984"/>
    <n v="56934"/>
  </r>
  <r>
    <x v="58"/>
    <n v="5"/>
    <n v="5"/>
    <n v="22492"/>
    <n v="52644"/>
    <n v="47144"/>
    <n v="47144"/>
    <n v="281155"/>
    <n v="0.16800000000000001"/>
    <n v="0.16800000000000001"/>
    <n v="0.187"/>
    <n v="1.4E-2"/>
    <n v="7.0000000000000007E-2"/>
    <n v="8.4000000000000005E-2"/>
    <n v="9.9000000000000005E-2"/>
    <n v="0.11899999999999999"/>
    <n v="7.1999999999999995E-2"/>
    <n v="653408"/>
    <n v="11.88"/>
    <n v="99981"/>
    <n v="8412"/>
    <n v="13.53"/>
    <n v="108923"/>
    <n v="8052"/>
    <n v="9.5"/>
    <n v="114306"/>
    <n v="12026"/>
    <n v="12.5"/>
    <n v="113290"/>
    <n v="9066"/>
    <n v="1.66"/>
    <n v="595114"/>
    <n v="357548"/>
  </r>
  <r>
    <x v="59"/>
    <n v="4"/>
    <n v="4"/>
    <n v="64342"/>
    <n v="277725"/>
    <n v="277725"/>
    <n v="277725"/>
    <n v="804269"/>
    <n v="0.34499999999999997"/>
    <n v="0.34499999999999997"/>
    <n v="0.34499999999999997"/>
    <n v="0"/>
    <n v="7.3999999999999996E-2"/>
    <n v="7.3999999999999996E-2"/>
    <n v="0.09"/>
    <n v="0.112"/>
    <n v="7.0000000000000007E-2"/>
    <n v="3978764"/>
    <n v="4.28"/>
    <n v="1698195"/>
    <n v="397068"/>
    <n v="2.77"/>
    <n v="1922275"/>
    <n v="694277"/>
    <n v="4.17"/>
    <n v="1840059"/>
    <n v="441207"/>
    <n v="2.76"/>
    <n v="1673390"/>
    <n v="607355"/>
    <n v="2.5099999999999998"/>
    <n v="2809486"/>
    <n v="1119440"/>
  </r>
  <r>
    <x v="60"/>
    <n v="4"/>
    <n v="4"/>
    <n v="475025"/>
    <n v="1058287"/>
    <n v="905014"/>
    <n v="1055014"/>
    <n v="5937808"/>
    <n v="0.152"/>
    <n v="0.17799999999999999"/>
    <n v="0.17799999999999999"/>
    <n v="0"/>
    <n v="7.3999999999999996E-2"/>
    <n v="7.3999999999999996E-2"/>
    <n v="0.09"/>
    <n v="0.112"/>
    <n v="0.13500000000000001"/>
    <n v="7791883"/>
    <n v="6.2"/>
    <n v="473912"/>
    <n v="76385"/>
    <n v="7.78"/>
    <n v="442670"/>
    <n v="56867"/>
    <n v="4.3600000000000003"/>
    <n v="446274"/>
    <n v="102260"/>
    <n v="3.36"/>
    <n v="617988"/>
    <n v="183920"/>
    <n v="1.07"/>
    <n v="5539629"/>
    <n v="5171007"/>
  </r>
  <r>
    <x v="61"/>
    <n v="4"/>
    <n v="5"/>
    <n v="32164"/>
    <n v="85486"/>
    <n v="83890"/>
    <n v="83890"/>
    <n v="402051"/>
    <n v="0.20899999999999999"/>
    <n v="0.20899999999999999"/>
    <n v="0.21299999999999999"/>
    <n v="0"/>
    <n v="7.3999999999999996E-2"/>
    <n v="7.3999999999999996E-2"/>
    <n v="0.09"/>
    <n v="0.112"/>
    <n v="3.6999999999999998E-2"/>
    <n v="2294054"/>
    <n v="5.0999999999999996"/>
    <n v="951978"/>
    <n v="186535"/>
    <n v="5.53"/>
    <n v="1337393"/>
    <n v="241758"/>
    <n v="4.05"/>
    <n v="1565936"/>
    <n v="386248"/>
    <n v="3.89"/>
    <n v="1647092"/>
    <n v="423177"/>
    <n v="4.7300000000000004"/>
    <n v="1418561"/>
    <n v="299717"/>
  </r>
  <r>
    <x v="62"/>
    <n v="4"/>
    <n v="4"/>
    <n v="492070"/>
    <n v="1255548"/>
    <n v="1240556"/>
    <n v="1240556"/>
    <n v="6150877"/>
    <n v="0.20200000000000001"/>
    <n v="0.20200000000000001"/>
    <n v="0.20399999999999999"/>
    <n v="1.4E-2"/>
    <n v="7.3999999999999996E-2"/>
    <n v="8.7999999999999995E-2"/>
    <n v="0.104"/>
    <n v="0.126"/>
    <n v="8.8999999999999996E-2"/>
    <n v="13914575"/>
    <n v="2.16"/>
    <n v="3069683"/>
    <n v="1421893"/>
    <n v="2"/>
    <n v="3067408"/>
    <n v="1534805"/>
    <n v="1.64"/>
    <n v="2384801"/>
    <n v="1452066"/>
    <n v="1.42"/>
    <n v="1579548"/>
    <n v="1110829"/>
    <n v="1.31"/>
    <n v="11986815"/>
    <n v="9149239"/>
  </r>
  <r>
    <x v="63"/>
    <n v="4"/>
    <n v="4"/>
    <n v="387518"/>
    <n v="1047205"/>
    <n v="1047205"/>
    <n v="1047205"/>
    <n v="4843980"/>
    <n v="0.216"/>
    <n v="0.216"/>
    <n v="0.216"/>
    <n v="3.0000000000000001E-3"/>
    <n v="7.3999999999999996E-2"/>
    <n v="7.6999999999999999E-2"/>
    <n v="9.2999999999999999E-2"/>
    <n v="0.115"/>
    <n v="0.113"/>
    <n v="9302198"/>
    <n v="2"/>
    <n v="2465540"/>
    <n v="1230422"/>
    <n v="1.96"/>
    <n v="2326962"/>
    <n v="1189744"/>
    <n v="1.8"/>
    <n v="2172148"/>
    <n v="1205833"/>
    <n v="1.81"/>
    <n v="2042069"/>
    <n v="1126575"/>
    <n v="1.69"/>
    <n v="5467335"/>
    <n v="3235601"/>
  </r>
  <r>
    <x v="64"/>
    <n v="4"/>
    <n v="4"/>
    <n v="186470"/>
    <n v="432770"/>
    <n v="432770"/>
    <n v="432770"/>
    <n v="2330869"/>
    <n v="0.186"/>
    <n v="0.186"/>
    <n v="0.186"/>
    <n v="1.6E-2"/>
    <n v="7.3999999999999996E-2"/>
    <n v="0.09"/>
    <n v="0.106"/>
    <n v="0.128"/>
    <n v="7.2999999999999995E-2"/>
    <n v="5908803"/>
    <n v="2.82"/>
    <n v="698385"/>
    <n v="247669"/>
    <n v="2.33"/>
    <n v="686438"/>
    <n v="294769"/>
    <n v="1.85"/>
    <n v="546593"/>
    <n v="295226"/>
    <n v="1.74"/>
    <n v="419008"/>
    <n v="240567"/>
    <n v="1.1000000000000001"/>
    <n v="4680166"/>
    <n v="4242668"/>
  </r>
  <r>
    <x v="65"/>
    <n v="5"/>
    <n v="5"/>
    <n v="39242"/>
    <n v="125636"/>
    <n v="125636"/>
    <n v="125636"/>
    <n v="490525"/>
    <n v="0.25600000000000001"/>
    <n v="0.25600000000000001"/>
    <n v="0.25600000000000001"/>
    <n v="0"/>
    <n v="7.0000000000000007E-2"/>
    <n v="7.0000000000000007E-2"/>
    <n v="8.5000000000000006E-2"/>
    <n v="0.105"/>
    <n v="0.16900000000000001"/>
    <n v="741661"/>
    <n v="2"/>
    <n v="149307"/>
    <n v="74719"/>
    <n v="2.9"/>
    <n v="115956"/>
    <n v="40017"/>
    <n v="2.85"/>
    <n v="213985"/>
    <n v="74992"/>
    <n v="3.37"/>
    <n v="189752"/>
    <n v="56276"/>
    <n v="1.85"/>
    <n v="337735"/>
    <n v="183006"/>
  </r>
  <r>
    <x v="66"/>
    <n v="5"/>
    <n v="5"/>
    <n v="9664"/>
    <n v="65521"/>
    <n v="65521"/>
    <n v="65521"/>
    <n v="120803"/>
    <n v="0.54200000000000004"/>
    <n v="0.54200000000000004"/>
    <n v="0.54200000000000004"/>
    <n v="0"/>
    <n v="7.0000000000000007E-2"/>
    <n v="7.0000000000000007E-2"/>
    <n v="8.5000000000000006E-2"/>
    <n v="0.105"/>
    <n v="0.90300000000000002"/>
    <n v="72527"/>
    <s v="2)"/>
    <s v="2)"/>
    <s v="2)"/>
    <s v="2)"/>
    <s v="2)"/>
    <s v="2)"/>
    <s v="2)"/>
    <s v="2)"/>
    <s v="2)"/>
    <s v="2)"/>
    <s v="2)"/>
    <s v="2)"/>
    <n v="2.0299999999999998"/>
    <n v="67494"/>
    <n v="33298"/>
  </r>
  <r>
    <x v="67"/>
    <n v="5"/>
    <n v="5"/>
    <n v="1257"/>
    <n v="6929"/>
    <n v="6929"/>
    <n v="6929"/>
    <n v="15719"/>
    <n v="0.441"/>
    <n v="0.441"/>
    <n v="0.441"/>
    <n v="0"/>
    <n v="7.0000000000000007E-2"/>
    <n v="7.0000000000000007E-2"/>
    <n v="8.5000000000000006E-2"/>
    <n v="0.105"/>
    <n v="0.25900000000000001"/>
    <n v="26758"/>
    <s v="n/a"/>
    <s v="n/a"/>
    <s v="n/a"/>
    <n v="1.21"/>
    <n v="667"/>
    <n v="552"/>
    <n v="1.49"/>
    <n v="2000"/>
    <n v="1340"/>
    <n v="4.03"/>
    <n v="4051"/>
    <n v="1006"/>
    <n v="5.56"/>
    <n v="21535"/>
    <n v="3870"/>
  </r>
  <r>
    <x v="68"/>
    <n v="4"/>
    <n v="4"/>
    <n v="246943"/>
    <n v="636699"/>
    <n v="584398"/>
    <n v="584398"/>
    <n v="3086781"/>
    <n v="0.189"/>
    <n v="0.189"/>
    <n v="0.20599999999999999"/>
    <n v="0"/>
    <n v="7.3999999999999996E-2"/>
    <n v="7.3999999999999996E-2"/>
    <n v="0.09"/>
    <n v="0.112"/>
    <n v="7.1999999999999995E-2"/>
    <n v="8143162"/>
    <n v="1.76"/>
    <n v="1281661"/>
    <n v="728876"/>
    <n v="1.96"/>
    <n v="1144832"/>
    <n v="585416"/>
    <n v="2.34"/>
    <n v="1072977"/>
    <n v="457812"/>
    <n v="1.87"/>
    <n v="1006735"/>
    <n v="537549"/>
    <n v="1.1200000000000001"/>
    <n v="3890523"/>
    <n v="3480557"/>
  </r>
  <r>
    <x v="69"/>
    <n v="4"/>
    <n v="4"/>
    <n v="171041"/>
    <n v="564824"/>
    <n v="564824"/>
    <n v="564824"/>
    <n v="2138016"/>
    <n v="0.26400000000000001"/>
    <n v="0.26400000000000001"/>
    <n v="0.26400000000000001"/>
    <n v="2E-3"/>
    <n v="7.3999999999999996E-2"/>
    <n v="7.5999999999999998E-2"/>
    <n v="9.1999999999999998E-2"/>
    <n v="0.114"/>
    <n v="0.215"/>
    <n v="2621371"/>
    <n v="4.0599999999999996"/>
    <n v="837082"/>
    <n v="206049"/>
    <n v="3.7"/>
    <n v="864830"/>
    <n v="233995"/>
    <n v="3.53"/>
    <n v="774582"/>
    <n v="219380"/>
    <n v="4.42"/>
    <n v="711307"/>
    <n v="160888"/>
    <n v="1.23"/>
    <n v="1692413"/>
    <n v="1380130"/>
  </r>
  <r>
    <x v="70"/>
    <n v="5"/>
    <n v="5"/>
    <n v="12666"/>
    <n v="51258"/>
    <n v="51258"/>
    <n v="51258"/>
    <n v="158330"/>
    <n v="0.32400000000000001"/>
    <n v="0.32400000000000001"/>
    <n v="0.32400000000000001"/>
    <n v="0"/>
    <n v="7.0000000000000007E-2"/>
    <n v="7.0000000000000007E-2"/>
    <n v="8.5000000000000006E-2"/>
    <n v="0.105"/>
    <n v="0.245"/>
    <n v="209538"/>
    <n v="12.3"/>
    <n v="63765"/>
    <n v="5183"/>
    <n v="13.88"/>
    <n v="65785"/>
    <n v="4739"/>
    <n v="15.58"/>
    <n v="72865"/>
    <n v="4677"/>
    <n v="16.600000000000001"/>
    <n v="79855"/>
    <n v="4810"/>
    <n v="7.27"/>
    <n v="171396"/>
    <n v="23584"/>
  </r>
  <r>
    <x v="71"/>
    <n v="5"/>
    <n v="5"/>
    <n v="25272"/>
    <n v="182531"/>
    <n v="182531"/>
    <n v="182531"/>
    <n v="315898"/>
    <n v="0.57799999999999996"/>
    <n v="0.57799999999999996"/>
    <n v="0.57799999999999996"/>
    <n v="0"/>
    <n v="7.0000000000000007E-2"/>
    <n v="7.0000000000000007E-2"/>
    <n v="8.5000000000000006E-2"/>
    <n v="0.105"/>
    <n v="0.185"/>
    <n v="985652"/>
    <n v="2.13"/>
    <n v="381515"/>
    <n v="178746"/>
    <n v="2.23"/>
    <n v="372727"/>
    <n v="166888"/>
    <n v="3.05"/>
    <n v="365316"/>
    <n v="119789"/>
    <n v="2.34"/>
    <n v="439682"/>
    <n v="188258"/>
    <n v="2.3199999999999998"/>
    <n v="701725"/>
    <n v="302826"/>
  </r>
  <r>
    <x v="72"/>
    <n v="3"/>
    <n v="3"/>
    <n v="434542"/>
    <n v="1217039"/>
    <n v="1196961"/>
    <n v="1196961"/>
    <n v="5431770"/>
    <n v="0.22"/>
    <n v="0.224"/>
    <n v="0.224"/>
    <n v="0"/>
    <n v="7.8E-2"/>
    <n v="7.8E-2"/>
    <n v="9.6000000000000002E-2"/>
    <n v="0.12"/>
    <n v="5.8999999999999997E-2"/>
    <n v="20368217"/>
    <n v="1.56"/>
    <n v="9901024"/>
    <n v="6334244"/>
    <n v="1.7"/>
    <n v="9806018"/>
    <n v="5783669"/>
    <n v="1.71"/>
    <n v="8872616"/>
    <n v="5189000"/>
    <n v="1.83"/>
    <n v="8804002"/>
    <n v="4820399"/>
    <n v="2.0099999999999998"/>
    <n v="11869493"/>
    <n v="5894629"/>
  </r>
  <r>
    <x v="73"/>
    <n v="3"/>
    <n v="3"/>
    <n v="463844"/>
    <n v="1156328"/>
    <n v="1085649"/>
    <n v="1135649"/>
    <n v="5798053"/>
    <n v="0.187"/>
    <n v="0.19600000000000001"/>
    <n v="0.19900000000000001"/>
    <n v="0"/>
    <n v="7.8E-2"/>
    <n v="7.8E-2"/>
    <n v="9.6000000000000002E-2"/>
    <n v="0.12"/>
    <n v="5.6000000000000001E-2"/>
    <n v="20327215"/>
    <n v="1.51"/>
    <n v="9944743"/>
    <n v="6585752"/>
    <n v="1.7"/>
    <n v="9806018"/>
    <n v="5776035"/>
    <n v="1.712"/>
    <n v="8872616"/>
    <n v="5183673"/>
    <n v="1.835"/>
    <n v="8804002"/>
    <n v="4797000"/>
    <n v="2.0099999999999998"/>
    <n v="11795966"/>
    <n v="5882421"/>
  </r>
  <r>
    <x v="74"/>
    <n v="3"/>
    <n v="3"/>
    <n v="512333"/>
    <n v="1148741"/>
    <n v="854158"/>
    <n v="1148741"/>
    <n v="6404164"/>
    <n v="0.13300000000000001"/>
    <n v="0.17899999999999999"/>
    <n v="0.17899999999999999"/>
    <n v="1E-3"/>
    <n v="7.8E-2"/>
    <n v="7.9000000000000001E-2"/>
    <n v="9.7000000000000003E-2"/>
    <n v="0.121"/>
    <n v="3.9E-2"/>
    <n v="29385576"/>
    <n v="1.7"/>
    <n v="7659466"/>
    <n v="4496180"/>
    <n v="1.9"/>
    <n v="7548356"/>
    <n v="3974917"/>
    <n v="1.47"/>
    <n v="7485511"/>
    <n v="5082123"/>
    <n v="1.48"/>
    <n v="8624041"/>
    <n v="5813658"/>
    <n v="1.71"/>
    <n v="16072575"/>
    <n v="9387926"/>
  </r>
  <r>
    <x v="75"/>
    <n v="3"/>
    <n v="3"/>
    <n v="712800"/>
    <n v="1615670"/>
    <n v="1277210"/>
    <n v="1478675"/>
    <n v="8909994"/>
    <n v="0.14299999999999999"/>
    <n v="0.16600000000000001"/>
    <n v="0.18099999999999999"/>
    <n v="1E-3"/>
    <n v="7.8E-2"/>
    <n v="7.9000000000000001E-2"/>
    <n v="9.7000000000000003E-2"/>
    <n v="0.121"/>
    <n v="3.4000000000000002E-2"/>
    <n v="43953117"/>
    <n v="1.96"/>
    <n v="14857192"/>
    <n v="7596985"/>
    <n v="1.83"/>
    <n v="15620565"/>
    <n v="8548504"/>
    <n v="1.89"/>
    <n v="15241122"/>
    <n v="8071063"/>
    <n v="2.04"/>
    <n v="16311041"/>
    <n v="7982986"/>
    <n v="1.68"/>
    <n v="26716379"/>
    <n v="15874004"/>
  </r>
  <r>
    <x v="76"/>
    <n v="3"/>
    <n v="3"/>
    <n v="720775"/>
    <n v="1679426"/>
    <n v="1328080"/>
    <n v="1679104"/>
    <n v="9009682"/>
    <n v="0.14699999999999999"/>
    <n v="0.186"/>
    <n v="0.186"/>
    <n v="1E-3"/>
    <n v="7.8E-2"/>
    <n v="7.9000000000000001E-2"/>
    <n v="9.7000000000000003E-2"/>
    <n v="0.121"/>
    <n v="3.7999999999999999E-2"/>
    <n v="43886042"/>
    <n v="1.93"/>
    <n v="14571107"/>
    <n v="7545919"/>
    <n v="1.79"/>
    <n v="15257128"/>
    <n v="8502854"/>
    <n v="1.86"/>
    <n v="14938279"/>
    <n v="8022569"/>
    <n v="2.02"/>
    <n v="16092056"/>
    <n v="7963861"/>
    <n v="1.68"/>
    <n v="26580064"/>
    <n v="15812913"/>
  </r>
  <r>
    <x v="77"/>
    <n v="5"/>
    <n v="5"/>
    <n v="55862"/>
    <n v="244712"/>
    <n v="207669"/>
    <n v="207669"/>
    <n v="698272"/>
    <n v="0.29699999999999999"/>
    <n v="0.29699999999999999"/>
    <n v="0.35"/>
    <n v="0"/>
    <n v="7.0000000000000007E-2"/>
    <n v="7.0000000000000007E-2"/>
    <n v="8.5000000000000006E-2"/>
    <n v="0.105"/>
    <n v="6.5000000000000002E-2"/>
    <n v="3201289"/>
    <n v="1.05"/>
    <n v="15466427"/>
    <n v="14764149"/>
    <n v="1.05"/>
    <n v="15421098"/>
    <n v="14717054"/>
    <n v="1.04"/>
    <n v="12991209"/>
    <n v="12506026"/>
    <n v="1.04"/>
    <n v="11402317"/>
    <n v="10983243"/>
    <n v="2.86"/>
    <n v="777964"/>
    <n v="272345"/>
  </r>
  <r>
    <x v="78"/>
    <n v="5"/>
    <n v="5"/>
    <n v="16716"/>
    <n v="30386"/>
    <n v="29272"/>
    <n v="29272"/>
    <n v="208948"/>
    <n v="0.14000000000000001"/>
    <n v="0.14000000000000001"/>
    <n v="0.14499999999999999"/>
    <n v="1.0999999999999999E-2"/>
    <n v="7.0000000000000007E-2"/>
    <n v="8.1000000000000003E-2"/>
    <n v="9.6000000000000002E-2"/>
    <n v="0.11600000000000001"/>
    <n v="7.1999999999999995E-2"/>
    <n v="405676"/>
    <n v="2.1"/>
    <n v="31121"/>
    <n v="14848"/>
    <n v="1.92"/>
    <n v="28699"/>
    <n v="14917"/>
    <n v="2.02"/>
    <n v="30154"/>
    <n v="14919"/>
    <n v="1.48"/>
    <n v="25341"/>
    <n v="17135"/>
    <n v="1.1000000000000001"/>
    <n v="314035"/>
    <n v="285086"/>
  </r>
  <r>
    <x v="79"/>
    <n v="5"/>
    <n v="5"/>
    <n v="6762"/>
    <n v="25137"/>
    <n v="25137"/>
    <n v="25137"/>
    <n v="84522"/>
    <n v="0.29699999999999999"/>
    <n v="0.29699999999999999"/>
    <n v="0.29699999999999999"/>
    <n v="0"/>
    <n v="7.0000000000000007E-2"/>
    <n v="7.0000000000000007E-2"/>
    <n v="8.5000000000000006E-2"/>
    <n v="0.105"/>
    <n v="4.5999999999999999E-2"/>
    <n v="542265"/>
    <n v="1.68"/>
    <n v="62560"/>
    <n v="37133"/>
    <n v="1.77"/>
    <n v="65179"/>
    <n v="36867"/>
    <n v="1.73"/>
    <n v="63593"/>
    <n v="36682"/>
    <n v="2.0499999999999998"/>
    <n v="62739"/>
    <n v="30565"/>
    <n v="2"/>
    <n v="264653"/>
    <n v="132554"/>
  </r>
  <r>
    <x v="80"/>
    <n v="4"/>
    <n v="5"/>
    <n v="45879"/>
    <n v="101643"/>
    <n v="101643"/>
    <n v="101643"/>
    <n v="573493"/>
    <n v="0.17699999999999999"/>
    <n v="0.17699999999999999"/>
    <n v="0.17699999999999999"/>
    <n v="0"/>
    <n v="7.3999999999999996E-2"/>
    <n v="7.3999999999999996E-2"/>
    <n v="0.09"/>
    <n v="0.112"/>
    <n v="0.115"/>
    <n v="887046"/>
    <n v="2.48"/>
    <n v="228664"/>
    <n v="92371"/>
    <n v="2.63"/>
    <n v="240359"/>
    <n v="91476"/>
    <n v="2.0099999999999998"/>
    <n v="157058"/>
    <n v="78250"/>
    <n v="1.52"/>
    <n v="131839"/>
    <n v="86521"/>
    <n v="1.19"/>
    <n v="431508"/>
    <n v="364103"/>
  </r>
  <r>
    <x v="81"/>
    <n v="5"/>
    <n v="5"/>
    <n v="623"/>
    <n v="2380"/>
    <n v="2380"/>
    <n v="2380"/>
    <n v="7792"/>
    <n v="0.30499999999999999"/>
    <n v="0.30499999999999999"/>
    <n v="0.30499999999999999"/>
    <n v="0"/>
    <n v="7.0000000000000007E-2"/>
    <n v="7.0000000000000007E-2"/>
    <n v="8.5000000000000006E-2"/>
    <n v="0.105"/>
    <n v="0.14899999999999999"/>
    <n v="15979"/>
    <n v="22.37"/>
    <n v="5906"/>
    <n v="264"/>
    <n v="22.78"/>
    <n v="7243"/>
    <n v="318"/>
    <n v="21.96"/>
    <n v="8320"/>
    <n v="379"/>
    <n v="22.81"/>
    <n v="10004"/>
    <n v="439"/>
    <n v="2.25"/>
    <n v="14076"/>
    <n v="6245"/>
  </r>
  <r>
    <x v="82"/>
    <n v="4"/>
    <n v="4"/>
    <n v="64709"/>
    <n v="240188"/>
    <n v="240188"/>
    <n v="240188"/>
    <n v="808858"/>
    <n v="0.29699999999999999"/>
    <n v="0.29699999999999999"/>
    <n v="0.29699999999999999"/>
    <n v="1E-3"/>
    <n v="7.3999999999999996E-2"/>
    <n v="7.4999999999999997E-2"/>
    <n v="9.0999999999999998E-2"/>
    <n v="0.113"/>
    <n v="0.128"/>
    <n v="1869675"/>
    <n v="2.1800000000000002"/>
    <n v="913748"/>
    <n v="418306"/>
    <n v="2.12"/>
    <n v="991082"/>
    <n v="467701"/>
    <n v="1.96"/>
    <n v="832378"/>
    <n v="425288"/>
    <n v="1.76"/>
    <n v="577152"/>
    <n v="328062"/>
    <n v="1.69"/>
    <n v="1154300"/>
    <n v="682188"/>
  </r>
  <r>
    <x v="83"/>
    <n v="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84"/>
    <n v="4"/>
    <n v="4"/>
    <n v="43566"/>
    <n v="130586"/>
    <n v="130586"/>
    <n v="130586"/>
    <n v="544572"/>
    <n v="0.24"/>
    <n v="0.24"/>
    <n v="0.24"/>
    <n v="0"/>
    <n v="7.3999999999999996E-2"/>
    <n v="7.3999999999999996E-2"/>
    <n v="0.09"/>
    <n v="0.112"/>
    <n v="0.13300000000000001"/>
    <n v="978660"/>
    <n v="1.389"/>
    <n v="412064"/>
    <n v="296697"/>
    <n v="1.3620000000000001"/>
    <n v="389829"/>
    <n v="286176"/>
    <n v="1.1910000000000001"/>
    <n v="342925"/>
    <n v="288040"/>
    <n v="1.3089999999999999"/>
    <n v="249520"/>
    <n v="190604"/>
    <n v="1.1870000000000001"/>
    <n v="613082"/>
    <n v="516574"/>
  </r>
  <r>
    <x v="85"/>
    <n v="5"/>
    <n v="5"/>
    <n v="15453"/>
    <n v="24984"/>
    <n v="22505"/>
    <n v="23255"/>
    <n v="193159"/>
    <n v="0.11700000000000001"/>
    <n v="0.12"/>
    <n v="0.129"/>
    <n v="0.01"/>
    <n v="7.0000000000000007E-2"/>
    <n v="0.08"/>
    <n v="9.5000000000000001E-2"/>
    <n v="0.115"/>
    <n v="5.8999999999999997E-2"/>
    <n v="394270"/>
    <n v="2.5299999999999998"/>
    <n v="64624"/>
    <n v="25531"/>
    <n v="2.56"/>
    <n v="69512"/>
    <n v="27130"/>
    <n v="2.68"/>
    <n v="69009"/>
    <n v="25791"/>
    <n v="2.6"/>
    <n v="71586"/>
    <n v="27563"/>
    <n v="1.48"/>
    <n v="357147"/>
    <n v="241455"/>
  </r>
  <r>
    <x v="86"/>
    <n v="4"/>
    <n v="4"/>
    <n v="278855"/>
    <n v="656838"/>
    <n v="400243"/>
    <n v="500243"/>
    <n v="3485688"/>
    <n v="0.115"/>
    <n v="0.14399999999999999"/>
    <n v="0.188"/>
    <n v="1.2999999999999999E-2"/>
    <n v="7.3999999999999996E-2"/>
    <n v="8.6999999999999994E-2"/>
    <n v="0.10299999999999999"/>
    <n v="0.125"/>
    <n v="5.7000000000000002E-2"/>
    <n v="8730499"/>
    <n v="2.2400000000000002"/>
    <n v="1570943"/>
    <n v="702346"/>
    <n v="2.79"/>
    <n v="1602138"/>
    <n v="573249"/>
    <n v="2.27"/>
    <n v="1788982"/>
    <n v="786791"/>
    <n v="1.86"/>
    <n v="2014547"/>
    <n v="1085060"/>
    <n v="1.37"/>
    <n v="5871819"/>
    <n v="4279052"/>
  </r>
  <r>
    <x v="87"/>
    <n v="5"/>
    <n v="5"/>
    <n v="12542"/>
    <n v="33845"/>
    <n v="26716"/>
    <n v="33716"/>
    <n v="156775"/>
    <n v="0.17"/>
    <n v="0.215"/>
    <n v="0.216"/>
    <n v="1E-3"/>
    <n v="6.9999999999999993E-2"/>
    <n v="7.0999999999999994E-2"/>
    <n v="8.5999999999999993E-2"/>
    <n v="0.106"/>
    <n v="4.2000000000000003E-2"/>
    <n v="808703"/>
    <n v="3.09"/>
    <n v="727886"/>
    <n v="235223"/>
    <n v="3.26"/>
    <n v="872496"/>
    <n v="267465"/>
    <n v="3.26"/>
    <n v="866838"/>
    <n v="265645"/>
    <n v="3.7"/>
    <n v="552675"/>
    <n v="149480"/>
    <n v="4.1100000000000003"/>
    <n v="531944"/>
    <n v="129397"/>
  </r>
  <r>
    <x v="88"/>
    <n v="5"/>
    <n v="5"/>
    <n v="14258"/>
    <n v="45747"/>
    <n v="41747"/>
    <n v="45747"/>
    <n v="178226"/>
    <n v="0.23400000000000001"/>
    <n v="0.25700000000000001"/>
    <n v="0.25700000000000001"/>
    <n v="1E-3"/>
    <n v="6.9999999999999993E-2"/>
    <n v="7.0999999999999994E-2"/>
    <n v="8.5999999999999993E-2"/>
    <n v="0.106"/>
    <n v="5.5E-2"/>
    <n v="832513"/>
    <n v="5.3"/>
    <n v="728098"/>
    <n v="137422"/>
    <n v="5.32"/>
    <n v="872739"/>
    <n v="164171"/>
    <n v="4.91"/>
    <n v="866990"/>
    <n v="176685"/>
    <n v="5.93"/>
    <n v="552892"/>
    <n v="93309"/>
    <n v="4.0599999999999996"/>
    <n v="568780"/>
    <n v="140000"/>
  </r>
  <r>
    <x v="89"/>
    <n v="3"/>
    <n v="3"/>
    <n v="1102984"/>
    <n v="2657530"/>
    <n v="2657530"/>
    <n v="2657530"/>
    <n v="13787305"/>
    <n v="0.193"/>
    <n v="0.193"/>
    <n v="0.193"/>
    <n v="1.0999999999999999E-2"/>
    <n v="7.8E-2"/>
    <n v="8.8999999999999996E-2"/>
    <n v="0.107"/>
    <n v="0.13100000000000001"/>
    <n v="7.8E-2"/>
    <n v="33871141"/>
    <n v="1.69"/>
    <n v="8111538"/>
    <n v="4793922"/>
    <n v="1.54"/>
    <n v="7813589"/>
    <n v="5076733"/>
    <n v="1.36"/>
    <n v="6423531"/>
    <n v="4740583"/>
    <n v="1.32"/>
    <n v="7248809"/>
    <n v="5481359"/>
    <n v="1.4"/>
    <n v="24372230"/>
    <n v="17438664"/>
  </r>
  <r>
    <x v="90"/>
    <n v="5"/>
    <n v="5"/>
    <n v="26248"/>
    <n v="62948"/>
    <n v="62948"/>
    <n v="62948"/>
    <n v="328106"/>
    <n v="0.192"/>
    <n v="0.192"/>
    <n v="0.192"/>
    <n v="1.6E-2"/>
    <n v="6.9999999999999993E-2"/>
    <n v="8.5999999999999993E-2"/>
    <n v="0.10100000000000001"/>
    <n v="0.121"/>
    <n v="8.2000000000000003E-2"/>
    <n v="771907"/>
    <n v="2.44"/>
    <n v="90532"/>
    <n v="37094"/>
    <n v="2.4"/>
    <n v="89257"/>
    <n v="37161"/>
    <n v="2.2999999999999998"/>
    <n v="85512"/>
    <n v="37258"/>
    <n v="1.98"/>
    <n v="76987"/>
    <n v="38845"/>
    <n v="1.37"/>
    <n v="698004"/>
    <n v="509905"/>
  </r>
  <r>
    <x v="91"/>
    <n v="5"/>
    <s v="Nicht vorhanden"/>
    <n v="15538"/>
    <n v="26581"/>
    <n v="26581"/>
    <n v="26581"/>
    <n v="194230"/>
    <n v="0.13700000000000001"/>
    <n v="0.13700000000000001"/>
    <n v="0.13700000000000001"/>
    <n v="0"/>
    <n v="7.0000000000000007E-2"/>
    <n v="7.0000000000000007E-2"/>
    <n v="8.5000000000000006E-2"/>
    <n v="0.105"/>
    <n v="7.8E-2"/>
    <n v="338973"/>
    <n v="2.2200000000000002"/>
    <n v="26635"/>
    <n v="12011"/>
    <n v="2.7"/>
    <n v="41069"/>
    <n v="15195"/>
    <n v="1.49"/>
    <n v="24381"/>
    <n v="16312"/>
    <n v="1.47"/>
    <n v="23368"/>
    <n v="15928"/>
    <n v="2.06"/>
    <n v="265754"/>
    <n v="129147"/>
  </r>
  <r>
    <x v="92"/>
    <n v="4"/>
    <n v="4"/>
    <n v="82421"/>
    <n v="209181"/>
    <n v="209181"/>
    <n v="209181"/>
    <n v="1030262"/>
    <n v="0.20300000000000001"/>
    <n v="0.20300000000000001"/>
    <n v="0.20300000000000001"/>
    <n v="0"/>
    <n v="7.3999999999999996E-2"/>
    <n v="7.3999999999999996E-2"/>
    <n v="0.09"/>
    <n v="0.112"/>
    <n v="5.8999999999999997E-2"/>
    <n v="3547456"/>
    <n v="1.96"/>
    <n v="2880771"/>
    <n v="1472463"/>
    <n v="1.99"/>
    <n v="2574136"/>
    <n v="1291033"/>
    <n v="1.9"/>
    <n v="2183236"/>
    <n v="1146680"/>
    <n v="1.87"/>
    <n v="2003444"/>
    <n v="1072919"/>
    <n v="2.4"/>
    <n v="2028361"/>
    <n v="845013"/>
  </r>
  <r>
    <x v="93"/>
    <n v="3"/>
    <n v="3"/>
    <n v="990457"/>
    <n v="3386728"/>
    <n v="3356728"/>
    <n v="3386728"/>
    <n v="12380718"/>
    <n v="0.27100000000000002"/>
    <n v="0.27400000000000002"/>
    <n v="0.27400000000000002"/>
    <n v="2E-3"/>
    <n v="7.8E-2"/>
    <n v="0.08"/>
    <n v="9.8000000000000004E-2"/>
    <n v="0.122"/>
    <n v="6.8000000000000005E-2"/>
    <n v="49953090"/>
    <n v="1.71"/>
    <n v="29253226"/>
    <n v="17122161"/>
    <n v="1.74"/>
    <n v="29609983"/>
    <n v="17051201"/>
    <n v="1.82"/>
    <n v="26950629"/>
    <n v="14817936"/>
    <n v="1.77"/>
    <n v="24807732"/>
    <n v="13983096"/>
    <n v="2.0699999999999998"/>
    <n v="21522334"/>
    <n v="10403365"/>
  </r>
  <r>
    <x v="94"/>
    <n v="4"/>
    <n v="4"/>
    <n v="558054"/>
    <n v="1199615"/>
    <n v="1136782"/>
    <n v="1136782"/>
    <n v="6975675"/>
    <n v="0.16300000000000001"/>
    <n v="0.16300000000000001"/>
    <n v="0.17199999999999999"/>
    <n v="0"/>
    <n v="7.3999999999999996E-2"/>
    <n v="7.3999999999999996E-2"/>
    <n v="0.09"/>
    <n v="0.112"/>
    <n v="8.4000000000000005E-2"/>
    <n v="13521104"/>
    <n v="1.52"/>
    <n v="4009176"/>
    <n v="2644230"/>
    <n v="1.35"/>
    <n v="4163868"/>
    <n v="3082927"/>
    <n v="1.3"/>
    <n v="3942752"/>
    <n v="3044378"/>
    <n v="1.31"/>
    <n v="3575595"/>
    <n v="2719454"/>
    <n v="1.86"/>
    <n v="8247708"/>
    <n v="4434195"/>
  </r>
  <r>
    <x v="95"/>
    <n v="5"/>
    <n v="5"/>
    <n v="18365"/>
    <n v="51536"/>
    <n v="51536"/>
    <n v="51536"/>
    <n v="229565"/>
    <n v="0.224"/>
    <n v="0.224"/>
    <n v="0.224"/>
    <n v="3.0000000000000001E-3"/>
    <n v="6.9999999999999993E-2"/>
    <n v="7.2999999999999995E-2"/>
    <n v="8.7999999999999995E-2"/>
    <n v="0.108"/>
    <n v="0.06"/>
    <n v="861666"/>
    <n v="4.37"/>
    <n v="111209"/>
    <n v="25422"/>
    <n v="4.43"/>
    <n v="137471"/>
    <n v="31044"/>
    <n v="3.98"/>
    <n v="131897"/>
    <n v="33167"/>
    <n v="3.76"/>
    <n v="164808"/>
    <n v="43863"/>
    <n v="1.53"/>
    <n v="318922"/>
    <n v="207890"/>
  </r>
  <r>
    <x v="96"/>
    <n v="5"/>
    <n v="5"/>
    <n v="11705"/>
    <n v="42658"/>
    <n v="19158"/>
    <n v="42658"/>
    <n v="146310"/>
    <n v="0.13100000000000001"/>
    <n v="0.29199999999999998"/>
    <n v="0.29199999999999998"/>
    <n v="0"/>
    <n v="7.0000000000000007E-2"/>
    <n v="7.0000000000000007E-2"/>
    <n v="8.5000000000000006E-2"/>
    <n v="0.105"/>
    <n v="0.161"/>
    <n v="264756"/>
    <n v="2.57"/>
    <n v="36835"/>
    <n v="14336"/>
    <n v="2.08"/>
    <n v="32346"/>
    <n v="15523"/>
    <n v="2.57"/>
    <n v="38098"/>
    <n v="14831"/>
    <n v="2.46"/>
    <n v="42862"/>
    <n v="17434"/>
    <n v="1.45"/>
    <n v="154438"/>
    <n v="106662"/>
  </r>
  <r>
    <x v="97"/>
    <n v="3"/>
    <n v="3"/>
    <n v="455011"/>
    <n v="1392514"/>
    <n v="1162040"/>
    <n v="1162040"/>
    <n v="5687642"/>
    <n v="0.20399999999999999"/>
    <n v="0.20399999999999999"/>
    <n v="0.245"/>
    <n v="0"/>
    <n v="7.8E-2"/>
    <n v="7.8E-2"/>
    <n v="9.6000000000000002E-2"/>
    <n v="0.12"/>
    <n v="6.2E-2"/>
    <n v="18665151"/>
    <n v="2.09"/>
    <n v="6713953"/>
    <n v="3212723"/>
    <n v="2.02"/>
    <n v="6862189"/>
    <n v="3399225"/>
    <n v="2.0299999999999998"/>
    <n v="6665839"/>
    <n v="3286970"/>
    <n v="1.76"/>
    <n v="5340204"/>
    <n v="3040351"/>
    <n v="1.52"/>
    <n v="9597557"/>
    <n v="6323054"/>
  </r>
  <r>
    <x v="98"/>
    <n v="4"/>
    <n v="4"/>
    <n v="17417"/>
    <n v="58571"/>
    <n v="58571"/>
    <n v="58571"/>
    <n v="217709"/>
    <n v="0.26900000000000002"/>
    <n v="0.26900000000000002"/>
    <n v="0.26900000000000002"/>
    <n v="0"/>
    <n v="7.3999999999999996E-2"/>
    <n v="7.3999999999999996E-2"/>
    <n v="0.09"/>
    <n v="0.112"/>
    <n v="5.0999999999999997E-2"/>
    <n v="1141886"/>
    <n v="2.81"/>
    <n v="769767"/>
    <n v="273456"/>
    <n v="2.58"/>
    <n v="781862"/>
    <n v="303211"/>
    <n v="2.17"/>
    <n v="530532"/>
    <n v="244662"/>
    <n v="2.13"/>
    <n v="347542"/>
    <n v="163056"/>
    <n v="2.2400000000000002"/>
    <n v="733818"/>
    <n v="327548"/>
  </r>
  <r>
    <x v="99"/>
    <n v="4"/>
    <n v="4"/>
    <n v="231933"/>
    <n v="548789"/>
    <n v="511192"/>
    <n v="511192"/>
    <n v="2899164"/>
    <n v="0.17599999999999999"/>
    <n v="0.17599999999999999"/>
    <n v="0.189"/>
    <n v="1.2E-2"/>
    <n v="7.3999999999999996E-2"/>
    <n v="8.5999999999999993E-2"/>
    <n v="0.10199999999999999"/>
    <n v="0.124"/>
    <n v="7.4999999999999997E-2"/>
    <n v="6832991"/>
    <n v="1.96"/>
    <n v="1425779"/>
    <n v="727969"/>
    <n v="1.97"/>
    <n v="1527055"/>
    <n v="776618"/>
    <n v="2.0499999999999998"/>
    <n v="1501822"/>
    <n v="732271"/>
    <n v="2"/>
    <n v="1447314"/>
    <n v="723636"/>
    <n v="1.53"/>
    <n v="5695130"/>
    <n v="3716301"/>
  </r>
  <r>
    <x v="100"/>
    <n v="5"/>
    <n v="5"/>
    <n v="8335"/>
    <n v="25841"/>
    <n v="25841"/>
    <n v="25841"/>
    <n v="104188"/>
    <n v="0.248"/>
    <n v="0.248"/>
    <n v="0.248"/>
    <n v="0"/>
    <n v="7.0000000000000007E-2"/>
    <n v="7.0000000000000007E-2"/>
    <n v="8.5000000000000006E-2"/>
    <n v="0.105"/>
    <n v="7.0000000000000007E-2"/>
    <n v="366710"/>
    <n v="1.3"/>
    <n v="269617"/>
    <n v="206955"/>
    <n v="1.3"/>
    <n v="261521"/>
    <n v="200629"/>
    <n v="1.45"/>
    <n v="240926"/>
    <n v="165850"/>
    <n v="1.59"/>
    <n v="208855"/>
    <n v="131340"/>
    <n v="2.0099999999999998"/>
    <n v="82760"/>
    <n v="41182"/>
  </r>
  <r>
    <x v="101"/>
    <n v="5"/>
    <s v="Nicht vorhanden"/>
    <n v="3542"/>
    <n v="3487"/>
    <n v="-1503"/>
    <n v="3487"/>
    <n v="44275"/>
    <n v="-3.4000000000000002E-2"/>
    <n v="7.9000000000000001E-2"/>
    <n v="7.9000000000000001E-2"/>
    <n v="0"/>
    <n v="7.0000000000000007E-2"/>
    <n v="7.0000000000000007E-2"/>
    <n v="8.5000000000000006E-2"/>
    <n v="0.105"/>
    <n v="2.1999999999999999E-2"/>
    <n v="158352"/>
    <n v="1.1160000000000001"/>
    <n v="106015"/>
    <n v="95010"/>
    <n v="1.111"/>
    <n v="133929"/>
    <n v="120595"/>
    <n v="1.089"/>
    <n v="139402"/>
    <n v="128011"/>
    <n v="1.0840000000000001"/>
    <n v="129850"/>
    <n v="119803"/>
    <n v="1.171"/>
    <n v="26706"/>
    <n v="22803"/>
  </r>
  <r>
    <x v="102"/>
    <n v="5"/>
    <s v="Nicht vorhanden"/>
    <n v="3675"/>
    <n v="3054"/>
    <n v="3054"/>
    <n v="3054"/>
    <n v="45944"/>
    <n v="6.6000000000000003E-2"/>
    <n v="6.6000000000000003E-2"/>
    <n v="6.6000000000000003E-2"/>
    <n v="0"/>
    <n v="7.0000000000000007E-2"/>
    <n v="7.0000000000000007E-2"/>
    <n v="8.5000000000000006E-2"/>
    <n v="0.105"/>
    <n v="0.02"/>
    <n v="156523"/>
    <n v="1.077"/>
    <n v="106015"/>
    <n v="98434"/>
    <n v="1.0760000000000001"/>
    <n v="133929"/>
    <n v="124510"/>
    <n v="1.0669999999999999"/>
    <n v="139402"/>
    <n v="130656"/>
    <n v="1.0660000000000001"/>
    <n v="129850"/>
    <n v="121791"/>
    <n v="1.127"/>
    <n v="23251"/>
    <n v="20639"/>
  </r>
  <r>
    <x v="103"/>
    <n v="3"/>
    <n v="3"/>
    <n v="1120800"/>
    <n v="6267610"/>
    <n v="6177643"/>
    <n v="6177643"/>
    <n v="14009994"/>
    <n v="0.441"/>
    <n v="0.441"/>
    <n v="0.44700000000000001"/>
    <n v="0"/>
    <n v="7.8E-2"/>
    <n v="7.8E-2"/>
    <n v="9.6000000000000002E-2"/>
    <n v="0.12"/>
    <n v="0.127"/>
    <n v="48558164"/>
    <n v="1.46"/>
    <n v="15293941"/>
    <n v="10445534"/>
    <n v="1.72"/>
    <n v="18661888"/>
    <n v="10842569"/>
    <n v="2"/>
    <n v="19644435"/>
    <n v="9807874"/>
    <n v="2.19"/>
    <n v="20619646"/>
    <n v="9426142"/>
    <n v="1.78"/>
    <n v="29057979"/>
    <n v="16350031"/>
  </r>
  <r>
    <x v="104"/>
    <n v="4"/>
    <n v="4"/>
    <n v="347856"/>
    <n v="1057916"/>
    <n v="1057916"/>
    <n v="1057916"/>
    <n v="4348196"/>
    <n v="0.24299999999999999"/>
    <n v="0.24299999999999999"/>
    <n v="0.24299999999999999"/>
    <n v="0"/>
    <n v="7.3999999999999996E-2"/>
    <n v="7.3999999999999996E-2"/>
    <n v="0.09"/>
    <n v="0.112"/>
    <n v="8.4000000000000005E-2"/>
    <n v="12634714"/>
    <n v="2.4"/>
    <n v="1683628"/>
    <n v="702938"/>
    <n v="2.0299999999999998"/>
    <n v="2270193"/>
    <n v="1119626"/>
    <n v="2.06"/>
    <n v="2149467"/>
    <n v="1045732"/>
    <n v="2.5499999999999998"/>
    <n v="1612332"/>
    <n v="633388"/>
    <n v="1.21"/>
    <n v="5564141"/>
    <n v="4580982"/>
  </r>
  <r>
    <x v="105"/>
    <n v="3"/>
    <n v="3"/>
    <n v="1736066"/>
    <n v="4718961"/>
    <n v="3046255"/>
    <n v="4608863"/>
    <n v="21700819"/>
    <n v="0.14000000000000001"/>
    <n v="0.21199999999999999"/>
    <n v="0.217"/>
    <n v="2E-3"/>
    <n v="7.8E-2"/>
    <n v="0.08"/>
    <n v="9.8000000000000004E-2"/>
    <n v="0.122"/>
    <n v="4.2999999999999997E-2"/>
    <n v="106496589"/>
    <n v="2.1"/>
    <n v="30418266"/>
    <n v="14503512"/>
    <n v="2.15"/>
    <n v="28715862"/>
    <n v="13327431"/>
    <n v="2.35"/>
    <n v="28195805"/>
    <n v="12013709"/>
    <n v="2.63"/>
    <n v="24268243"/>
    <n v="9242240"/>
    <n v="1.39"/>
    <n v="65624518"/>
    <n v="47063422"/>
  </r>
  <r>
    <x v="106"/>
    <n v="5"/>
    <n v="5"/>
    <n v="4312"/>
    <n v="10930"/>
    <n v="10930"/>
    <n v="10930"/>
    <n v="53895"/>
    <n v="0.20300000000000001"/>
    <n v="0.20300000000000001"/>
    <n v="0.20300000000000001"/>
    <n v="1E-3"/>
    <n v="6.9999999999999993E-2"/>
    <n v="7.0999999999999994E-2"/>
    <n v="8.5999999999999993E-2"/>
    <n v="0.106"/>
    <n v="6.5000000000000002E-2"/>
    <n v="167785"/>
    <n v="1.7"/>
    <n v="59299"/>
    <n v="34915"/>
    <n v="1.96"/>
    <n v="56857"/>
    <n v="28949"/>
    <n v="2.38"/>
    <n v="55912"/>
    <n v="23512"/>
    <n v="2.19"/>
    <n v="52015"/>
    <n v="23784"/>
    <n v="1.9"/>
    <n v="97785"/>
    <n v="51510"/>
  </r>
  <r>
    <x v="107"/>
    <n v="3"/>
    <n v="4"/>
    <n v="212146"/>
    <n v="670992"/>
    <n v="670992"/>
    <n v="670992"/>
    <n v="2651820"/>
    <n v="0.253"/>
    <n v="0.253"/>
    <n v="0.253"/>
    <n v="5.0000000000000001E-3"/>
    <n v="7.8E-2"/>
    <n v="8.3000000000000004E-2"/>
    <n v="0.10100000000000001"/>
    <n v="0.125"/>
    <n v="7.4999999999999997E-2"/>
    <n v="8910088"/>
    <n v="1.95"/>
    <n v="1314662"/>
    <n v="674186"/>
    <n v="2.16"/>
    <n v="1313201"/>
    <n v="607417"/>
    <n v="2.34"/>
    <n v="1265773"/>
    <n v="540940"/>
    <n v="2.5"/>
    <n v="1188415"/>
    <n v="475419"/>
    <n v="2.36"/>
    <n v="5863014"/>
    <n v="2481249"/>
  </r>
  <r>
    <x v="108"/>
    <n v="4"/>
    <n v="4"/>
    <n v="53633"/>
    <n v="154820"/>
    <n v="154820"/>
    <n v="154820"/>
    <n v="670413"/>
    <n v="0.23100000000000001"/>
    <n v="0.23100000000000001"/>
    <n v="0.23100000000000001"/>
    <n v="8.9999999999999993E-3"/>
    <n v="7.400000000000001E-2"/>
    <n v="8.3000000000000004E-2"/>
    <n v="9.9000000000000005E-2"/>
    <n v="0.121"/>
    <n v="0.106"/>
    <n v="1466730"/>
    <n v="1.77"/>
    <n v="224912"/>
    <n v="126888"/>
    <n v="2.12"/>
    <n v="250302"/>
    <n v="117843"/>
    <n v="1.92"/>
    <n v="243806"/>
    <n v="127301"/>
    <n v="1.33"/>
    <n v="182959"/>
    <n v="137963"/>
    <n v="1.66"/>
    <n v="1193807"/>
    <n v="717636"/>
  </r>
  <r>
    <x v="109"/>
    <n v="3"/>
    <n v="3"/>
    <n v="2044268"/>
    <n v="4388652"/>
    <n v="3107720"/>
    <n v="3917720"/>
    <n v="25553355"/>
    <n v="0.122"/>
    <n v="0.153"/>
    <n v="0.17199999999999999"/>
    <n v="0.01"/>
    <n v="7.8E-2"/>
    <n v="8.7999999999999995E-2"/>
    <n v="0.106"/>
    <n v="0.13"/>
    <n v="6.7000000000000004E-2"/>
    <n v="58841996"/>
    <n v="1.76"/>
    <n v="10320992"/>
    <n v="5849765"/>
    <n v="1.82"/>
    <n v="10307963"/>
    <n v="5678886"/>
    <n v="1.48"/>
    <n v="10230377"/>
    <n v="6903276"/>
    <n v="1.48"/>
    <n v="11104839"/>
    <n v="7494052"/>
    <n v="1.3"/>
    <n v="38174259"/>
    <n v="29296589"/>
  </r>
  <r>
    <x v="110"/>
    <n v="4"/>
    <s v="Nicht vorhanden"/>
    <n v="23708"/>
    <n v="89886"/>
    <n v="62578"/>
    <n v="80578"/>
    <n v="296344"/>
    <n v="0.21099999999999999"/>
    <n v="0.27200000000000002"/>
    <n v="0.30299999999999999"/>
    <n v="4.0000000000000001E-3"/>
    <n v="7.3999999999999996E-2"/>
    <n v="7.8E-2"/>
    <n v="9.4E-2"/>
    <n v="0.11600000000000001"/>
    <n v="6.8000000000000005E-2"/>
    <n v="1128773"/>
    <n v="3.32"/>
    <n v="600284"/>
    <n v="180945"/>
    <n v="2.69"/>
    <n v="717858"/>
    <n v="266672"/>
    <n v="2.62"/>
    <n v="599480"/>
    <n v="228883"/>
    <n v="2.84"/>
    <n v="484384"/>
    <n v="170858"/>
    <n v="2.3450000000000002"/>
    <n v="735182"/>
    <n v="313530"/>
  </r>
  <r>
    <x v="111"/>
    <n v="5"/>
    <n v="5"/>
    <n v="8244"/>
    <n v="33627"/>
    <n v="33627"/>
    <n v="33627"/>
    <n v="103049"/>
    <n v="0.32600000000000001"/>
    <n v="0.32600000000000001"/>
    <n v="0.32600000000000001"/>
    <n v="0"/>
    <n v="7.0000000000000007E-2"/>
    <n v="7.0000000000000007E-2"/>
    <n v="8.5000000000000006E-2"/>
    <n v="0.105"/>
    <n v="0.17"/>
    <n v="197305"/>
    <n v="1.31"/>
    <n v="22323"/>
    <n v="17096"/>
    <n v="1.26"/>
    <n v="23532"/>
    <n v="18731"/>
    <n v="1.1000000000000001"/>
    <n v="21647"/>
    <n v="19592"/>
    <n v="1.47"/>
    <n v="33057"/>
    <n v="22508"/>
    <n v="1.42"/>
    <n v="149657"/>
    <n v="105116"/>
  </r>
  <r>
    <x v="112"/>
    <n v="3"/>
    <n v="3"/>
    <n v="1849598"/>
    <n v="4571624"/>
    <n v="4571624"/>
    <n v="4571624"/>
    <n v="23119971"/>
    <n v="0.19800000000000001"/>
    <n v="0.19800000000000001"/>
    <n v="0.19800000000000001"/>
    <n v="1.7000000000000001E-2"/>
    <n v="7.8E-2"/>
    <n v="9.5000000000000001E-2"/>
    <n v="0.113"/>
    <n v="0.13700000000000001"/>
    <n v="7.8E-2"/>
    <n v="58660693"/>
    <n v="1.63"/>
    <n v="8419917"/>
    <n v="5170581"/>
    <n v="1.59"/>
    <n v="8839517"/>
    <n v="5576079"/>
    <n v="1.41"/>
    <n v="7810082"/>
    <n v="5524788"/>
    <n v="1.41"/>
    <n v="7671959"/>
    <n v="5430706"/>
    <n v="1.42"/>
    <n v="43526047"/>
    <n v="30758586"/>
  </r>
  <r>
    <x v="113"/>
    <n v="5"/>
    <n v="5"/>
    <n v="20565"/>
    <n v="145065"/>
    <n v="100065"/>
    <n v="145065"/>
    <n v="257058"/>
    <n v="0.38900000000000001"/>
    <n v="0.56399999999999995"/>
    <n v="0.56399999999999995"/>
    <n v="0"/>
    <n v="7.0000000000000007E-2"/>
    <n v="7.0000000000000007E-2"/>
    <n v="8.5000000000000006E-2"/>
    <n v="0.105"/>
    <n v="0.155"/>
    <n v="936284"/>
    <n v="4.42"/>
    <n v="218300"/>
    <n v="49421"/>
    <n v="4.2699999999999996"/>
    <n v="190698"/>
    <n v="44624"/>
    <n v="2.9"/>
    <n v="146330"/>
    <n v="50398"/>
    <n v="2.06"/>
    <n v="134506"/>
    <n v="65223"/>
    <n v="1.46"/>
    <n v="429229"/>
    <n v="293418"/>
  </r>
  <r>
    <x v="114"/>
    <n v="5"/>
    <n v="5"/>
    <n v="19054"/>
    <n v="72884"/>
    <n v="72884"/>
    <n v="72884"/>
    <n v="238171"/>
    <n v="0.30599999999999999"/>
    <n v="0.30599999999999999"/>
    <n v="0.30599999999999999"/>
    <n v="0"/>
    <n v="7.0000000000000007E-2"/>
    <n v="7.0000000000000007E-2"/>
    <n v="8.5000000000000006E-2"/>
    <n v="0.105"/>
    <n v="0.159"/>
    <n v="457055"/>
    <n v="1.56"/>
    <n v="74628"/>
    <n v="47887"/>
    <n v="1.99"/>
    <n v="80376"/>
    <n v="40323"/>
    <n v="1.62"/>
    <n v="69847"/>
    <n v="43009"/>
    <n v="1.9"/>
    <n v="75834"/>
    <n v="39816"/>
    <n v="1.73"/>
    <n v="300262"/>
    <n v="173711"/>
  </r>
  <r>
    <x v="115"/>
    <n v="4"/>
    <s v="Nicht vorhanden"/>
    <n v="221947"/>
    <n v="501587"/>
    <n v="501587"/>
    <n v="501587"/>
    <n v="2774337"/>
    <n v="0.18099999999999999"/>
    <n v="0.18099999999999999"/>
    <n v="0.18099999999999999"/>
    <n v="1.2999999999999999E-2"/>
    <n v="7.3999999999999996E-2"/>
    <n v="8.6999999999999994E-2"/>
    <n v="0.10299999999999999"/>
    <n v="0.125"/>
    <n v="7.5999999999999998E-2"/>
    <n v="6595093"/>
    <n v="1.94"/>
    <n v="944417"/>
    <n v="486187"/>
    <n v="2.11"/>
    <n v="968057"/>
    <n v="459269"/>
    <n v="1.83"/>
    <n v="899329"/>
    <n v="491803"/>
    <n v="1.87"/>
    <n v="984233"/>
    <n v="526815"/>
    <n v="1.36"/>
    <n v="5338652"/>
    <n v="3931908"/>
  </r>
  <r>
    <x v="116"/>
    <n v="5"/>
    <n v="5"/>
    <n v="6405"/>
    <n v="27021"/>
    <n v="27021"/>
    <n v="27021"/>
    <n v="80067"/>
    <n v="0.33700000000000002"/>
    <n v="0.33700000000000002"/>
    <n v="0.33700000000000002"/>
    <n v="0"/>
    <n v="7.0000000000000007E-2"/>
    <n v="7.0000000000000007E-2"/>
    <n v="8.5000000000000006E-2"/>
    <n v="0.105"/>
    <n v="0.13700000000000001"/>
    <n v="197509"/>
    <n v="2.87"/>
    <n v="83219"/>
    <n v="29043"/>
    <n v="2.74"/>
    <n v="80169"/>
    <n v="29304"/>
    <n v="3.27"/>
    <n v="101634"/>
    <n v="31091"/>
    <n v="2.86"/>
    <n v="101166"/>
    <n v="35349"/>
    <n v="2.5099999999999998"/>
    <n v="138616"/>
    <n v="55278"/>
  </r>
  <r>
    <x v="117"/>
    <n v="4"/>
    <n v="4"/>
    <n v="228425"/>
    <n v="525982"/>
    <n v="516689"/>
    <n v="516689"/>
    <n v="2855308"/>
    <n v="0.18099999999999999"/>
    <n v="0.18099999999999999"/>
    <n v="0.184"/>
    <n v="8.9999999999999993E-3"/>
    <n v="7.400000000000001E-2"/>
    <n v="8.3000000000000004E-2"/>
    <n v="9.9000000000000005E-2"/>
    <n v="0.121"/>
    <n v="8.6999999999999994E-2"/>
    <n v="5958160"/>
    <n v="1.85"/>
    <n v="1354216"/>
    <n v="733782"/>
    <n v="1.74"/>
    <n v="1316725"/>
    <n v="756153"/>
    <n v="1.51"/>
    <n v="1138485"/>
    <n v="751881"/>
    <n v="1.48"/>
    <n v="961834"/>
    <n v="649508"/>
    <n v="1.34"/>
    <n v="4831372"/>
    <n v="3599641"/>
  </r>
  <r>
    <x v="118"/>
    <n v="5"/>
    <n v="5"/>
    <n v="24219"/>
    <n v="61391"/>
    <n v="61391"/>
    <n v="61391"/>
    <n v="302734"/>
    <n v="0.20300000000000001"/>
    <n v="0.20300000000000001"/>
    <n v="0.20300000000000001"/>
    <n v="0"/>
    <n v="7.0000000000000007E-2"/>
    <n v="7.0000000000000007E-2"/>
    <n v="8.5000000000000006E-2"/>
    <n v="0.105"/>
    <n v="7.1999999999999995E-2"/>
    <n v="854808"/>
    <n v="1.8"/>
    <n v="140009"/>
    <n v="77699"/>
    <n v="1.88"/>
    <n v="147143"/>
    <n v="78087"/>
    <n v="1.46"/>
    <n v="113090"/>
    <n v="77719"/>
    <n v="1.59"/>
    <n v="108362"/>
    <n v="68215"/>
    <n v="3.11"/>
    <n v="553705"/>
    <n v="177938"/>
  </r>
  <r>
    <x v="119"/>
    <n v="5"/>
    <n v="5"/>
    <n v="15491"/>
    <n v="35190"/>
    <n v="33635"/>
    <n v="33635"/>
    <n v="193638"/>
    <n v="0.17399999999999999"/>
    <n v="0.17399999999999999"/>
    <n v="0.182"/>
    <n v="1E-3"/>
    <n v="6.9999999999999993E-2"/>
    <n v="7.0999999999999994E-2"/>
    <n v="8.5999999999999993E-2"/>
    <n v="0.106"/>
    <n v="4.9000000000000002E-2"/>
    <n v="685049"/>
    <n v="4.6900000000000004"/>
    <n v="312566"/>
    <n v="66709"/>
    <n v="4.46"/>
    <n v="317928"/>
    <n v="71297"/>
    <n v="4.47"/>
    <n v="292410"/>
    <n v="65363"/>
    <n v="3.5"/>
    <n v="205354"/>
    <n v="58596"/>
    <n v="2.4900000000000002"/>
    <n v="464304"/>
    <n v="186170"/>
  </r>
  <r>
    <x v="120"/>
    <n v="4"/>
    <n v="4"/>
    <n v="36360"/>
    <n v="72017"/>
    <n v="72017"/>
    <n v="72017"/>
    <n v="454501"/>
    <n v="0.158"/>
    <n v="0.158"/>
    <n v="0.158"/>
    <n v="1.2E-2"/>
    <n v="7.3999999999999996E-2"/>
    <n v="8.5999999999999993E-2"/>
    <n v="0.10199999999999999"/>
    <n v="0.124"/>
    <n v="5.6000000000000001E-2"/>
    <n v="1288534"/>
    <n v="1.6"/>
    <n v="322783"/>
    <n v="202210"/>
    <n v="1.33"/>
    <n v="325245"/>
    <n v="245167"/>
    <n v="1.28"/>
    <n v="312662"/>
    <n v="244529"/>
    <n v="1.1499999999999999"/>
    <n v="277219"/>
    <n v="241285"/>
    <n v="1.41"/>
    <n v="806127"/>
    <n v="570590"/>
  </r>
  <r>
    <x v="121"/>
    <n v="4"/>
    <s v="Nicht vorhanden"/>
    <n v="121753"/>
    <n v="393637"/>
    <n v="393637"/>
    <n v="393637"/>
    <n v="1521918"/>
    <n v="0.25900000000000001"/>
    <n v="0.25900000000000001"/>
    <n v="0.25900000000000001"/>
    <n v="3.0000000000000001E-3"/>
    <n v="7.3999999999999996E-2"/>
    <n v="7.6999999999999999E-2"/>
    <n v="9.2999999999999999E-2"/>
    <n v="0.115"/>
    <n v="0.126"/>
    <n v="3135311"/>
    <n v="1.98"/>
    <n v="958968"/>
    <n v="484369"/>
    <n v="2.04"/>
    <n v="1066435"/>
    <n v="523833"/>
    <n v="1.97"/>
    <n v="954885"/>
    <n v="485745"/>
    <n v="1.7"/>
    <n v="795229"/>
    <n v="468041"/>
    <n v="1.46"/>
    <n v="2244714"/>
    <n v="1537188"/>
  </r>
  <r>
    <x v="122"/>
    <n v="5"/>
    <n v="5"/>
    <n v="10769"/>
    <n v="54223"/>
    <n v="54223"/>
    <n v="54223"/>
    <n v="134617"/>
    <n v="0.40300000000000002"/>
    <n v="0.40300000000000002"/>
    <n v="0.40300000000000002"/>
    <n v="0"/>
    <n v="7.0000000000000007E-2"/>
    <n v="7.0000000000000007E-2"/>
    <n v="8.5000000000000006E-2"/>
    <n v="0.105"/>
    <n v="0.108"/>
    <n v="501703"/>
    <n v="7.53"/>
    <n v="203604"/>
    <n v="27040"/>
    <n v="6.45"/>
    <n v="214433"/>
    <n v="33256"/>
    <n v="6.49"/>
    <n v="199672"/>
    <n v="30786"/>
    <n v="5.84"/>
    <n v="185438"/>
    <n v="31745"/>
    <n v="4.8099999999999996"/>
    <n v="376571"/>
    <n v="78336"/>
  </r>
  <r>
    <x v="123"/>
    <n v="5"/>
    <n v="5"/>
    <n v="43400"/>
    <n v="131685"/>
    <n v="130733"/>
    <n v="130733"/>
    <n v="542503"/>
    <n v="0.24099999999999999"/>
    <n v="0.24099999999999999"/>
    <n v="0.24299999999999999"/>
    <n v="7.0000000000000001E-3"/>
    <n v="6.9999999999999993E-2"/>
    <n v="7.6999999999999999E-2"/>
    <n v="9.1999999999999998E-2"/>
    <n v="0.112"/>
    <n v="8.6999999999999994E-2"/>
    <n v="1505301"/>
    <n v="1.49"/>
    <n v="577063"/>
    <n v="387833"/>
    <n v="1.7"/>
    <n v="565883"/>
    <n v="333832"/>
    <n v="1.46"/>
    <n v="546507"/>
    <n v="374981"/>
    <n v="1.28"/>
    <n v="465159"/>
    <n v="364768"/>
    <n v="1.37"/>
    <n v="862883"/>
    <n v="629504"/>
  </r>
  <r>
    <x v="124"/>
    <n v="5"/>
    <n v="5"/>
    <n v="36326"/>
    <n v="173090"/>
    <n v="148090"/>
    <n v="148090"/>
    <n v="454074"/>
    <n v="0.32600000000000001"/>
    <n v="0.32600000000000001"/>
    <n v="0.38100000000000001"/>
    <n v="0"/>
    <n v="7.0000000000000007E-2"/>
    <n v="7.0000000000000007E-2"/>
    <n v="8.5000000000000006E-2"/>
    <n v="0.105"/>
    <n v="0.158"/>
    <n v="938347"/>
    <n v="4.17"/>
    <n v="63784"/>
    <n v="15284"/>
    <n v="4.74"/>
    <n v="60077"/>
    <n v="12672"/>
    <n v="5.34"/>
    <n v="51857"/>
    <n v="9706"/>
    <n v="5.55"/>
    <n v="46005"/>
    <n v="8288"/>
    <n v="1.43"/>
    <n v="810526"/>
    <n v="565028"/>
  </r>
  <r>
    <x v="125"/>
    <n v="5"/>
    <n v="5"/>
    <n v="1096"/>
    <n v="3090"/>
    <n v="3090"/>
    <n v="3090"/>
    <n v="13701"/>
    <n v="0.22600000000000001"/>
    <n v="0.22600000000000001"/>
    <n v="0.22600000000000001"/>
    <n v="0"/>
    <n v="7.0000000000000007E-2"/>
    <n v="7.0000000000000007E-2"/>
    <n v="8.5000000000000006E-2"/>
    <n v="0.105"/>
    <n v="0.64500000000000002"/>
    <n v="4794"/>
    <n v="12.51"/>
    <n v="602"/>
    <n v="48"/>
    <n v="10.96"/>
    <n v="602"/>
    <n v="55"/>
    <n v="5.24"/>
    <n v="302"/>
    <n v="58"/>
    <n v="17.41"/>
    <n v="303"/>
    <n v="17"/>
    <n v="1.23"/>
    <n v="3601"/>
    <n v="2931"/>
  </r>
  <r>
    <x v="126"/>
    <n v="5"/>
    <n v="5"/>
    <n v="7401"/>
    <n v="58672"/>
    <n v="58672"/>
    <n v="58672"/>
    <n v="92516"/>
    <n v="0.63400000000000001"/>
    <n v="0.63400000000000001"/>
    <n v="0.63400000000000001"/>
    <n v="0"/>
    <n v="7.0000000000000007E-2"/>
    <n v="7.0000000000000007E-2"/>
    <n v="8.5000000000000006E-2"/>
    <n v="0.105"/>
    <n v="0.20200000000000001"/>
    <n v="290912"/>
    <n v="2.38"/>
    <n v="95506"/>
    <n v="40183"/>
    <n v="1.68"/>
    <n v="96204"/>
    <n v="57111"/>
    <n v="2.92"/>
    <n v="132413"/>
    <n v="45424"/>
    <n v="2.35"/>
    <n v="118577"/>
    <n v="50434"/>
    <n v="1.59"/>
    <n v="163306"/>
    <n v="102750"/>
  </r>
  <r>
    <x v="127"/>
    <n v="5"/>
    <s v="Nicht vorhanden"/>
    <n v="1670"/>
    <n v="41167"/>
    <n v="41167"/>
    <n v="41167"/>
    <n v="20871"/>
    <n v="1.972"/>
    <n v="1.972"/>
    <n v="1.972"/>
    <n v="0"/>
    <n v="7.0000000000000007E-2"/>
    <n v="7.0000000000000007E-2"/>
    <n v="8.5000000000000006E-2"/>
    <n v="0.105"/>
    <n v="0.91800000000000004"/>
    <n v="44844"/>
    <s v="2)"/>
    <s v="2)"/>
    <s v="2)"/>
    <s v="2)"/>
    <s v="2)"/>
    <s v="2)"/>
    <s v="2)"/>
    <s v="2)"/>
    <s v="2)"/>
    <s v="2)"/>
    <s v="2)"/>
    <s v="2)"/>
    <s v="2)"/>
    <s v="2)"/>
    <s v="2)"/>
  </r>
  <r>
    <x v="128"/>
    <n v="4"/>
    <n v="4"/>
    <n v="131807"/>
    <n v="273598"/>
    <n v="260980"/>
    <n v="260980"/>
    <n v="1647583"/>
    <n v="0.158"/>
    <n v="0.158"/>
    <n v="0.16600000000000001"/>
    <n v="1.2E-2"/>
    <n v="7.3999999999999996E-2"/>
    <n v="8.5999999999999993E-2"/>
    <n v="0.10199999999999999"/>
    <n v="0.124"/>
    <n v="7.5999999999999998E-2"/>
    <n v="3450370"/>
    <n v="1.5"/>
    <n v="497401"/>
    <n v="331371"/>
    <n v="1.5"/>
    <n v="515498"/>
    <n v="343654"/>
    <n v="1.57"/>
    <n v="503087"/>
    <n v="320087"/>
    <n v="1.59"/>
    <n v="522276"/>
    <n v="328273"/>
    <n v="1.28"/>
    <n v="2762169"/>
    <n v="2160961"/>
  </r>
  <r>
    <x v="129"/>
    <n v="5"/>
    <n v="5"/>
    <n v="1270"/>
    <n v="3160"/>
    <n v="3160"/>
    <n v="3160"/>
    <n v="15871"/>
    <n v="0.19900000000000001"/>
    <n v="0.19900000000000001"/>
    <n v="0.19900000000000001"/>
    <n v="0"/>
    <n v="7.0000000000000007E-2"/>
    <n v="7.0000000000000007E-2"/>
    <n v="8.5000000000000006E-2"/>
    <n v="0.105"/>
    <n v="0.125"/>
    <n v="25349"/>
    <n v="1.8"/>
    <n v="14427"/>
    <n v="8022"/>
    <n v="1.62"/>
    <n v="22616"/>
    <n v="13959"/>
    <n v="1.48"/>
    <n v="19189"/>
    <n v="13003"/>
    <n v="1.43"/>
    <n v="15216"/>
    <n v="10665"/>
    <n v="1.4"/>
    <n v="10514"/>
    <n v="7514"/>
  </r>
  <r>
    <x v="130"/>
    <n v="4"/>
    <n v="4"/>
    <n v="81456"/>
    <n v="154221"/>
    <n v="129111"/>
    <n v="154221"/>
    <n v="1018205"/>
    <n v="0.127"/>
    <n v="0.151"/>
    <n v="0.151"/>
    <n v="0"/>
    <n v="7.3999999999999996E-2"/>
    <n v="7.3999999999999996E-2"/>
    <n v="0.09"/>
    <n v="0.112"/>
    <n v="5.5E-2"/>
    <n v="2921060"/>
    <n v="2.37"/>
    <n v="653195"/>
    <n v="275767"/>
    <n v="2.0299999999999998"/>
    <n v="664110"/>
    <n v="326349"/>
    <n v="2.62"/>
    <n v="720312"/>
    <n v="274640"/>
    <n v="1.89"/>
    <n v="463484"/>
    <n v="245179"/>
    <n v="1.5"/>
    <n v="1454771"/>
    <n v="971121"/>
  </r>
  <r>
    <x v="131"/>
    <n v="4"/>
    <n v="4"/>
    <n v="84369"/>
    <n v="254617"/>
    <n v="254617"/>
    <n v="254617"/>
    <n v="1054617"/>
    <n v="0.24099999999999999"/>
    <n v="0.24099999999999999"/>
    <n v="0.24099999999999999"/>
    <n v="1E-3"/>
    <n v="7.3999999999999996E-2"/>
    <n v="7.4999999999999997E-2"/>
    <n v="9.0999999999999998E-2"/>
    <n v="0.113"/>
    <n v="4.8000000000000001E-2"/>
    <n v="5337663"/>
    <n v="1.27"/>
    <n v="3430614"/>
    <n v="2696194"/>
    <n v="1.28"/>
    <n v="3096394"/>
    <n v="2427463"/>
    <n v="1.25"/>
    <n v="2434977"/>
    <n v="1952485"/>
    <n v="1.3"/>
    <n v="2560840"/>
    <n v="1970713"/>
    <n v="1.66"/>
    <n v="2079676"/>
    <n v="1253897"/>
  </r>
  <r>
    <x v="132"/>
    <n v="5"/>
    <n v="5"/>
    <n v="14943"/>
    <n v="65459"/>
    <n v="65459"/>
    <n v="65459"/>
    <n v="186792"/>
    <n v="0.35"/>
    <n v="0.35"/>
    <n v="0.35"/>
    <n v="0"/>
    <n v="7.0000000000000007E-2"/>
    <n v="7.0000000000000007E-2"/>
    <n v="8.5000000000000006E-2"/>
    <n v="0.105"/>
    <n v="0.247"/>
    <n v="264823"/>
    <s v="2)"/>
    <s v="2)"/>
    <s v="2)"/>
    <s v="2)"/>
    <s v="2)"/>
    <s v="2)"/>
    <s v="2)"/>
    <s v="2)"/>
    <s v="2)"/>
    <s v="2)"/>
    <s v="2)"/>
    <s v="2)"/>
    <s v="2)"/>
    <s v="2)"/>
    <s v="2)"/>
  </r>
  <r>
    <x v="133"/>
    <n v="5"/>
    <n v="5"/>
    <n v="12591"/>
    <n v="51574"/>
    <n v="51574"/>
    <n v="51574"/>
    <n v="157383"/>
    <n v="0.32800000000000001"/>
    <n v="0.32800000000000001"/>
    <n v="0.32800000000000001"/>
    <n v="0"/>
    <n v="7.0000000000000007E-2"/>
    <n v="7.0000000000000007E-2"/>
    <n v="8.5000000000000006E-2"/>
    <n v="0.105"/>
    <n v="6.7000000000000004E-2"/>
    <n v="772975"/>
    <n v="1.44"/>
    <n v="672269"/>
    <n v="467153"/>
    <n v="1.37"/>
    <n v="674710"/>
    <n v="492407"/>
    <n v="1.43"/>
    <n v="630154"/>
    <n v="439457"/>
    <n v="1.83"/>
    <n v="471226"/>
    <n v="257730"/>
    <n v="3.48"/>
    <n v="278210"/>
    <n v="79952"/>
  </r>
  <r>
    <x v="134"/>
    <n v="4"/>
    <n v="5"/>
    <n v="55122"/>
    <n v="136455"/>
    <n v="136455"/>
    <n v="136455"/>
    <n v="689030"/>
    <n v="0.19800000000000001"/>
    <n v="0.19800000000000001"/>
    <n v="0.19800000000000001"/>
    <n v="1.4999999999999999E-2"/>
    <n v="7.3999999999999996E-2"/>
    <n v="8.8999999999999996E-2"/>
    <n v="0.105"/>
    <n v="0.127"/>
    <n v="7.5999999999999998E-2"/>
    <n v="1803441"/>
    <n v="1.68"/>
    <n v="374493"/>
    <n v="223318"/>
    <n v="1.66"/>
    <n v="379081"/>
    <n v="228832"/>
    <n v="1.42"/>
    <n v="300886"/>
    <n v="211158"/>
    <n v="1.42"/>
    <n v="311778"/>
    <n v="219555"/>
    <n v="1.47"/>
    <n v="1502726"/>
    <n v="1020566"/>
  </r>
  <r>
    <x v="135"/>
    <n v="4"/>
    <n v="4"/>
    <n v="342076"/>
    <n v="1119539"/>
    <n v="1103040"/>
    <n v="1103040"/>
    <n v="4275951"/>
    <n v="0.25800000000000001"/>
    <n v="0.25800000000000001"/>
    <n v="0.26200000000000001"/>
    <n v="1.4E-2"/>
    <n v="7.3999999999999996E-2"/>
    <n v="8.7999999999999995E-2"/>
    <n v="0.104"/>
    <n v="0.126"/>
    <n v="0.11700000000000001"/>
    <n v="9419913"/>
    <n v="1.53"/>
    <n v="1682264"/>
    <n v="1096381"/>
    <n v="1.49"/>
    <n v="1640080"/>
    <n v="1102705"/>
    <n v="1.24"/>
    <n v="1371025"/>
    <n v="1106671"/>
    <n v="1.29"/>
    <n v="1327512"/>
    <n v="1033075"/>
    <n v="1.27"/>
    <n v="7012307"/>
    <n v="5524112"/>
  </r>
  <r>
    <x v="136"/>
    <n v="4"/>
    <n v="4"/>
    <n v="31659"/>
    <n v="152821"/>
    <n v="152821"/>
    <n v="152821"/>
    <n v="395743"/>
    <n v="0.38600000000000001"/>
    <n v="0.38600000000000001"/>
    <n v="0.38600000000000001"/>
    <n v="0"/>
    <n v="7.3999999999999996E-2"/>
    <n v="7.3999999999999996E-2"/>
    <n v="0.09"/>
    <n v="0.112"/>
    <n v="0.16500000000000001"/>
    <n v="925294"/>
    <n v="4.46"/>
    <n v="231955"/>
    <n v="52066"/>
    <n v="5.13"/>
    <n v="341063"/>
    <n v="66447"/>
    <n v="6.34"/>
    <n v="366431"/>
    <n v="57794"/>
    <n v="8.86"/>
    <n v="452531"/>
    <n v="51059"/>
    <n v="2.4500000000000002"/>
    <n v="703468"/>
    <n v="286985"/>
  </r>
  <r>
    <x v="137"/>
    <n v="3"/>
    <n v="3"/>
    <n v="753531"/>
    <n v="2188030"/>
    <n v="2078666"/>
    <n v="2078666"/>
    <n v="9419140"/>
    <n v="0.221"/>
    <n v="0.221"/>
    <n v="0.23200000000000001"/>
    <n v="1.2999999999999999E-2"/>
    <n v="7.8E-2"/>
    <n v="9.0999999999999998E-2"/>
    <n v="0.109"/>
    <n v="0.13300000000000001"/>
    <n v="8.5000000000000006E-2"/>
    <n v="24394650"/>
    <n v="1.59"/>
    <n v="4431961"/>
    <n v="2780987"/>
    <n v="1.59"/>
    <n v="4524081"/>
    <n v="2845376"/>
    <n v="1.34"/>
    <n v="4474287"/>
    <n v="3347603"/>
    <n v="1.49"/>
    <n v="4990411"/>
    <n v="3343189"/>
    <n v="1.52"/>
    <n v="17280873"/>
    <n v="11389578"/>
  </r>
  <r>
    <x v="138"/>
    <n v="5"/>
    <n v="5"/>
    <n v="11366"/>
    <n v="104952"/>
    <n v="96602"/>
    <n v="96602"/>
    <n v="142071"/>
    <n v="0.68"/>
    <n v="0.68"/>
    <n v="0.73899999999999999"/>
    <n v="0"/>
    <n v="7.0000000000000007E-2"/>
    <n v="7.0000000000000007E-2"/>
    <n v="8.5000000000000006E-2"/>
    <n v="0.105"/>
    <n v="0.105"/>
    <n v="921991"/>
    <n v="14.92"/>
    <n v="663456"/>
    <n v="44480"/>
    <n v="12"/>
    <n v="719396"/>
    <n v="59964"/>
    <n v="10.119999999999999"/>
    <n v="634137"/>
    <n v="62688"/>
    <n v="13.88"/>
    <n v="567810"/>
    <n v="40922"/>
    <n v="7.28"/>
    <n v="759416"/>
    <n v="104316"/>
  </r>
  <r>
    <x v="139"/>
    <n v="5"/>
    <n v="5"/>
    <n v="16342"/>
    <n v="119290"/>
    <n v="119290"/>
    <n v="119290"/>
    <n v="204280"/>
    <n v="0.58399999999999996"/>
    <n v="0.58399999999999996"/>
    <n v="0.58399999999999996"/>
    <n v="0"/>
    <n v="7.0000000000000007E-2"/>
    <n v="7.0000000000000007E-2"/>
    <n v="8.5000000000000006E-2"/>
    <n v="0.105"/>
    <n v="0.28399999999999997"/>
    <n v="420440"/>
    <n v="2.85"/>
    <n v="258050"/>
    <n v="90547"/>
    <n v="2.145"/>
    <n v="287603"/>
    <n v="134111"/>
    <n v="2.7429999999999999"/>
    <n v="284566"/>
    <n v="103720"/>
    <n v="2.68"/>
    <n v="194354"/>
    <n v="72533"/>
    <n v="2.5"/>
    <n v="278362"/>
    <n v="111439"/>
  </r>
  <r>
    <x v="140"/>
    <n v="5"/>
    <n v="5"/>
    <n v="48352"/>
    <n v="100104"/>
    <n v="98946"/>
    <n v="98946"/>
    <n v="604403"/>
    <n v="0.16400000000000001"/>
    <n v="0.16400000000000001"/>
    <n v="0.16600000000000001"/>
    <n v="1.7000000000000001E-2"/>
    <n v="6.9999999999999993E-2"/>
    <n v="8.6999999999999994E-2"/>
    <n v="0.10199999999999999"/>
    <n v="0.122"/>
    <n v="6.5000000000000002E-2"/>
    <n v="1512294"/>
    <s v="2)"/>
    <s v="2)"/>
    <s v="2)"/>
    <s v="2)"/>
    <s v="2)"/>
    <s v="2)"/>
    <s v="2)"/>
    <s v="2)"/>
    <s v="2)"/>
    <s v="2)"/>
    <s v="2)"/>
    <s v="2)"/>
    <s v="2)"/>
    <s v="2)"/>
    <s v="2)"/>
  </r>
  <r>
    <x v="141"/>
    <n v="5"/>
    <n v="5"/>
    <n v="807"/>
    <n v="2621"/>
    <n v="2621"/>
    <n v="2621"/>
    <n v="10084"/>
    <n v="0.26"/>
    <n v="0.26"/>
    <n v="0.26"/>
    <n v="0"/>
    <n v="7.0000000000000007E-2"/>
    <n v="7.0000000000000007E-2"/>
    <n v="8.5000000000000006E-2"/>
    <n v="0.105"/>
    <n v="6.4000000000000001E-2"/>
    <n v="41076"/>
    <n v="3.08"/>
    <n v="21688"/>
    <n v="7053"/>
    <n v="3.19"/>
    <n v="12666"/>
    <n v="3971"/>
    <n v="1.84"/>
    <n v="17283"/>
    <n v="9385"/>
    <n v="1.72"/>
    <n v="9949"/>
    <n v="5771"/>
    <n v="2.12"/>
    <n v="18715"/>
    <n v="8820"/>
  </r>
  <r>
    <x v="142"/>
    <n v="5"/>
    <n v="5"/>
    <n v="9361"/>
    <n v="21724"/>
    <n v="21724"/>
    <n v="21724"/>
    <n v="117012"/>
    <n v="0.186"/>
    <n v="0.186"/>
    <n v="0.186"/>
    <n v="0"/>
    <n v="7.0000000000000007E-2"/>
    <n v="7.0000000000000007E-2"/>
    <n v="8.5000000000000006E-2"/>
    <n v="0.105"/>
    <n v="5.8999999999999997E-2"/>
    <n v="371315"/>
    <s v="2)"/>
    <s v="2)"/>
    <s v="2)"/>
    <s v="2)"/>
    <s v="2)"/>
    <s v="2)"/>
    <s v="2)"/>
    <s v="2)"/>
    <s v="2)"/>
    <s v="2)"/>
    <s v="2)"/>
    <s v="2)"/>
    <s v="2)"/>
    <s v="2)"/>
    <s v="2)"/>
  </r>
  <r>
    <x v="143"/>
    <n v="4"/>
    <n v="4"/>
    <n v="127703"/>
    <n v="446413"/>
    <n v="446413"/>
    <n v="446413"/>
    <n v="1596288"/>
    <n v="0.28000000000000003"/>
    <n v="0.28000000000000003"/>
    <n v="0.28000000000000003"/>
    <n v="2E-3"/>
    <n v="7.3999999999999996E-2"/>
    <n v="7.5999999999999998E-2"/>
    <n v="9.1999999999999998E-2"/>
    <n v="0.114"/>
    <n v="8.5000000000000006E-2"/>
    <n v="5260100"/>
    <n v="1.51"/>
    <n v="967770"/>
    <n v="641237"/>
    <n v="1.53"/>
    <n v="1000490"/>
    <n v="652326"/>
    <n v="1.42"/>
    <n v="821619"/>
    <n v="580098"/>
    <n v="1.41"/>
    <n v="701062"/>
    <n v="497814"/>
    <n v="1.26"/>
    <n v="2486155"/>
    <n v="1974680"/>
  </r>
  <r>
    <x v="144"/>
    <n v="5"/>
    <n v="5"/>
    <n v="24412"/>
    <n v="69344"/>
    <n v="69344"/>
    <n v="69344"/>
    <n v="305145"/>
    <n v="0.22700000000000001"/>
    <n v="0.22700000000000001"/>
    <n v="0.22700000000000001"/>
    <n v="1.2999999999999999E-2"/>
    <n v="7.0000000000000007E-2"/>
    <n v="8.3000000000000004E-2"/>
    <n v="9.8000000000000004E-2"/>
    <n v="0.11799999999999999"/>
    <n v="0.107"/>
    <n v="645152"/>
    <n v="2.11"/>
    <n v="76167"/>
    <n v="36116"/>
    <n v="2.27"/>
    <n v="79478"/>
    <n v="35082"/>
    <n v="2.3199999999999998"/>
    <n v="79492"/>
    <n v="34318"/>
    <n v="1.95"/>
    <n v="75543"/>
    <n v="38794"/>
    <n v="1.31"/>
    <n v="555066"/>
    <n v="424568"/>
  </r>
  <r>
    <x v="145"/>
    <n v="5"/>
    <s v="Nicht vorhanden"/>
    <n v="25039"/>
    <n v="52035"/>
    <n v="46613"/>
    <n v="46613"/>
    <n v="312988"/>
    <n v="0.14899999999999999"/>
    <n v="0.14899999999999999"/>
    <n v="0.16600000000000001"/>
    <n v="1.6E-2"/>
    <n v="6.9999999999999993E-2"/>
    <n v="8.5999999999999993E-2"/>
    <n v="0.10100000000000001"/>
    <n v="0.121"/>
    <n v="6.5000000000000002E-2"/>
    <n v="718349"/>
    <n v="1.57"/>
    <n v="91138"/>
    <n v="58055"/>
    <n v="1.88"/>
    <n v="117541"/>
    <n v="62441"/>
    <n v="1.23"/>
    <n v="75845"/>
    <n v="61790"/>
    <n v="1.26"/>
    <n v="65718"/>
    <n v="51990"/>
    <n v="1.31"/>
    <n v="614198"/>
    <n v="467132"/>
  </r>
  <r>
    <x v="146"/>
    <n v="5"/>
    <s v="Nicht vorhanden"/>
    <n v="34450"/>
    <n v="71989"/>
    <n v="71989"/>
    <n v="71989"/>
    <n v="430621"/>
    <n v="0.16700000000000001"/>
    <n v="0.16700000000000001"/>
    <n v="0.16700000000000001"/>
    <n v="1.2E-2"/>
    <n v="7.0000000000000007E-2"/>
    <n v="8.2000000000000003E-2"/>
    <n v="9.7000000000000003E-2"/>
    <n v="0.11700000000000001"/>
    <n v="8.6999999999999994E-2"/>
    <n v="826855"/>
    <s v="2)"/>
    <s v="2)"/>
    <s v="2)"/>
    <s v="2)"/>
    <s v="2)"/>
    <s v="2)"/>
    <s v="2)"/>
    <s v="2)"/>
    <s v="2)"/>
    <s v="2)"/>
    <s v="2)"/>
    <s v="2)"/>
    <s v="2)"/>
    <s v="2)"/>
    <s v="2)"/>
  </r>
  <r>
    <x v="147"/>
    <n v="3"/>
    <n v="3"/>
    <n v="1358132"/>
    <n v="2887775"/>
    <n v="2668479"/>
    <n v="2768479"/>
    <n v="16976649"/>
    <n v="0.157"/>
    <n v="0.16300000000000001"/>
    <n v="0.17"/>
    <n v="1.2E-2"/>
    <n v="7.8E-2"/>
    <n v="0.09"/>
    <n v="0.108"/>
    <n v="0.13200000000000001"/>
    <n v="6.6000000000000003E-2"/>
    <n v="41948123"/>
    <n v="1.43"/>
    <n v="7939619"/>
    <n v="5546119"/>
    <n v="1.38"/>
    <n v="7778738"/>
    <n v="5616500"/>
    <n v="1.3"/>
    <n v="7712743"/>
    <n v="5931009"/>
    <n v="1.3"/>
    <n v="7832922"/>
    <n v="6033021"/>
    <n v="1.32"/>
    <n v="30176515"/>
    <n v="22898001"/>
  </r>
  <r>
    <x v="148"/>
    <n v="5"/>
    <n v="5"/>
    <n v="16216"/>
    <n v="33935"/>
    <n v="33935"/>
    <n v="33935"/>
    <n v="202696"/>
    <n v="0.16700000000000001"/>
    <n v="0.16700000000000001"/>
    <n v="0.16700000000000001"/>
    <n v="0"/>
    <n v="7.0000000000000007E-2"/>
    <n v="7.0000000000000007E-2"/>
    <n v="8.5000000000000006E-2"/>
    <n v="0.105"/>
    <n v="8.8999999999999996E-2"/>
    <n v="382422"/>
    <n v="2.13"/>
    <n v="88539"/>
    <n v="41492"/>
    <n v="2.08"/>
    <n v="92440"/>
    <n v="44418"/>
    <n v="2.38"/>
    <n v="100552"/>
    <n v="42334"/>
    <n v="2.86"/>
    <n v="100667"/>
    <n v="35162"/>
    <n v="1.61"/>
    <n v="337239"/>
    <n v="209966"/>
  </r>
  <r>
    <x v="149"/>
    <n v="4"/>
    <n v="4"/>
    <n v="185812"/>
    <n v="544755"/>
    <n v="544459"/>
    <n v="544459"/>
    <n v="2322644"/>
    <n v="0.23400000000000001"/>
    <n v="0.23400000000000001"/>
    <n v="0.23499999999999999"/>
    <n v="0"/>
    <n v="7.3999999999999996E-2"/>
    <n v="7.3999999999999996E-2"/>
    <n v="0.09"/>
    <n v="0.112"/>
    <n v="5.7000000000000002E-2"/>
    <n v="9596049"/>
    <n v="3.28"/>
    <n v="5633975"/>
    <n v="1716893"/>
    <n v="2.95"/>
    <n v="5253190"/>
    <n v="1780372"/>
    <n v="3.33"/>
    <n v="5075465"/>
    <n v="1524077"/>
    <n v="3.68"/>
    <n v="5429802"/>
    <n v="1475398"/>
    <n v="2.68"/>
    <n v="7070778"/>
    <n v="2637844"/>
  </r>
  <r>
    <x v="150"/>
    <n v="4"/>
    <n v="4"/>
    <n v="209325"/>
    <n v="649737"/>
    <n v="649317"/>
    <n v="649317"/>
    <n v="2616565"/>
    <n v="0.248"/>
    <n v="0.248"/>
    <n v="0.248"/>
    <n v="0"/>
    <n v="7.3999999999999996E-2"/>
    <n v="7.3999999999999996E-2"/>
    <n v="0.09"/>
    <n v="0.112"/>
    <n v="6.3E-2"/>
    <n v="10363511"/>
    <n v="3.37"/>
    <n v="5755862"/>
    <n v="1710128"/>
    <n v="3.33"/>
    <n v="5419422"/>
    <n v="1627255"/>
    <n v="3.79"/>
    <n v="5183936"/>
    <n v="1366194"/>
    <n v="4.33"/>
    <n v="5542174"/>
    <n v="1280414"/>
    <s v="2)"/>
    <s v="2)"/>
    <s v="2)"/>
  </r>
  <r>
    <x v="151"/>
    <n v="5"/>
    <n v="5"/>
    <n v="22471"/>
    <n v="92873"/>
    <n v="92873"/>
    <n v="92873"/>
    <n v="280893"/>
    <n v="0.33100000000000002"/>
    <n v="0.33100000000000002"/>
    <n v="0.33100000000000002"/>
    <n v="0"/>
    <n v="7.0000000000000007E-2"/>
    <n v="7.0000000000000007E-2"/>
    <n v="8.5000000000000006E-2"/>
    <n v="0.105"/>
    <n v="0.113"/>
    <n v="822509"/>
    <n v="2.31"/>
    <n v="305357"/>
    <n v="132398"/>
    <n v="2.02"/>
    <n v="295655"/>
    <n v="146381"/>
    <n v="3.12"/>
    <n v="272782"/>
    <n v="87563"/>
    <n v="4.07"/>
    <n v="272819"/>
    <n v="67049"/>
    <n v="3.01"/>
    <n v="515588"/>
    <n v="171346"/>
  </r>
  <r>
    <x v="152"/>
    <n v="5"/>
    <n v="5"/>
    <n v="1616"/>
    <n v="12447"/>
    <n v="12447"/>
    <n v="12447"/>
    <n v="20196"/>
    <n v="0.61599999999999999"/>
    <n v="0.61599999999999999"/>
    <n v="0.61599999999999999"/>
    <n v="0"/>
    <n v="7.0000000000000007E-2"/>
    <n v="7.0000000000000007E-2"/>
    <n v="8.5000000000000006E-2"/>
    <n v="0.105"/>
    <n v="0.89200000000000002"/>
    <n v="13957"/>
    <n v="2"/>
    <n v="1005"/>
    <n v="502"/>
    <n v="2.8"/>
    <n v="1854"/>
    <n v="661"/>
    <n v="4.84"/>
    <n v="2911"/>
    <n v="602"/>
    <n v="8.9"/>
    <n v="4724"/>
    <n v="531"/>
    <n v="4.96"/>
    <n v="12577"/>
    <n v="2534"/>
  </r>
  <r>
    <x v="153"/>
    <n v="5"/>
    <n v="5"/>
    <n v="13228"/>
    <n v="30995"/>
    <n v="30995"/>
    <n v="30995"/>
    <n v="165355"/>
    <n v="0.187"/>
    <n v="0.187"/>
    <n v="0.187"/>
    <n v="4.0000000000000001E-3"/>
    <n v="6.9999999999999993E-2"/>
    <n v="7.3999999999999996E-2"/>
    <n v="8.8999999999999996E-2"/>
    <n v="0.109"/>
    <n v="0.13200000000000001"/>
    <n v="234007"/>
    <n v="3.37"/>
    <n v="37241"/>
    <n v="11055"/>
    <n v="2.5299999999999998"/>
    <n v="35914"/>
    <n v="14205"/>
    <n v="5.6"/>
    <n v="84885"/>
    <n v="15156"/>
    <n v="3.86"/>
    <n v="78068"/>
    <n v="20250"/>
    <n v="1.62"/>
    <n v="145578"/>
    <n v="90047"/>
  </r>
  <r>
    <x v="154"/>
    <n v="3"/>
    <n v="3"/>
    <n v="1099418"/>
    <n v="2540721"/>
    <n v="2488665"/>
    <n v="2488665"/>
    <n v="13742722"/>
    <n v="0.18099999999999999"/>
    <n v="0.18099999999999999"/>
    <n v="0.185"/>
    <n v="1.2999999999999999E-2"/>
    <n v="7.8E-2"/>
    <n v="9.0999999999999998E-2"/>
    <n v="0.109"/>
    <n v="0.13300000000000001"/>
    <n v="7.2999999999999995E-2"/>
    <n v="34075582"/>
    <n v="1.38"/>
    <n v="6500582"/>
    <n v="4696722"/>
    <n v="1.51"/>
    <n v="6675837"/>
    <n v="4417146"/>
    <n v="1.31"/>
    <n v="6158120"/>
    <n v="4716365"/>
    <n v="1.37"/>
    <n v="6168829"/>
    <n v="4513024"/>
    <n v="1.36"/>
    <n v="25481039"/>
    <n v="18667681"/>
  </r>
  <r>
    <x v="155"/>
    <n v="5"/>
    <s v="Nicht vorhanden"/>
    <n v="45396"/>
    <n v="503195"/>
    <n v="503195"/>
    <n v="503195"/>
    <n v="567449"/>
    <n v="0.88700000000000001"/>
    <n v="0.88700000000000001"/>
    <n v="0.88700000000000001"/>
    <n v="0"/>
    <n v="7.0000000000000007E-2"/>
    <n v="7.0000000000000007E-2"/>
    <n v="8.5000000000000006E-2"/>
    <n v="0.105"/>
    <n v="0.65800000000000003"/>
    <n v="764511"/>
    <n v="1.98"/>
    <n v="940075"/>
    <n v="474002"/>
    <n v="2.15"/>
    <n v="1726151"/>
    <n v="801130"/>
    <n v="2.09"/>
    <n v="710824"/>
    <n v="339812"/>
    <n v="2.86"/>
    <n v="542050"/>
    <n v="189666"/>
    <n v="2.52"/>
    <n v="699662"/>
    <n v="277494"/>
  </r>
  <r>
    <x v="156"/>
    <n v="3"/>
    <n v="3"/>
    <n v="660404"/>
    <n v="2206278"/>
    <n v="2202278"/>
    <n v="2202278"/>
    <n v="8255048"/>
    <n v="0.26700000000000002"/>
    <n v="0.26700000000000002"/>
    <n v="0.26700000000000002"/>
    <n v="0"/>
    <n v="7.8E-2"/>
    <n v="7.8E-2"/>
    <n v="9.6000000000000002E-2"/>
    <n v="0.12"/>
    <n v="5.6000000000000001E-2"/>
    <n v="39614690"/>
    <n v="2.4"/>
    <n v="11420655"/>
    <n v="4749180"/>
    <n v="2.52"/>
    <n v="11496571"/>
    <n v="4566193"/>
    <n v="2.66"/>
    <n v="11236957"/>
    <n v="4219815"/>
    <n v="3.35"/>
    <n v="13273443"/>
    <n v="3957807"/>
    <n v="1.94"/>
    <n v="22249071"/>
    <n v="11454921"/>
  </r>
  <r>
    <x v="157"/>
    <n v="4"/>
    <n v="4"/>
    <n v="135556"/>
    <n v="336096"/>
    <n v="328197"/>
    <n v="328197"/>
    <n v="1694456"/>
    <n v="0.19400000000000001"/>
    <n v="0.19400000000000001"/>
    <n v="0.19800000000000001"/>
    <n v="1.2E-2"/>
    <n v="7.3999999999999996E-2"/>
    <n v="8.5999999999999993E-2"/>
    <n v="0.10199999999999999"/>
    <n v="0.124"/>
    <n v="8.7999999999999995E-2"/>
    <n v="3715275"/>
    <n v="1.52"/>
    <n v="585177"/>
    <n v="384583"/>
    <n v="1.6"/>
    <n v="548617"/>
    <n v="343641"/>
    <n v="1.36"/>
    <n v="448445"/>
    <n v="330619"/>
    <n v="1.51"/>
    <n v="513476"/>
    <n v="339498"/>
    <n v="1.26"/>
    <n v="3039798"/>
    <n v="2421925"/>
  </r>
  <r>
    <x v="158"/>
    <n v="3"/>
    <n v="3"/>
    <n v="1191468"/>
    <n v="2384894"/>
    <n v="2383014"/>
    <n v="2383014"/>
    <n v="14893355"/>
    <n v="0.16"/>
    <n v="0.16"/>
    <n v="0.16"/>
    <n v="1.4999999999999999E-2"/>
    <n v="7.8E-2"/>
    <n v="9.2999999999999999E-2"/>
    <n v="0.111"/>
    <n v="0.13500000000000001"/>
    <n v="6.6000000000000003E-2"/>
    <n v="36184560"/>
    <n v="1.52"/>
    <n v="7713206"/>
    <n v="5090309"/>
    <n v="1.44"/>
    <n v="7654379"/>
    <n v="5327935"/>
    <n v="1.27"/>
    <n v="6664431"/>
    <n v="5249529"/>
    <n v="1.24"/>
    <n v="6304240"/>
    <n v="5102878"/>
    <n v="1.1499999999999999"/>
    <n v="28147899"/>
    <n v="24449808"/>
  </r>
  <r>
    <x v="159"/>
    <n v="3"/>
    <n v="3"/>
    <n v="1203629"/>
    <n v="2377563"/>
    <n v="2375683"/>
    <n v="2375683"/>
    <n v="15045365"/>
    <n v="0.158"/>
    <n v="0.158"/>
    <n v="0.158"/>
    <n v="1.4999999999999999E-2"/>
    <n v="7.8E-2"/>
    <n v="9.2999999999999999E-2"/>
    <n v="0.111"/>
    <n v="0.13500000000000001"/>
    <n v="6.3E-2"/>
    <n v="37837324"/>
    <s v="2)"/>
    <s v="2)"/>
    <s v="2)"/>
    <s v="2)"/>
    <s v="2)"/>
    <s v="2)"/>
    <s v="2)"/>
    <s v="2)"/>
    <s v="2)"/>
    <s v="2)"/>
    <s v="2)"/>
    <s v="2)"/>
    <s v="2)"/>
    <s v="2)"/>
    <s v="2)"/>
  </r>
  <r>
    <x v="160"/>
    <n v="3"/>
    <n v="3"/>
    <n v="504325"/>
    <n v="1502279"/>
    <n v="1052691"/>
    <n v="1502279"/>
    <n v="6304060"/>
    <n v="0.16700000000000001"/>
    <n v="0.23799999999999999"/>
    <n v="0.23799999999999999"/>
    <n v="2E-3"/>
    <n v="7.8E-2"/>
    <n v="0.08"/>
    <n v="9.8000000000000004E-2"/>
    <n v="0.122"/>
    <n v="0.05"/>
    <n v="30025805"/>
    <n v="1.69"/>
    <n v="11180044"/>
    <n v="6595935"/>
    <n v="1.7"/>
    <n v="12339764"/>
    <n v="7237597"/>
    <n v="1.71"/>
    <n v="11777414"/>
    <n v="6868191"/>
    <n v="1.64"/>
    <n v="10180394"/>
    <n v="6202652"/>
    <n v="1.21"/>
    <n v="15009139"/>
    <n v="12390046"/>
  </r>
  <r>
    <x v="161"/>
    <n v="4"/>
    <n v="4"/>
    <n v="39734"/>
    <n v="115586"/>
    <n v="115586"/>
    <n v="115586"/>
    <n v="496673"/>
    <n v="0.23300000000000001"/>
    <n v="0.23300000000000001"/>
    <n v="0.23300000000000001"/>
    <n v="0"/>
    <n v="7.3999999999999996E-2"/>
    <n v="7.3999999999999996E-2"/>
    <n v="0.09"/>
    <n v="0.112"/>
    <n v="0.06"/>
    <n v="1911416"/>
    <n v="1.43"/>
    <n v="323765"/>
    <n v="226335"/>
    <n v="1.47"/>
    <n v="318466"/>
    <n v="216925"/>
    <n v="1.58"/>
    <n v="308224"/>
    <n v="194794"/>
    <n v="2.0499999999999998"/>
    <n v="328913"/>
    <n v="160290"/>
    <n v="2.84"/>
    <n v="1248045"/>
    <n v="439770"/>
  </r>
  <r>
    <x v="162"/>
    <n v="4"/>
    <n v="4"/>
    <n v="173696"/>
    <n v="504749"/>
    <n v="504749"/>
    <n v="504749"/>
    <n v="2171202"/>
    <n v="0.23200000000000001"/>
    <n v="0.23200000000000001"/>
    <n v="0.23200000000000001"/>
    <n v="1.4E-2"/>
    <n v="7.3999999999999996E-2"/>
    <n v="8.7999999999999995E-2"/>
    <n v="0.104"/>
    <n v="0.126"/>
    <n v="8.7999999999999995E-2"/>
    <n v="5717312"/>
    <n v="1.81"/>
    <n v="1655279"/>
    <n v="916940"/>
    <n v="1.85"/>
    <n v="1622693"/>
    <n v="879368"/>
    <n v="1.56"/>
    <n v="1172632"/>
    <n v="753493"/>
    <n v="1.68"/>
    <n v="1207748"/>
    <n v="720764"/>
    <n v="1.55"/>
    <n v="4521185"/>
    <n v="2918729"/>
  </r>
  <r>
    <x v="163"/>
    <n v="4"/>
    <n v="4"/>
    <n v="218343"/>
    <n v="614045"/>
    <n v="614045"/>
    <n v="614045"/>
    <n v="2729289"/>
    <n v="0.22500000000000001"/>
    <n v="0.22500000000000001"/>
    <n v="0.22500000000000001"/>
    <n v="1.0999999999999999E-2"/>
    <n v="7.400000000000001E-2"/>
    <n v="8.5000000000000006E-2"/>
    <n v="0.10100000000000001"/>
    <n v="0.123"/>
    <n v="0.104"/>
    <n v="5901770"/>
    <s v="2)"/>
    <s v="2)"/>
    <s v="2)"/>
    <s v="2)"/>
    <s v="2)"/>
    <s v="2)"/>
    <s v="2)"/>
    <s v="2)"/>
    <s v="2)"/>
    <s v="2)"/>
    <s v="2)"/>
    <s v="2)"/>
    <s v="2)"/>
    <s v="2)"/>
    <s v="2)"/>
  </r>
  <r>
    <x v="164"/>
    <n v="4"/>
    <n v="4"/>
    <n v="280050"/>
    <n v="564705"/>
    <n v="547457"/>
    <n v="547457"/>
    <n v="3500624"/>
    <n v="0.156"/>
    <n v="0.156"/>
    <n v="0.161"/>
    <n v="0.01"/>
    <n v="7.400000000000001E-2"/>
    <n v="8.4000000000000005E-2"/>
    <n v="0.1"/>
    <n v="0.122"/>
    <n v="0.09"/>
    <n v="6105655"/>
    <n v="1.91"/>
    <n v="557037"/>
    <n v="291841"/>
    <n v="1.62"/>
    <n v="484172"/>
    <n v="299505"/>
    <n v="1.63"/>
    <n v="465711"/>
    <n v="286312"/>
    <n v="1.94"/>
    <n v="503120"/>
    <n v="259609"/>
    <n v="1.19"/>
    <n v="4474141"/>
    <n v="3760361"/>
  </r>
  <r>
    <x v="165"/>
    <n v="3"/>
    <n v="3"/>
    <n v="613574"/>
    <n v="1367032"/>
    <n v="1312592"/>
    <n v="1312592"/>
    <n v="7669680"/>
    <n v="0.17100000000000001"/>
    <n v="0.17100000000000001"/>
    <n v="0.17799999999999999"/>
    <n v="1.4E-2"/>
    <n v="7.8E-2"/>
    <n v="9.1999999999999998E-2"/>
    <n v="0.11"/>
    <n v="0.13400000000000001"/>
    <n v="6.9000000000000006E-2"/>
    <n v="19021110"/>
    <n v="1.44"/>
    <n v="3374874"/>
    <n v="2351206"/>
    <n v="1.44"/>
    <n v="3488248"/>
    <n v="2427827"/>
    <n v="1.32"/>
    <n v="3433561"/>
    <n v="2597178"/>
    <n v="1.52"/>
    <n v="3741769"/>
    <n v="2467199"/>
    <n v="1.48"/>
    <n v="15498099"/>
    <n v="10459144"/>
  </r>
  <r>
    <x v="166"/>
    <n v="5"/>
    <n v="5"/>
    <n v="34960"/>
    <n v="73354"/>
    <n v="68895"/>
    <n v="68895"/>
    <n v="437004"/>
    <n v="0.158"/>
    <n v="0.158"/>
    <n v="0.16800000000000001"/>
    <n v="1.4999999999999999E-2"/>
    <n v="7.0000000000000007E-2"/>
    <n v="8.5000000000000006E-2"/>
    <n v="0.1"/>
    <n v="0.12"/>
    <n v="6.7000000000000004E-2"/>
    <n v="1029056"/>
    <n v="2.29"/>
    <n v="126409"/>
    <n v="55284"/>
    <n v="2.29"/>
    <n v="137159"/>
    <n v="59914"/>
    <n v="2.2200000000000002"/>
    <n v="134358"/>
    <n v="60494"/>
    <n v="1.74"/>
    <n v="109703"/>
    <n v="62893"/>
    <n v="1.39"/>
    <n v="920926"/>
    <n v="6608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3EC06-06E6-AB47-93DE-72F34A1298F9}" name="PivotTable4" cacheId="1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28" firstHeaderRow="1" firstDataRow="1" firstDataCol="1"/>
  <pivotFields count="33">
    <pivotField axis="axisRow" showAll="0">
      <items count="168">
        <item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x="31"/>
        <item x="32"/>
        <item h="1" x="33"/>
        <item x="34"/>
        <item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x="49"/>
        <item h="1" x="50"/>
        <item h="1" x="51"/>
        <item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x="135"/>
        <item h="1" x="136"/>
        <item x="137"/>
        <item h="1" x="138"/>
        <item h="1" x="139"/>
        <item h="1" x="140"/>
        <item h="1" x="141"/>
        <item h="1" x="142"/>
        <item h="1" x="143"/>
        <item h="1" x="1"/>
        <item h="1" x="144"/>
        <item h="1" x="145"/>
        <item h="1" x="146"/>
        <item x="147"/>
        <item h="1" x="148"/>
        <item h="1" x="149"/>
        <item h="1" x="150"/>
        <item h="1" x="151"/>
        <item h="1" x="152"/>
        <item h="1" x="153"/>
        <item x="154"/>
        <item h="1" x="155"/>
        <item h="1" x="156"/>
        <item h="1" x="157"/>
        <item x="158"/>
        <item h="1" x="159"/>
        <item h="1" x="160"/>
        <item h="1" x="161"/>
        <item h="1" x="162"/>
        <item h="1" x="163"/>
        <item h="1" x="164"/>
        <item x="165"/>
        <item h="1" x="166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9"/>
    </i>
    <i>
      <x v="17"/>
    </i>
    <i>
      <x v="21"/>
    </i>
    <i>
      <x v="29"/>
    </i>
    <i>
      <x v="30"/>
    </i>
    <i>
      <x v="32"/>
    </i>
    <i>
      <x v="33"/>
    </i>
    <i>
      <x v="34"/>
    </i>
    <i>
      <x v="46"/>
    </i>
    <i>
      <x v="47"/>
    </i>
    <i>
      <x v="50"/>
    </i>
    <i>
      <x v="60"/>
    </i>
    <i>
      <x v="62"/>
    </i>
    <i>
      <x v="84"/>
    </i>
    <i>
      <x v="87"/>
    </i>
    <i>
      <x v="107"/>
    </i>
    <i>
      <x v="110"/>
    </i>
    <i>
      <x v="133"/>
    </i>
    <i>
      <x v="135"/>
    </i>
    <i>
      <x v="146"/>
    </i>
    <i>
      <x v="153"/>
    </i>
    <i>
      <x v="157"/>
    </i>
    <i>
      <x v="164"/>
    </i>
    <i t="grand">
      <x/>
    </i>
  </rowItems>
  <colItems count="1">
    <i/>
  </colItems>
  <dataFields count="1">
    <dataField name="Summe von Risiko-gewichtete Aktiven (RWA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8:AG173" totalsRowShown="0" headerRowDxfId="34" dataDxfId="33">
  <autoFilter ref="A8:AG173" xr:uid="{00000000-0009-0000-0100-000001000000}"/>
  <sortState xmlns:xlrd2="http://schemas.microsoft.com/office/spreadsheetml/2017/richdata2" ref="A9:AG173">
    <sortCondition ref="A8:A173"/>
  </sortState>
  <tableColumns count="33">
    <tableColumn id="1" xr3:uid="{00000000-0010-0000-0000-000001000000}" name="Spalte1" dataDxfId="32"/>
    <tableColumn id="2" xr3:uid="{00000000-0010-0000-0000-000002000000}" name="Spalte2" dataDxfId="31"/>
    <tableColumn id="32" xr3:uid="{E82182B2-31AC-AA4A-AE11-27BC7994D96F}" name="Spalte210" dataDxfId="30">
      <calculatedColumnFormula>_xlfn.XLOOKUP(Tabelle1[[#This Row],[Spalte1]],[1]KeyMetrics2021!$A:$A,[1]KeyMetrics2021!$B:$B,"Nicht vorhanden")</calculatedColumnFormula>
    </tableColumn>
    <tableColumn id="3" xr3:uid="{00000000-0010-0000-0000-000003000000}" name="Spalte3" dataDxfId="29"/>
    <tableColumn id="4" xr3:uid="{00000000-0010-0000-0000-000004000000}" name="Spalte4" dataDxfId="28"/>
    <tableColumn id="5" xr3:uid="{00000000-0010-0000-0000-000005000000}" name="Spalte5" dataDxfId="27"/>
    <tableColumn id="6" xr3:uid="{00000000-0010-0000-0000-000006000000}" name="Spalte6" dataDxfId="26"/>
    <tableColumn id="7" xr3:uid="{00000000-0010-0000-0000-000007000000}" name="Spalte7" dataDxfId="25"/>
    <tableColumn id="8" xr3:uid="{00000000-0010-0000-0000-000008000000}" name="Spalte8" dataDxfId="24"/>
    <tableColumn id="9" xr3:uid="{00000000-0010-0000-0000-000009000000}" name="Spalte9" dataDxfId="23"/>
    <tableColumn id="10" xr3:uid="{00000000-0010-0000-0000-00000A000000}" name="Spalte10" dataDxfId="22"/>
    <tableColumn id="11" xr3:uid="{00000000-0010-0000-0000-00000B000000}" name="Spalte11" dataDxfId="21"/>
    <tableColumn id="33" xr3:uid="{7392901F-C704-AE4E-A564-9270CA2EAC32}" name="Spalte112" dataDxfId="20">
      <calculatedColumnFormula>Tabelle1[[#This Row],[Spalte12]]-Tabelle1[[#This Row],[Spalte11]]</calculatedColumnFormula>
    </tableColumn>
    <tableColumn id="12" xr3:uid="{00000000-0010-0000-0000-00000C000000}" name="Spalte12" dataDxfId="19"/>
    <tableColumn id="13" xr3:uid="{00000000-0010-0000-0000-00000D000000}" name="Spalte13" dataDxfId="18"/>
    <tableColumn id="14" xr3:uid="{00000000-0010-0000-0000-00000E000000}" name="Spalte14" dataDxfId="17"/>
    <tableColumn id="15" xr3:uid="{00000000-0010-0000-0000-00000F000000}" name="Spalte15" dataDxfId="16"/>
    <tableColumn id="16" xr3:uid="{00000000-0010-0000-0000-000010000000}" name="Spalte16" dataDxfId="15"/>
    <tableColumn id="17" xr3:uid="{00000000-0010-0000-0000-000011000000}" name="Spalte17" dataDxfId="14"/>
    <tableColumn id="18" xr3:uid="{00000000-0010-0000-0000-000012000000}" name="Spalte18" dataDxfId="13"/>
    <tableColumn id="19" xr3:uid="{00000000-0010-0000-0000-000013000000}" name="Spalte19" dataDxfId="12"/>
    <tableColumn id="20" xr3:uid="{00000000-0010-0000-0000-000014000000}" name="Spalte20" dataDxfId="11"/>
    <tableColumn id="21" xr3:uid="{00000000-0010-0000-0000-000015000000}" name="Spalte21" dataDxfId="10"/>
    <tableColumn id="22" xr3:uid="{00000000-0010-0000-0000-000016000000}" name="Spalte22" dataDxfId="9"/>
    <tableColumn id="23" xr3:uid="{00000000-0010-0000-0000-000017000000}" name="Spalte23" dataDxfId="8"/>
    <tableColumn id="24" xr3:uid="{00000000-0010-0000-0000-000018000000}" name="Spalte24" dataDxfId="7"/>
    <tableColumn id="25" xr3:uid="{00000000-0010-0000-0000-000019000000}" name="Spalte25" dataDxfId="6"/>
    <tableColumn id="26" xr3:uid="{00000000-0010-0000-0000-00001A000000}" name="Spalte26" dataDxfId="5"/>
    <tableColumn id="27" xr3:uid="{00000000-0010-0000-0000-00001B000000}" name="Spalte27" dataDxfId="4"/>
    <tableColumn id="28" xr3:uid="{00000000-0010-0000-0000-00001C000000}" name="Spalte28" dataDxfId="3"/>
    <tableColumn id="29" xr3:uid="{034A065B-CA5E-4FA1-A649-FE181B088268}" name="Spalte29" dataDxfId="2"/>
    <tableColumn id="30" xr3:uid="{6EB77C7C-94B5-4645-A0AD-195BFD75D7CB}" name="Spalte30" dataDxfId="1"/>
    <tableColumn id="31" xr3:uid="{6483CC71-38B6-4EC3-9212-EF537F34B4AE}" name="Spalte3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8432-E3B3-364A-8B43-68A4BD857E31}">
  <dimension ref="A3:B28"/>
  <sheetViews>
    <sheetView tabSelected="1" workbookViewId="0">
      <selection activeCell="B27" sqref="B27"/>
    </sheetView>
  </sheetViews>
  <sheetFormatPr baseColWidth="10" defaultRowHeight="13" x14ac:dyDescent="0.15"/>
  <cols>
    <col min="1" max="1" width="30.5" bestFit="1" customWidth="1"/>
    <col min="2" max="2" width="38.6640625" bestFit="1" customWidth="1"/>
  </cols>
  <sheetData>
    <row r="3" spans="1:2" x14ac:dyDescent="0.15">
      <c r="A3" s="77" t="s">
        <v>237</v>
      </c>
      <c r="B3" t="s">
        <v>239</v>
      </c>
    </row>
    <row r="4" spans="1:2" x14ac:dyDescent="0.15">
      <c r="A4" s="78" t="s">
        <v>79</v>
      </c>
      <c r="B4" s="79">
        <v>14940545</v>
      </c>
    </row>
    <row r="5" spans="1:2" x14ac:dyDescent="0.15">
      <c r="A5" s="78" t="s">
        <v>22</v>
      </c>
      <c r="B5" s="79">
        <v>8661764</v>
      </c>
    </row>
    <row r="6" spans="1:2" x14ac:dyDescent="0.15">
      <c r="A6" s="78" t="s">
        <v>51</v>
      </c>
      <c r="B6" s="79">
        <v>7701384</v>
      </c>
    </row>
    <row r="7" spans="1:2" x14ac:dyDescent="0.15">
      <c r="A7" s="78" t="s">
        <v>61</v>
      </c>
      <c r="B7" s="79">
        <v>3762793</v>
      </c>
    </row>
    <row r="8" spans="1:2" x14ac:dyDescent="0.15">
      <c r="A8" s="78" t="s">
        <v>10</v>
      </c>
      <c r="B8" s="79">
        <v>12765911</v>
      </c>
    </row>
    <row r="9" spans="1:2" x14ac:dyDescent="0.15">
      <c r="A9" s="78" t="s">
        <v>11</v>
      </c>
      <c r="B9" s="79">
        <v>13554628</v>
      </c>
    </row>
    <row r="10" spans="1:2" x14ac:dyDescent="0.15">
      <c r="A10" s="78" t="s">
        <v>16</v>
      </c>
      <c r="B10" s="79">
        <v>8353746</v>
      </c>
    </row>
    <row r="11" spans="1:2" x14ac:dyDescent="0.15">
      <c r="A11" s="78" t="s">
        <v>223</v>
      </c>
      <c r="B11" s="79">
        <v>4854708</v>
      </c>
    </row>
    <row r="12" spans="1:2" x14ac:dyDescent="0.15">
      <c r="A12" s="78" t="s">
        <v>25</v>
      </c>
      <c r="B12" s="79">
        <v>19132011</v>
      </c>
    </row>
    <row r="13" spans="1:2" x14ac:dyDescent="0.15">
      <c r="A13" s="78" t="s">
        <v>13</v>
      </c>
      <c r="B13" s="79">
        <v>14484663</v>
      </c>
    </row>
    <row r="14" spans="1:2" x14ac:dyDescent="0.15">
      <c r="A14" s="78" t="s">
        <v>9</v>
      </c>
      <c r="B14" s="79">
        <v>23492624</v>
      </c>
    </row>
    <row r="15" spans="1:2" x14ac:dyDescent="0.15">
      <c r="A15" s="78" t="s">
        <v>23</v>
      </c>
      <c r="B15" s="79">
        <v>15466598</v>
      </c>
    </row>
    <row r="16" spans="1:2" x14ac:dyDescent="0.15">
      <c r="A16" s="78" t="s">
        <v>108</v>
      </c>
      <c r="B16" s="79">
        <v>6150877</v>
      </c>
    </row>
    <row r="17" spans="1:2" x14ac:dyDescent="0.15">
      <c r="A17" s="78" t="s">
        <v>97</v>
      </c>
      <c r="B17" s="79">
        <v>2330869</v>
      </c>
    </row>
    <row r="18" spans="1:2" x14ac:dyDescent="0.15">
      <c r="A18" s="78" t="s">
        <v>12</v>
      </c>
      <c r="B18" s="79">
        <v>3485688</v>
      </c>
    </row>
    <row r="19" spans="1:2" x14ac:dyDescent="0.15">
      <c r="A19" s="78" t="s">
        <v>24</v>
      </c>
      <c r="B19" s="79">
        <v>13787305</v>
      </c>
    </row>
    <row r="20" spans="1:2" x14ac:dyDescent="0.15">
      <c r="A20" s="78" t="s">
        <v>14</v>
      </c>
      <c r="B20" s="79">
        <v>25553355</v>
      </c>
    </row>
    <row r="21" spans="1:2" x14ac:dyDescent="0.15">
      <c r="A21" s="78" t="s">
        <v>62</v>
      </c>
      <c r="B21" s="79">
        <v>23119971</v>
      </c>
    </row>
    <row r="22" spans="1:2" x14ac:dyDescent="0.15">
      <c r="A22" s="78" t="s">
        <v>27</v>
      </c>
      <c r="B22" s="79">
        <v>4275951</v>
      </c>
    </row>
    <row r="23" spans="1:2" x14ac:dyDescent="0.15">
      <c r="A23" s="78" t="s">
        <v>28</v>
      </c>
      <c r="B23" s="79">
        <v>9419140</v>
      </c>
    </row>
    <row r="24" spans="1:2" x14ac:dyDescent="0.15">
      <c r="A24" s="78" t="s">
        <v>26</v>
      </c>
      <c r="B24" s="79">
        <v>16976649</v>
      </c>
    </row>
    <row r="25" spans="1:2" x14ac:dyDescent="0.15">
      <c r="A25" s="78" t="s">
        <v>17</v>
      </c>
      <c r="B25" s="79">
        <v>13742722</v>
      </c>
    </row>
    <row r="26" spans="1:2" x14ac:dyDescent="0.15">
      <c r="A26" s="78" t="s">
        <v>2</v>
      </c>
      <c r="B26" s="79">
        <v>14893355</v>
      </c>
    </row>
    <row r="27" spans="1:2" x14ac:dyDescent="0.15">
      <c r="A27" s="78" t="s">
        <v>29</v>
      </c>
      <c r="B27" s="79">
        <v>7669680</v>
      </c>
    </row>
    <row r="28" spans="1:2" x14ac:dyDescent="0.15">
      <c r="A28" s="78" t="s">
        <v>238</v>
      </c>
      <c r="B28" s="79">
        <v>288576937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78"/>
  <sheetViews>
    <sheetView zoomScale="150" zoomScaleNormal="100" workbookViewId="0">
      <pane ySplit="8" topLeftCell="A9" activePane="bottomLeft" state="frozen"/>
      <selection pane="bottomLeft" activeCell="A6" sqref="A6:AG173"/>
    </sheetView>
  </sheetViews>
  <sheetFormatPr baseColWidth="10" defaultColWidth="11.5" defaultRowHeight="11" x14ac:dyDescent="0.15"/>
  <cols>
    <col min="1" max="1" width="52.83203125" style="2" customWidth="1"/>
    <col min="2" max="3" width="11.1640625" style="2" customWidth="1"/>
    <col min="4" max="4" width="11.1640625" style="3" customWidth="1"/>
    <col min="5" max="5" width="12.33203125" style="3" customWidth="1"/>
    <col min="6" max="6" width="15.33203125" style="3" customWidth="1"/>
    <col min="7" max="7" width="9.83203125" style="3" customWidth="1"/>
    <col min="8" max="8" width="10.6640625" style="3" customWidth="1"/>
    <col min="9" max="9" width="10.1640625" style="4" customWidth="1"/>
    <col min="10" max="10" width="11.33203125" style="4" customWidth="1"/>
    <col min="11" max="11" width="14" style="4" customWidth="1"/>
    <col min="12" max="12" width="12.33203125" style="4" bestFit="1" customWidth="1"/>
    <col min="13" max="13" width="12.33203125" style="61" customWidth="1"/>
    <col min="14" max="14" width="9.83203125" style="4" bestFit="1" customWidth="1"/>
    <col min="15" max="15" width="9.6640625" style="4" customWidth="1"/>
    <col min="16" max="16" width="13.83203125" style="4" customWidth="1"/>
    <col min="17" max="17" width="9.83203125" style="4" bestFit="1" customWidth="1"/>
    <col min="18" max="18" width="11.5" style="3" customWidth="1"/>
    <col min="19" max="19" width="9.83203125" style="5" bestFit="1" customWidth="1"/>
    <col min="20" max="20" width="10" style="3" bestFit="1" customWidth="1"/>
    <col min="21" max="21" width="13.5" style="3" bestFit="1" customWidth="1"/>
    <col min="22" max="22" width="9.83203125" style="5" bestFit="1" customWidth="1"/>
    <col min="23" max="23" width="10" style="3" bestFit="1" customWidth="1"/>
    <col min="24" max="24" width="13.5" style="3" bestFit="1" customWidth="1"/>
    <col min="25" max="25" width="9.83203125" style="5" bestFit="1" customWidth="1"/>
    <col min="26" max="26" width="10" style="3" bestFit="1" customWidth="1"/>
    <col min="27" max="27" width="13.5" style="3" bestFit="1" customWidth="1"/>
    <col min="28" max="28" width="9.83203125" style="5" bestFit="1" customWidth="1"/>
    <col min="29" max="29" width="10" style="3" bestFit="1" customWidth="1"/>
    <col min="30" max="30" width="13.5" style="3" bestFit="1" customWidth="1"/>
    <col min="31" max="33" width="13.5" style="3" customWidth="1"/>
    <col min="34" max="16384" width="11.5" style="2"/>
  </cols>
  <sheetData>
    <row r="1" spans="1:34" ht="25.5" customHeight="1" x14ac:dyDescent="0.2">
      <c r="A1" s="1" t="s">
        <v>201</v>
      </c>
      <c r="N1" s="60" t="s">
        <v>234</v>
      </c>
    </row>
    <row r="2" spans="1:34" ht="19.5" customHeight="1" x14ac:dyDescent="0.15">
      <c r="A2" s="6" t="s">
        <v>230</v>
      </c>
      <c r="S2" s="27"/>
    </row>
    <row r="3" spans="1:34" ht="19.5" customHeight="1" x14ac:dyDescent="0.15"/>
    <row r="4" spans="1:34" ht="30" customHeight="1" x14ac:dyDescent="0.15"/>
    <row r="5" spans="1:34" ht="23.25" customHeight="1" x14ac:dyDescent="0.15">
      <c r="D5" s="7"/>
      <c r="E5" s="7"/>
      <c r="F5" s="7"/>
      <c r="G5" s="7"/>
      <c r="H5" s="7"/>
      <c r="I5" s="8"/>
      <c r="J5" s="8"/>
      <c r="K5" s="8"/>
      <c r="L5" s="8"/>
      <c r="M5" s="62"/>
      <c r="N5" s="8"/>
      <c r="O5" s="9"/>
      <c r="P5" s="9"/>
      <c r="Q5" s="9"/>
      <c r="R5" s="7"/>
      <c r="S5" s="71" t="s">
        <v>133</v>
      </c>
      <c r="T5" s="72"/>
      <c r="U5" s="73"/>
      <c r="V5" s="71" t="s">
        <v>134</v>
      </c>
      <c r="W5" s="72"/>
      <c r="X5" s="73"/>
      <c r="Y5" s="71" t="s">
        <v>135</v>
      </c>
      <c r="Z5" s="72"/>
      <c r="AA5" s="73"/>
      <c r="AB5" s="71" t="s">
        <v>136</v>
      </c>
      <c r="AC5" s="72"/>
      <c r="AD5" s="73"/>
      <c r="AE5" s="74">
        <v>44926</v>
      </c>
      <c r="AF5" s="75"/>
      <c r="AG5" s="76"/>
    </row>
    <row r="6" spans="1:34" ht="46.5" customHeight="1" x14ac:dyDescent="0.15">
      <c r="A6" s="10" t="s">
        <v>0</v>
      </c>
      <c r="B6" s="11" t="s">
        <v>233</v>
      </c>
      <c r="C6" s="11" t="s">
        <v>232</v>
      </c>
      <c r="D6" s="12" t="s">
        <v>179</v>
      </c>
      <c r="E6" s="13" t="s">
        <v>137</v>
      </c>
      <c r="F6" s="14" t="s">
        <v>138</v>
      </c>
      <c r="G6" s="14" t="s">
        <v>139</v>
      </c>
      <c r="H6" s="14" t="s">
        <v>224</v>
      </c>
      <c r="I6" s="14" t="s">
        <v>140</v>
      </c>
      <c r="J6" s="14" t="s">
        <v>141</v>
      </c>
      <c r="K6" s="14" t="s">
        <v>142</v>
      </c>
      <c r="L6" s="14" t="s">
        <v>216</v>
      </c>
      <c r="M6" s="63" t="s">
        <v>236</v>
      </c>
      <c r="N6" s="14" t="s">
        <v>217</v>
      </c>
      <c r="O6" s="14" t="s">
        <v>218</v>
      </c>
      <c r="P6" s="14" t="s">
        <v>219</v>
      </c>
      <c r="Q6" s="14" t="s">
        <v>180</v>
      </c>
      <c r="R6" s="15" t="s">
        <v>181</v>
      </c>
      <c r="S6" s="16" t="s">
        <v>143</v>
      </c>
      <c r="T6" s="15" t="s">
        <v>144</v>
      </c>
      <c r="U6" s="17" t="s">
        <v>145</v>
      </c>
      <c r="V6" s="16" t="s">
        <v>143</v>
      </c>
      <c r="W6" s="15" t="s">
        <v>144</v>
      </c>
      <c r="X6" s="17" t="s">
        <v>145</v>
      </c>
      <c r="Y6" s="15" t="s">
        <v>143</v>
      </c>
      <c r="Z6" s="15" t="s">
        <v>144</v>
      </c>
      <c r="AA6" s="15" t="s">
        <v>145</v>
      </c>
      <c r="AB6" s="16" t="s">
        <v>143</v>
      </c>
      <c r="AC6" s="15" t="s">
        <v>144</v>
      </c>
      <c r="AD6" s="17" t="s">
        <v>145</v>
      </c>
      <c r="AE6" s="16" t="s">
        <v>197</v>
      </c>
      <c r="AF6" s="15" t="s">
        <v>198</v>
      </c>
      <c r="AG6" s="17" t="s">
        <v>199</v>
      </c>
    </row>
    <row r="7" spans="1:34" ht="10.5" customHeight="1" x14ac:dyDescent="0.15">
      <c r="D7" s="7" t="s">
        <v>146</v>
      </c>
      <c r="E7" s="7" t="s">
        <v>146</v>
      </c>
      <c r="F7" s="7" t="s">
        <v>146</v>
      </c>
      <c r="G7" s="7" t="s">
        <v>146</v>
      </c>
      <c r="H7" s="7" t="s">
        <v>146</v>
      </c>
      <c r="I7" s="18"/>
      <c r="J7" s="18"/>
      <c r="K7" s="18"/>
      <c r="L7" s="18"/>
      <c r="M7" s="64"/>
      <c r="N7" s="18"/>
      <c r="O7" s="19"/>
      <c r="P7" s="19"/>
      <c r="Q7" s="19"/>
      <c r="R7" s="7" t="s">
        <v>146</v>
      </c>
      <c r="S7" s="20"/>
      <c r="T7" s="7" t="s">
        <v>146</v>
      </c>
      <c r="U7" s="21" t="s">
        <v>146</v>
      </c>
      <c r="V7" s="20"/>
      <c r="W7" s="7" t="s">
        <v>146</v>
      </c>
      <c r="X7" s="21" t="s">
        <v>146</v>
      </c>
      <c r="Z7" s="7" t="s">
        <v>146</v>
      </c>
      <c r="AA7" s="7" t="s">
        <v>146</v>
      </c>
      <c r="AB7" s="20"/>
      <c r="AC7" s="7" t="s">
        <v>146</v>
      </c>
      <c r="AD7" s="21" t="s">
        <v>146</v>
      </c>
      <c r="AE7" s="20"/>
      <c r="AF7" s="7" t="s">
        <v>146</v>
      </c>
      <c r="AG7" s="21" t="s">
        <v>146</v>
      </c>
    </row>
    <row r="8" spans="1:34" ht="15.75" hidden="1" customHeight="1" x14ac:dyDescent="0.15">
      <c r="A8" s="2" t="s">
        <v>147</v>
      </c>
      <c r="B8" s="2" t="s">
        <v>148</v>
      </c>
      <c r="C8" s="2" t="s">
        <v>231</v>
      </c>
      <c r="D8" s="3" t="s">
        <v>149</v>
      </c>
      <c r="E8" s="3" t="s">
        <v>150</v>
      </c>
      <c r="F8" s="3" t="s">
        <v>151</v>
      </c>
      <c r="G8" s="3" t="s">
        <v>152</v>
      </c>
      <c r="H8" s="3" t="s">
        <v>153</v>
      </c>
      <c r="I8" s="4" t="s">
        <v>154</v>
      </c>
      <c r="J8" s="4" t="s">
        <v>155</v>
      </c>
      <c r="K8" s="4" t="s">
        <v>156</v>
      </c>
      <c r="L8" s="4" t="s">
        <v>157</v>
      </c>
      <c r="M8" s="61" t="s">
        <v>235</v>
      </c>
      <c r="N8" s="4" t="s">
        <v>158</v>
      </c>
      <c r="O8" s="4" t="s">
        <v>159</v>
      </c>
      <c r="P8" s="4" t="s">
        <v>160</v>
      </c>
      <c r="Q8" s="4" t="s">
        <v>161</v>
      </c>
      <c r="R8" s="3" t="s">
        <v>162</v>
      </c>
      <c r="S8" s="5" t="s">
        <v>163</v>
      </c>
      <c r="T8" s="3" t="s">
        <v>164</v>
      </c>
      <c r="U8" s="3" t="s">
        <v>165</v>
      </c>
      <c r="V8" s="5" t="s">
        <v>166</v>
      </c>
      <c r="W8" s="3" t="s">
        <v>167</v>
      </c>
      <c r="X8" s="3" t="s">
        <v>168</v>
      </c>
      <c r="Y8" s="5" t="s">
        <v>169</v>
      </c>
      <c r="Z8" s="3" t="s">
        <v>170</v>
      </c>
      <c r="AA8" s="3" t="s">
        <v>171</v>
      </c>
      <c r="AB8" s="5" t="s">
        <v>172</v>
      </c>
      <c r="AC8" s="3" t="s">
        <v>173</v>
      </c>
      <c r="AD8" s="3" t="s">
        <v>174</v>
      </c>
      <c r="AE8" s="35" t="s">
        <v>194</v>
      </c>
      <c r="AF8" s="35" t="s">
        <v>195</v>
      </c>
      <c r="AG8" s="35" t="s">
        <v>196</v>
      </c>
    </row>
    <row r="9" spans="1:34" ht="10.5" customHeight="1" x14ac:dyDescent="0.15">
      <c r="A9" s="22" t="s">
        <v>79</v>
      </c>
      <c r="B9" s="44">
        <v>3</v>
      </c>
      <c r="C9" s="44">
        <f>_xlfn.XLOOKUP(Tabelle1[[#This Row],[Spalte1]],[1]KeyMetrics2021!$A:$A,[1]KeyMetrics2021!$B:$B,"Nicht vorhanden")</f>
        <v>3</v>
      </c>
      <c r="D9" s="45">
        <v>1195244</v>
      </c>
      <c r="E9" s="45">
        <v>2760424</v>
      </c>
      <c r="F9" s="45">
        <v>2688206</v>
      </c>
      <c r="G9" s="45">
        <v>2688206</v>
      </c>
      <c r="H9" s="45">
        <v>14940545</v>
      </c>
      <c r="I9" s="46">
        <v>0.18</v>
      </c>
      <c r="J9" s="46">
        <v>0.18</v>
      </c>
      <c r="K9" s="46">
        <v>0.185</v>
      </c>
      <c r="L9" s="46">
        <v>1.2E-2</v>
      </c>
      <c r="M9" s="65">
        <f>Tabelle1[[#This Row],[Spalte12]]-Tabelle1[[#This Row],[Spalte11]]</f>
        <v>7.8E-2</v>
      </c>
      <c r="N9" s="46">
        <v>0.09</v>
      </c>
      <c r="O9" s="46">
        <v>0.108</v>
      </c>
      <c r="P9" s="46">
        <v>0.13200000000000001</v>
      </c>
      <c r="Q9" s="46">
        <v>6.9000000000000006E-2</v>
      </c>
      <c r="R9" s="45">
        <v>39194456</v>
      </c>
      <c r="S9" s="39">
        <v>1.96</v>
      </c>
      <c r="T9" s="45">
        <v>10031259</v>
      </c>
      <c r="U9" s="45">
        <v>5111061</v>
      </c>
      <c r="V9" s="39">
        <v>1.9</v>
      </c>
      <c r="W9" s="45">
        <v>9385692</v>
      </c>
      <c r="X9" s="45">
        <v>4946782</v>
      </c>
      <c r="Y9" s="39">
        <v>1.56</v>
      </c>
      <c r="Z9" s="45">
        <v>8777244</v>
      </c>
      <c r="AA9" s="45">
        <v>5621140</v>
      </c>
      <c r="AB9" s="39">
        <v>1.47</v>
      </c>
      <c r="AC9" s="45">
        <v>9387908</v>
      </c>
      <c r="AD9" s="45">
        <v>6378835</v>
      </c>
      <c r="AE9" s="38">
        <v>1.48</v>
      </c>
      <c r="AF9" s="47">
        <v>27019982</v>
      </c>
      <c r="AG9" s="47">
        <v>18287510</v>
      </c>
      <c r="AH9" s="27"/>
    </row>
    <row r="10" spans="1:34" ht="10.5" customHeight="1" x14ac:dyDescent="0.15">
      <c r="A10" s="23" t="s">
        <v>3</v>
      </c>
      <c r="B10" s="48">
        <v>4</v>
      </c>
      <c r="C10" s="48">
        <f>_xlfn.XLOOKUP(Tabelle1[[#This Row],[Spalte1]],[1]KeyMetrics2021!$A:$A,[1]KeyMetrics2021!$B:$B,"Nicht vorhanden")</f>
        <v>4</v>
      </c>
      <c r="D10" s="25">
        <v>128314</v>
      </c>
      <c r="E10" s="25">
        <v>244418</v>
      </c>
      <c r="F10" s="25">
        <v>244418</v>
      </c>
      <c r="G10" s="25">
        <v>244418</v>
      </c>
      <c r="H10" s="25">
        <v>1603926</v>
      </c>
      <c r="I10" s="26">
        <v>0.152</v>
      </c>
      <c r="J10" s="26">
        <v>0.152</v>
      </c>
      <c r="K10" s="26">
        <v>0.152</v>
      </c>
      <c r="L10" s="26">
        <v>1.2E-2</v>
      </c>
      <c r="M10" s="66">
        <f>Tabelle1[[#This Row],[Spalte12]]-Tabelle1[[#This Row],[Spalte11]]</f>
        <v>7.3999999999999996E-2</v>
      </c>
      <c r="N10" s="26">
        <v>8.5999999999999993E-2</v>
      </c>
      <c r="O10" s="26">
        <v>0.10199999999999999</v>
      </c>
      <c r="P10" s="26">
        <v>0.124</v>
      </c>
      <c r="Q10" s="26">
        <v>0.08</v>
      </c>
      <c r="R10" s="25">
        <v>3051218</v>
      </c>
      <c r="S10" s="24">
        <v>1.26</v>
      </c>
      <c r="T10" s="25">
        <v>305982</v>
      </c>
      <c r="U10" s="25">
        <v>242595</v>
      </c>
      <c r="V10" s="24">
        <v>1.03</v>
      </c>
      <c r="W10" s="25">
        <v>264499</v>
      </c>
      <c r="X10" s="25">
        <v>255657</v>
      </c>
      <c r="Y10" s="24">
        <v>1.05</v>
      </c>
      <c r="Z10" s="25">
        <v>222340</v>
      </c>
      <c r="AA10" s="25">
        <v>210873</v>
      </c>
      <c r="AB10" s="24">
        <v>1.0900000000000001</v>
      </c>
      <c r="AC10" s="25">
        <v>240504</v>
      </c>
      <c r="AD10" s="25">
        <v>220595</v>
      </c>
      <c r="AE10" s="38">
        <v>1.22</v>
      </c>
      <c r="AF10" s="36">
        <v>2344307</v>
      </c>
      <c r="AG10" s="36">
        <v>1927352</v>
      </c>
      <c r="AH10" s="27"/>
    </row>
    <row r="11" spans="1:34" ht="10.5" customHeight="1" x14ac:dyDescent="0.15">
      <c r="A11" s="22" t="s">
        <v>202</v>
      </c>
      <c r="B11" s="44">
        <v>5</v>
      </c>
      <c r="C11" s="44" t="str">
        <f>_xlfn.XLOOKUP(Tabelle1[[#This Row],[Spalte1]],[1]KeyMetrics2021!$A:$A,[1]KeyMetrics2021!$B:$B,"Nicht vorhanden")</f>
        <v>Nicht vorhanden</v>
      </c>
      <c r="D11" s="45">
        <v>2304</v>
      </c>
      <c r="E11" s="45">
        <v>16988</v>
      </c>
      <c r="F11" s="45">
        <v>16988</v>
      </c>
      <c r="G11" s="45">
        <v>16988</v>
      </c>
      <c r="H11" s="45">
        <v>28800</v>
      </c>
      <c r="I11" s="46">
        <v>0.59</v>
      </c>
      <c r="J11" s="46">
        <v>0.59</v>
      </c>
      <c r="K11" s="46">
        <v>0.59</v>
      </c>
      <c r="L11" s="46">
        <v>0</v>
      </c>
      <c r="M11" s="65">
        <f>Tabelle1[[#This Row],[Spalte12]]-Tabelle1[[#This Row],[Spalte11]]</f>
        <v>7.0000000000000007E-2</v>
      </c>
      <c r="N11" s="46">
        <v>7.0000000000000007E-2</v>
      </c>
      <c r="O11" s="46">
        <v>8.5000000000000006E-2</v>
      </c>
      <c r="P11" s="46">
        <v>0.105</v>
      </c>
      <c r="Q11" s="46">
        <v>0.70399999999999996</v>
      </c>
      <c r="R11" s="45">
        <v>24122</v>
      </c>
      <c r="S11" s="24" t="s">
        <v>221</v>
      </c>
      <c r="T11" s="24" t="s">
        <v>221</v>
      </c>
      <c r="U11" s="24" t="s">
        <v>221</v>
      </c>
      <c r="V11" s="24" t="s">
        <v>221</v>
      </c>
      <c r="W11" s="24" t="s">
        <v>221</v>
      </c>
      <c r="X11" s="24" t="s">
        <v>221</v>
      </c>
      <c r="Y11" s="39">
        <v>67.680000000000007</v>
      </c>
      <c r="Z11" s="45">
        <v>184</v>
      </c>
      <c r="AA11" s="45">
        <v>3</v>
      </c>
      <c r="AB11" s="39">
        <v>25.01</v>
      </c>
      <c r="AC11" s="45">
        <v>835</v>
      </c>
      <c r="AD11" s="45">
        <v>33</v>
      </c>
      <c r="AE11" s="38">
        <v>0.96</v>
      </c>
      <c r="AF11" s="47">
        <v>53080</v>
      </c>
      <c r="AG11" s="47">
        <v>55448</v>
      </c>
      <c r="AH11" s="27"/>
    </row>
    <row r="12" spans="1:34" ht="10.5" customHeight="1" x14ac:dyDescent="0.15">
      <c r="A12" s="23" t="s">
        <v>8</v>
      </c>
      <c r="B12" s="48">
        <v>4</v>
      </c>
      <c r="C12" s="48">
        <f>_xlfn.XLOOKUP(Tabelle1[[#This Row],[Spalte1]],[1]KeyMetrics2021!$A:$A,[1]KeyMetrics2021!$B:$B,"Nicht vorhanden")</f>
        <v>4</v>
      </c>
      <c r="D12" s="25">
        <v>142987</v>
      </c>
      <c r="E12" s="25">
        <v>352266</v>
      </c>
      <c r="F12" s="25">
        <v>352266</v>
      </c>
      <c r="G12" s="25">
        <v>352266</v>
      </c>
      <c r="H12" s="25">
        <v>1787341</v>
      </c>
      <c r="I12" s="26">
        <v>0.19700000000000001</v>
      </c>
      <c r="J12" s="26">
        <v>0.19700000000000001</v>
      </c>
      <c r="K12" s="26">
        <v>0.19700000000000001</v>
      </c>
      <c r="L12" s="26">
        <v>1.4E-2</v>
      </c>
      <c r="M12" s="66">
        <f>Tabelle1[[#This Row],[Spalte12]]-Tabelle1[[#This Row],[Spalte11]]</f>
        <v>7.3999999999999996E-2</v>
      </c>
      <c r="N12" s="26">
        <v>8.7999999999999995E-2</v>
      </c>
      <c r="O12" s="26">
        <v>0.104</v>
      </c>
      <c r="P12" s="26">
        <v>0.126</v>
      </c>
      <c r="Q12" s="26">
        <v>8.4000000000000005E-2</v>
      </c>
      <c r="R12" s="25">
        <v>4181062</v>
      </c>
      <c r="S12" s="24">
        <v>1.67</v>
      </c>
      <c r="T12" s="25">
        <v>656340</v>
      </c>
      <c r="U12" s="25">
        <v>392374</v>
      </c>
      <c r="V12" s="24">
        <v>1.69</v>
      </c>
      <c r="W12" s="25">
        <v>659057</v>
      </c>
      <c r="X12" s="25">
        <v>389570</v>
      </c>
      <c r="Y12" s="24">
        <v>1.45</v>
      </c>
      <c r="Z12" s="25">
        <v>581809</v>
      </c>
      <c r="AA12" s="25">
        <v>400490</v>
      </c>
      <c r="AB12" s="24">
        <v>1.34</v>
      </c>
      <c r="AC12" s="25">
        <v>514260</v>
      </c>
      <c r="AD12" s="25">
        <v>383750</v>
      </c>
      <c r="AE12" s="38">
        <v>1.35</v>
      </c>
      <c r="AF12" s="36">
        <v>3491369</v>
      </c>
      <c r="AG12" s="36">
        <v>2580102</v>
      </c>
      <c r="AH12" s="27"/>
    </row>
    <row r="13" spans="1:34" ht="10.5" customHeight="1" x14ac:dyDescent="0.15">
      <c r="A13" s="22" t="s">
        <v>86</v>
      </c>
      <c r="B13" s="44">
        <v>4</v>
      </c>
      <c r="C13" s="44">
        <f>_xlfn.XLOOKUP(Tabelle1[[#This Row],[Spalte1]],[1]KeyMetrics2021!$A:$A,[1]KeyMetrics2021!$B:$B,"Nicht vorhanden")</f>
        <v>4</v>
      </c>
      <c r="D13" s="45">
        <v>22057</v>
      </c>
      <c r="E13" s="45">
        <v>76687</v>
      </c>
      <c r="F13" s="45">
        <v>56687</v>
      </c>
      <c r="G13" s="45">
        <v>76687</v>
      </c>
      <c r="H13" s="45">
        <v>275709</v>
      </c>
      <c r="I13" s="46">
        <v>0.20599999999999999</v>
      </c>
      <c r="J13" s="46">
        <v>0.27800000000000002</v>
      </c>
      <c r="K13" s="46">
        <v>0.27800000000000002</v>
      </c>
      <c r="L13" s="46">
        <v>0</v>
      </c>
      <c r="M13" s="65">
        <f>Tabelle1[[#This Row],[Spalte12]]-Tabelle1[[#This Row],[Spalte11]]</f>
        <v>7.3999999999999996E-2</v>
      </c>
      <c r="N13" s="46">
        <v>7.3999999999999996E-2</v>
      </c>
      <c r="O13" s="46">
        <v>0.09</v>
      </c>
      <c r="P13" s="46">
        <v>0.112</v>
      </c>
      <c r="Q13" s="46">
        <v>4.3999999999999997E-2</v>
      </c>
      <c r="R13" s="45">
        <v>1725793</v>
      </c>
      <c r="S13" s="39">
        <v>4.63</v>
      </c>
      <c r="T13" s="45">
        <v>625970</v>
      </c>
      <c r="U13" s="45">
        <v>135294</v>
      </c>
      <c r="V13" s="39">
        <v>3.83</v>
      </c>
      <c r="W13" s="45">
        <v>540012</v>
      </c>
      <c r="X13" s="45">
        <v>141170</v>
      </c>
      <c r="Y13" s="39">
        <v>4.03</v>
      </c>
      <c r="Z13" s="45">
        <v>565686</v>
      </c>
      <c r="AA13" s="45">
        <v>140425</v>
      </c>
      <c r="AB13" s="39">
        <v>2.98</v>
      </c>
      <c r="AC13" s="45">
        <v>377571</v>
      </c>
      <c r="AD13" s="45">
        <v>126728</v>
      </c>
      <c r="AE13" s="38">
        <v>2.88</v>
      </c>
      <c r="AF13" s="47">
        <v>1041260</v>
      </c>
      <c r="AG13" s="47">
        <v>361577</v>
      </c>
      <c r="AH13" s="27"/>
    </row>
    <row r="14" spans="1:34" ht="10.5" customHeight="1" x14ac:dyDescent="0.15">
      <c r="A14" s="23" t="s">
        <v>203</v>
      </c>
      <c r="B14" s="48">
        <v>4</v>
      </c>
      <c r="C14" s="48" t="str">
        <f>_xlfn.XLOOKUP(Tabelle1[[#This Row],[Spalte1]],[1]KeyMetrics2021!$A:$A,[1]KeyMetrics2021!$B:$B,"Nicht vorhanden")</f>
        <v>Nicht vorhanden</v>
      </c>
      <c r="D14" s="25">
        <v>271850</v>
      </c>
      <c r="E14" s="25">
        <v>524344</v>
      </c>
      <c r="F14" s="25">
        <v>418112</v>
      </c>
      <c r="G14" s="25">
        <v>458112</v>
      </c>
      <c r="H14" s="25">
        <v>3398121</v>
      </c>
      <c r="I14" s="26">
        <v>0.123</v>
      </c>
      <c r="J14" s="26">
        <v>0.13500000000000001</v>
      </c>
      <c r="K14" s="26">
        <v>0.154</v>
      </c>
      <c r="L14" s="26">
        <v>1.7999999999999999E-2</v>
      </c>
      <c r="M14" s="66">
        <f>Tabelle1[[#This Row],[Spalte12]]-Tabelle1[[#This Row],[Spalte11]]</f>
        <v>7.3999999999999996E-2</v>
      </c>
      <c r="N14" s="26">
        <v>9.1999999999999998E-2</v>
      </c>
      <c r="O14" s="26">
        <v>0.108</v>
      </c>
      <c r="P14" s="26">
        <v>0.13</v>
      </c>
      <c r="Q14" s="26">
        <v>5.2999999999999999E-2</v>
      </c>
      <c r="R14" s="25">
        <v>8698002</v>
      </c>
      <c r="S14" s="24">
        <v>1.68</v>
      </c>
      <c r="T14" s="25">
        <v>1477585</v>
      </c>
      <c r="U14" s="25">
        <v>881444</v>
      </c>
      <c r="V14" s="24">
        <v>1.62</v>
      </c>
      <c r="W14" s="25">
        <v>1425365</v>
      </c>
      <c r="X14" s="25">
        <v>877500</v>
      </c>
      <c r="Y14" s="24">
        <v>1.5</v>
      </c>
      <c r="Z14" s="25">
        <v>1133837</v>
      </c>
      <c r="AA14" s="25">
        <v>753859</v>
      </c>
      <c r="AB14" s="24">
        <v>1.64</v>
      </c>
      <c r="AC14" s="25">
        <v>978112</v>
      </c>
      <c r="AD14" s="25">
        <v>596301</v>
      </c>
      <c r="AE14" s="38">
        <v>1.32</v>
      </c>
      <c r="AF14" s="36">
        <v>7672898</v>
      </c>
      <c r="AG14" s="36">
        <v>5812222</v>
      </c>
      <c r="AH14" s="27"/>
    </row>
    <row r="15" spans="1:34" ht="10.5" customHeight="1" x14ac:dyDescent="0.15">
      <c r="A15" s="22" t="s">
        <v>87</v>
      </c>
      <c r="B15" s="44">
        <v>5</v>
      </c>
      <c r="C15" s="44">
        <f>_xlfn.XLOOKUP(Tabelle1[[#This Row],[Spalte1]],[1]KeyMetrics2021!$A:$A,[1]KeyMetrics2021!$B:$B,"Nicht vorhanden")</f>
        <v>5</v>
      </c>
      <c r="D15" s="45">
        <v>1778</v>
      </c>
      <c r="E15" s="45">
        <v>27076</v>
      </c>
      <c r="F15" s="45">
        <v>27076</v>
      </c>
      <c r="G15" s="45">
        <v>27076</v>
      </c>
      <c r="H15" s="45">
        <v>22222</v>
      </c>
      <c r="I15" s="46">
        <v>1.218</v>
      </c>
      <c r="J15" s="46">
        <v>1.218</v>
      </c>
      <c r="K15" s="46">
        <v>1.218</v>
      </c>
      <c r="L15" s="46">
        <v>0</v>
      </c>
      <c r="M15" s="65">
        <f>Tabelle1[[#This Row],[Spalte12]]-Tabelle1[[#This Row],[Spalte11]]</f>
        <v>7.0000000000000007E-2</v>
      </c>
      <c r="N15" s="46">
        <v>7.0000000000000007E-2</v>
      </c>
      <c r="O15" s="46">
        <v>8.5000000000000006E-2</v>
      </c>
      <c r="P15" s="46">
        <v>0.105</v>
      </c>
      <c r="Q15" s="46">
        <v>0.29899999999999999</v>
      </c>
      <c r="R15" s="45">
        <v>90454</v>
      </c>
      <c r="S15" s="39">
        <v>2.19</v>
      </c>
      <c r="T15" s="45">
        <v>34620</v>
      </c>
      <c r="U15" s="45">
        <v>15785</v>
      </c>
      <c r="V15" s="39">
        <v>2.35</v>
      </c>
      <c r="W15" s="45">
        <v>34566</v>
      </c>
      <c r="X15" s="45">
        <v>14693</v>
      </c>
      <c r="Y15" s="39">
        <v>2.48</v>
      </c>
      <c r="Z15" s="45">
        <v>34615</v>
      </c>
      <c r="AA15" s="45">
        <v>13953</v>
      </c>
      <c r="AB15" s="39">
        <v>2.76</v>
      </c>
      <c r="AC15" s="45">
        <v>34012</v>
      </c>
      <c r="AD15" s="45">
        <v>12329</v>
      </c>
      <c r="AE15" s="38">
        <v>1.86</v>
      </c>
      <c r="AF15" s="47">
        <v>54066</v>
      </c>
      <c r="AG15" s="47">
        <v>29113</v>
      </c>
      <c r="AH15" s="27"/>
    </row>
    <row r="16" spans="1:34" ht="10.5" customHeight="1" x14ac:dyDescent="0.15">
      <c r="A16" s="23" t="s">
        <v>109</v>
      </c>
      <c r="B16" s="48">
        <v>5</v>
      </c>
      <c r="C16" s="48">
        <f>_xlfn.XLOOKUP(Tabelle1[[#This Row],[Spalte1]],[1]KeyMetrics2021!$A:$A,[1]KeyMetrics2021!$B:$B,"Nicht vorhanden")</f>
        <v>5</v>
      </c>
      <c r="D16" s="25">
        <v>8527</v>
      </c>
      <c r="E16" s="25">
        <v>30725</v>
      </c>
      <c r="F16" s="25">
        <v>30725</v>
      </c>
      <c r="G16" s="25">
        <v>30725</v>
      </c>
      <c r="H16" s="25">
        <v>106590</v>
      </c>
      <c r="I16" s="26">
        <v>0.28799999999999998</v>
      </c>
      <c r="J16" s="26">
        <v>0.28799999999999998</v>
      </c>
      <c r="K16" s="26">
        <v>0.28799999999999998</v>
      </c>
      <c r="L16" s="26">
        <v>1E-3</v>
      </c>
      <c r="M16" s="66">
        <f>Tabelle1[[#This Row],[Spalte12]]-Tabelle1[[#This Row],[Spalte11]]</f>
        <v>6.9999999999999993E-2</v>
      </c>
      <c r="N16" s="26">
        <v>7.0999999999999994E-2</v>
      </c>
      <c r="O16" s="26">
        <v>8.5999999999999993E-2</v>
      </c>
      <c r="P16" s="26">
        <v>0.106</v>
      </c>
      <c r="Q16" s="26">
        <v>6.0999999999999999E-2</v>
      </c>
      <c r="R16" s="25">
        <v>503042</v>
      </c>
      <c r="S16" s="24">
        <v>1.74</v>
      </c>
      <c r="T16" s="25">
        <v>58785</v>
      </c>
      <c r="U16" s="25">
        <v>33824</v>
      </c>
      <c r="V16" s="24">
        <v>1.65</v>
      </c>
      <c r="W16" s="25">
        <v>58127</v>
      </c>
      <c r="X16" s="25">
        <v>35178</v>
      </c>
      <c r="Y16" s="24">
        <v>1.49</v>
      </c>
      <c r="Z16" s="25">
        <v>56668</v>
      </c>
      <c r="AA16" s="25">
        <v>38010</v>
      </c>
      <c r="AB16" s="24">
        <v>1.36</v>
      </c>
      <c r="AC16" s="25">
        <v>55182</v>
      </c>
      <c r="AD16" s="25">
        <v>40696</v>
      </c>
      <c r="AE16" s="38">
        <v>2.0299999999999998</v>
      </c>
      <c r="AF16" s="36">
        <v>296711</v>
      </c>
      <c r="AG16" s="36">
        <v>146192</v>
      </c>
      <c r="AH16" s="27"/>
    </row>
    <row r="17" spans="1:34" ht="10.5" customHeight="1" x14ac:dyDescent="0.15">
      <c r="A17" s="22" t="s">
        <v>43</v>
      </c>
      <c r="B17" s="44">
        <v>5</v>
      </c>
      <c r="C17" s="44">
        <f>_xlfn.XLOOKUP(Tabelle1[[#This Row],[Spalte1]],[1]KeyMetrics2021!$A:$A,[1]KeyMetrics2021!$B:$B,"Nicht vorhanden")</f>
        <v>5</v>
      </c>
      <c r="D17" s="45">
        <v>36857</v>
      </c>
      <c r="E17" s="45">
        <v>127388</v>
      </c>
      <c r="F17" s="45">
        <v>127388</v>
      </c>
      <c r="G17" s="45">
        <v>127388</v>
      </c>
      <c r="H17" s="45">
        <v>460718</v>
      </c>
      <c r="I17" s="46">
        <v>0.27600000000000002</v>
      </c>
      <c r="J17" s="46">
        <v>0.27600000000000002</v>
      </c>
      <c r="K17" s="46">
        <v>0.27600000000000002</v>
      </c>
      <c r="L17" s="46">
        <v>2E-3</v>
      </c>
      <c r="M17" s="65">
        <f>Tabelle1[[#This Row],[Spalte12]]-Tabelle1[[#This Row],[Spalte11]]</f>
        <v>6.9999999999999993E-2</v>
      </c>
      <c r="N17" s="46">
        <v>7.1999999999999995E-2</v>
      </c>
      <c r="O17" s="46">
        <v>8.6999999999999994E-2</v>
      </c>
      <c r="P17" s="46">
        <v>0.107</v>
      </c>
      <c r="Q17" s="46">
        <v>0.14399999999999999</v>
      </c>
      <c r="R17" s="45">
        <v>885232</v>
      </c>
      <c r="S17" s="39">
        <v>6.13</v>
      </c>
      <c r="T17" s="45">
        <v>216183</v>
      </c>
      <c r="U17" s="45">
        <v>35243</v>
      </c>
      <c r="V17" s="39">
        <v>3.71</v>
      </c>
      <c r="W17" s="45">
        <v>220429</v>
      </c>
      <c r="X17" s="45">
        <v>59370</v>
      </c>
      <c r="Y17" s="39">
        <v>3.36</v>
      </c>
      <c r="Z17" s="45">
        <v>172142</v>
      </c>
      <c r="AA17" s="45">
        <v>51179</v>
      </c>
      <c r="AB17" s="39">
        <v>2.67</v>
      </c>
      <c r="AC17" s="45">
        <v>157614</v>
      </c>
      <c r="AD17" s="45">
        <v>58951</v>
      </c>
      <c r="AE17" s="38">
        <v>1.84</v>
      </c>
      <c r="AF17" s="47">
        <v>710259</v>
      </c>
      <c r="AG17" s="47">
        <v>386115</v>
      </c>
      <c r="AH17" s="27"/>
    </row>
    <row r="18" spans="1:34" ht="10.5" customHeight="1" x14ac:dyDescent="0.15">
      <c r="A18" s="23" t="s">
        <v>22</v>
      </c>
      <c r="B18" s="48">
        <v>3</v>
      </c>
      <c r="C18" s="48">
        <f>_xlfn.XLOOKUP(Tabelle1[[#This Row],[Spalte1]],[1]KeyMetrics2021!$A:$A,[1]KeyMetrics2021!$B:$B,"Nicht vorhanden")</f>
        <v>3</v>
      </c>
      <c r="D18" s="25">
        <v>692941</v>
      </c>
      <c r="E18" s="25">
        <v>1632031</v>
      </c>
      <c r="F18" s="25">
        <v>1340301</v>
      </c>
      <c r="G18" s="25">
        <v>1390301</v>
      </c>
      <c r="H18" s="25">
        <v>8661764</v>
      </c>
      <c r="I18" s="26">
        <v>0.155</v>
      </c>
      <c r="J18" s="26">
        <v>0.161</v>
      </c>
      <c r="K18" s="26">
        <v>0.188</v>
      </c>
      <c r="L18" s="26">
        <v>8.9999999999999993E-3</v>
      </c>
      <c r="M18" s="66">
        <f>Tabelle1[[#This Row],[Spalte12]]-Tabelle1[[#This Row],[Spalte11]]</f>
        <v>7.8E-2</v>
      </c>
      <c r="N18" s="26">
        <v>8.6999999999999994E-2</v>
      </c>
      <c r="O18" s="26">
        <v>0.105</v>
      </c>
      <c r="P18" s="26">
        <v>0.129</v>
      </c>
      <c r="Q18" s="26">
        <v>7.2999999999999995E-2</v>
      </c>
      <c r="R18" s="25">
        <v>19124254</v>
      </c>
      <c r="S18" s="24">
        <v>1.88</v>
      </c>
      <c r="T18" s="25">
        <v>3427928</v>
      </c>
      <c r="U18" s="25">
        <v>1823729</v>
      </c>
      <c r="V18" s="24">
        <v>1.89</v>
      </c>
      <c r="W18" s="25">
        <v>3407358</v>
      </c>
      <c r="X18" s="25">
        <v>1806786</v>
      </c>
      <c r="Y18" s="24">
        <v>1.79</v>
      </c>
      <c r="Z18" s="25">
        <v>3443596</v>
      </c>
      <c r="AA18" s="25">
        <v>1919379</v>
      </c>
      <c r="AB18" s="24">
        <v>1.67</v>
      </c>
      <c r="AC18" s="25">
        <v>3754761</v>
      </c>
      <c r="AD18" s="25">
        <v>2243179</v>
      </c>
      <c r="AE18" s="38">
        <v>1.42</v>
      </c>
      <c r="AF18" s="36">
        <v>15179249</v>
      </c>
      <c r="AG18" s="36">
        <v>10670351</v>
      </c>
      <c r="AH18" s="27"/>
    </row>
    <row r="19" spans="1:34" ht="10.5" customHeight="1" x14ac:dyDescent="0.15">
      <c r="A19" s="22" t="s">
        <v>85</v>
      </c>
      <c r="B19" s="44">
        <v>4</v>
      </c>
      <c r="C19" s="44">
        <f>_xlfn.XLOOKUP(Tabelle1[[#This Row],[Spalte1]],[1]KeyMetrics2021!$A:$A,[1]KeyMetrics2021!$B:$B,"Nicht vorhanden")</f>
        <v>4</v>
      </c>
      <c r="D19" s="45">
        <v>201335</v>
      </c>
      <c r="E19" s="45">
        <v>438981</v>
      </c>
      <c r="F19" s="45">
        <v>438981</v>
      </c>
      <c r="G19" s="45">
        <v>438981</v>
      </c>
      <c r="H19" s="45">
        <v>2516686</v>
      </c>
      <c r="I19" s="46">
        <v>0.17399999999999999</v>
      </c>
      <c r="J19" s="46">
        <v>0.17399999999999999</v>
      </c>
      <c r="K19" s="46">
        <v>0.17399999999999999</v>
      </c>
      <c r="L19" s="46">
        <v>1.6E-2</v>
      </c>
      <c r="M19" s="65">
        <f>Tabelle1[[#This Row],[Spalte12]]-Tabelle1[[#This Row],[Spalte11]]</f>
        <v>7.3999999999999996E-2</v>
      </c>
      <c r="N19" s="46">
        <v>0.09</v>
      </c>
      <c r="O19" s="46">
        <v>0.106</v>
      </c>
      <c r="P19" s="46">
        <v>0.128</v>
      </c>
      <c r="Q19" s="46">
        <v>6.5000000000000002E-2</v>
      </c>
      <c r="R19" s="45">
        <v>6733605</v>
      </c>
      <c r="S19" s="39">
        <v>1.59</v>
      </c>
      <c r="T19" s="45">
        <v>903936</v>
      </c>
      <c r="U19" s="45">
        <v>567052</v>
      </c>
      <c r="V19" s="39">
        <v>1.83</v>
      </c>
      <c r="W19" s="45">
        <v>912311</v>
      </c>
      <c r="X19" s="45">
        <v>499070</v>
      </c>
      <c r="Y19" s="39">
        <v>1.7</v>
      </c>
      <c r="Z19" s="45">
        <v>921985</v>
      </c>
      <c r="AA19" s="45">
        <v>542069</v>
      </c>
      <c r="AB19" s="39">
        <v>1.71</v>
      </c>
      <c r="AC19" s="45">
        <v>923847</v>
      </c>
      <c r="AD19" s="45">
        <v>540302</v>
      </c>
      <c r="AE19" s="38">
        <v>1.2</v>
      </c>
      <c r="AF19" s="47">
        <v>4565204</v>
      </c>
      <c r="AG19" s="47">
        <v>3811079</v>
      </c>
      <c r="AH19" s="27"/>
    </row>
    <row r="20" spans="1:34" ht="10.5" customHeight="1" x14ac:dyDescent="0.15">
      <c r="A20" s="23" t="s">
        <v>99</v>
      </c>
      <c r="B20" s="48">
        <v>5</v>
      </c>
      <c r="C20" s="48">
        <f>_xlfn.XLOOKUP(Tabelle1[[#This Row],[Spalte1]],[1]KeyMetrics2021!$A:$A,[1]KeyMetrics2021!$B:$B,"Nicht vorhanden")</f>
        <v>5</v>
      </c>
      <c r="D20" s="25">
        <v>18217</v>
      </c>
      <c r="E20" s="25">
        <v>69522</v>
      </c>
      <c r="F20" s="25">
        <v>69522</v>
      </c>
      <c r="G20" s="25">
        <v>69522</v>
      </c>
      <c r="H20" s="25">
        <v>227711</v>
      </c>
      <c r="I20" s="26">
        <v>0.30499999999999999</v>
      </c>
      <c r="J20" s="26">
        <v>0.30499999999999999</v>
      </c>
      <c r="K20" s="26">
        <v>0.30499999999999999</v>
      </c>
      <c r="L20" s="26">
        <v>0</v>
      </c>
      <c r="M20" s="66">
        <f>Tabelle1[[#This Row],[Spalte12]]-Tabelle1[[#This Row],[Spalte11]]</f>
        <v>7.0000000000000007E-2</v>
      </c>
      <c r="N20" s="26">
        <v>7.0000000000000007E-2</v>
      </c>
      <c r="O20" s="26">
        <v>8.5000000000000006E-2</v>
      </c>
      <c r="P20" s="26">
        <v>0.105</v>
      </c>
      <c r="Q20" s="26">
        <v>0.152</v>
      </c>
      <c r="R20" s="25">
        <v>456530</v>
      </c>
      <c r="S20" s="24">
        <v>1.54</v>
      </c>
      <c r="T20" s="25">
        <v>74628</v>
      </c>
      <c r="U20" s="25">
        <v>48543</v>
      </c>
      <c r="V20" s="24">
        <v>1.96</v>
      </c>
      <c r="W20" s="25">
        <v>80376</v>
      </c>
      <c r="X20" s="25">
        <v>40978</v>
      </c>
      <c r="Y20" s="24">
        <v>1.6</v>
      </c>
      <c r="Z20" s="25">
        <v>69847</v>
      </c>
      <c r="AA20" s="25">
        <v>43652</v>
      </c>
      <c r="AB20" s="24">
        <v>1.87</v>
      </c>
      <c r="AC20" s="25">
        <v>75834</v>
      </c>
      <c r="AD20" s="25">
        <v>40498</v>
      </c>
      <c r="AE20" s="38">
        <v>1.73</v>
      </c>
      <c r="AF20" s="36">
        <v>298442</v>
      </c>
      <c r="AG20" s="36">
        <v>172730</v>
      </c>
      <c r="AH20" s="27"/>
    </row>
    <row r="21" spans="1:34" ht="10.5" customHeight="1" x14ac:dyDescent="0.15">
      <c r="A21" s="22" t="s">
        <v>120</v>
      </c>
      <c r="B21" s="44">
        <v>5</v>
      </c>
      <c r="C21" s="44">
        <f>_xlfn.XLOOKUP(Tabelle1[[#This Row],[Spalte1]],[1]KeyMetrics2021!$A:$A,[1]KeyMetrics2021!$B:$B,"Nicht vorhanden")</f>
        <v>5</v>
      </c>
      <c r="D21" s="45">
        <v>39543</v>
      </c>
      <c r="E21" s="45">
        <v>213191</v>
      </c>
      <c r="F21" s="45">
        <v>213191</v>
      </c>
      <c r="G21" s="45">
        <v>213191</v>
      </c>
      <c r="H21" s="45">
        <v>494293</v>
      </c>
      <c r="I21" s="46">
        <v>0.43099999999999999</v>
      </c>
      <c r="J21" s="46">
        <v>0.43099999999999999</v>
      </c>
      <c r="K21" s="46">
        <v>0.43099999999999999</v>
      </c>
      <c r="L21" s="46">
        <v>0</v>
      </c>
      <c r="M21" s="65">
        <f>Tabelle1[[#This Row],[Spalte12]]-Tabelle1[[#This Row],[Spalte11]]</f>
        <v>7.0000000000000007E-2</v>
      </c>
      <c r="N21" s="46">
        <v>7.0000000000000007E-2</v>
      </c>
      <c r="O21" s="46">
        <v>8.5000000000000006E-2</v>
      </c>
      <c r="P21" s="46">
        <v>0.105</v>
      </c>
      <c r="Q21" s="46">
        <v>0.151</v>
      </c>
      <c r="R21" s="45">
        <v>1409990</v>
      </c>
      <c r="S21" s="39">
        <v>2.86</v>
      </c>
      <c r="T21" s="45">
        <v>362082</v>
      </c>
      <c r="U21" s="45">
        <v>126731</v>
      </c>
      <c r="V21" s="39">
        <v>1.92</v>
      </c>
      <c r="W21" s="45">
        <v>281413</v>
      </c>
      <c r="X21" s="45">
        <v>146622</v>
      </c>
      <c r="Y21" s="39">
        <v>1.96</v>
      </c>
      <c r="Z21" s="45">
        <v>238213</v>
      </c>
      <c r="AA21" s="45">
        <v>121815</v>
      </c>
      <c r="AB21" s="39">
        <v>1.78</v>
      </c>
      <c r="AC21" s="45">
        <v>428888</v>
      </c>
      <c r="AD21" s="45">
        <v>240615</v>
      </c>
      <c r="AE21" s="38">
        <v>2</v>
      </c>
      <c r="AF21" s="47">
        <v>720142</v>
      </c>
      <c r="AG21" s="47">
        <v>360687</v>
      </c>
      <c r="AH21" s="27"/>
    </row>
    <row r="22" spans="1:34" ht="10.5" customHeight="1" x14ac:dyDescent="0.15">
      <c r="A22" s="23" t="s">
        <v>128</v>
      </c>
      <c r="B22" s="48">
        <v>4</v>
      </c>
      <c r="C22" s="48">
        <f>_xlfn.XLOOKUP(Tabelle1[[#This Row],[Spalte1]],[1]KeyMetrics2021!$A:$A,[1]KeyMetrics2021!$B:$B,"Nicht vorhanden")</f>
        <v>4</v>
      </c>
      <c r="D22" s="25">
        <v>112177</v>
      </c>
      <c r="E22" s="25">
        <v>1183299</v>
      </c>
      <c r="F22" s="25">
        <v>1182529</v>
      </c>
      <c r="G22" s="25">
        <v>1182529</v>
      </c>
      <c r="H22" s="25">
        <v>1402216</v>
      </c>
      <c r="I22" s="26">
        <v>0.84299999999999997</v>
      </c>
      <c r="J22" s="26">
        <v>0.84299999999999997</v>
      </c>
      <c r="K22" s="26">
        <v>0.84399999999999997</v>
      </c>
      <c r="L22" s="26">
        <v>0</v>
      </c>
      <c r="M22" s="66">
        <f>Tabelle1[[#This Row],[Spalte12]]-Tabelle1[[#This Row],[Spalte11]]</f>
        <v>7.3999999999999996E-2</v>
      </c>
      <c r="N22" s="26">
        <v>7.3999999999999996E-2</v>
      </c>
      <c r="O22" s="26">
        <v>0.09</v>
      </c>
      <c r="P22" s="26">
        <v>0.112</v>
      </c>
      <c r="Q22" s="26">
        <v>0.33500000000000002</v>
      </c>
      <c r="R22" s="25">
        <v>3527349</v>
      </c>
      <c r="S22" s="24">
        <v>1.52</v>
      </c>
      <c r="T22" s="25">
        <v>1056808</v>
      </c>
      <c r="U22" s="25">
        <v>694086</v>
      </c>
      <c r="V22" s="24">
        <v>1.66</v>
      </c>
      <c r="W22" s="25">
        <v>1069554</v>
      </c>
      <c r="X22" s="25">
        <v>644171</v>
      </c>
      <c r="Y22" s="24">
        <v>1.85</v>
      </c>
      <c r="Z22" s="25">
        <v>1134203</v>
      </c>
      <c r="AA22" s="25">
        <v>614065</v>
      </c>
      <c r="AB22" s="24">
        <v>2.13</v>
      </c>
      <c r="AC22" s="25">
        <v>1100854</v>
      </c>
      <c r="AD22" s="25">
        <v>516713</v>
      </c>
      <c r="AE22" s="38">
        <v>2.17</v>
      </c>
      <c r="AF22" s="36">
        <v>2678590</v>
      </c>
      <c r="AG22" s="36">
        <v>1236566</v>
      </c>
      <c r="AH22" s="27"/>
    </row>
    <row r="23" spans="1:34" ht="10.5" customHeight="1" x14ac:dyDescent="0.15">
      <c r="A23" s="22" t="s">
        <v>129</v>
      </c>
      <c r="B23" s="44">
        <v>4</v>
      </c>
      <c r="C23" s="44">
        <f>_xlfn.XLOOKUP(Tabelle1[[#This Row],[Spalte1]],[1]KeyMetrics2021!$A:$A,[1]KeyMetrics2021!$B:$B,"Nicht vorhanden")</f>
        <v>4</v>
      </c>
      <c r="D23" s="45">
        <v>158899</v>
      </c>
      <c r="E23" s="45">
        <v>319874</v>
      </c>
      <c r="F23" s="45">
        <v>319874</v>
      </c>
      <c r="G23" s="45">
        <v>319874</v>
      </c>
      <c r="H23" s="45">
        <v>1986232</v>
      </c>
      <c r="I23" s="46">
        <v>0.161</v>
      </c>
      <c r="J23" s="46">
        <v>0.161</v>
      </c>
      <c r="K23" s="46">
        <v>0.161</v>
      </c>
      <c r="L23" s="46">
        <v>1.7000000000000001E-2</v>
      </c>
      <c r="M23" s="65">
        <f>Tabelle1[[#This Row],[Spalte12]]-Tabelle1[[#This Row],[Spalte11]]</f>
        <v>7.3999999999999996E-2</v>
      </c>
      <c r="N23" s="46">
        <v>9.0999999999999998E-2</v>
      </c>
      <c r="O23" s="46">
        <v>0.107</v>
      </c>
      <c r="P23" s="46">
        <v>0.129</v>
      </c>
      <c r="Q23" s="46">
        <v>6.7000000000000004E-2</v>
      </c>
      <c r="R23" s="45">
        <v>4768233</v>
      </c>
      <c r="S23" s="39">
        <v>1.79</v>
      </c>
      <c r="T23" s="45">
        <v>505048</v>
      </c>
      <c r="U23" s="45">
        <v>281627</v>
      </c>
      <c r="V23" s="39">
        <v>1.74</v>
      </c>
      <c r="W23" s="45">
        <v>504126</v>
      </c>
      <c r="X23" s="45">
        <v>290232</v>
      </c>
      <c r="Y23" s="39">
        <v>1.47</v>
      </c>
      <c r="Z23" s="45">
        <v>431766</v>
      </c>
      <c r="AA23" s="45">
        <v>293388</v>
      </c>
      <c r="AB23" s="39">
        <v>1.3</v>
      </c>
      <c r="AC23" s="45">
        <v>403367</v>
      </c>
      <c r="AD23" s="45">
        <v>311055</v>
      </c>
      <c r="AE23" s="38">
        <v>1.31</v>
      </c>
      <c r="AF23" s="47">
        <v>4110640</v>
      </c>
      <c r="AG23" s="47">
        <v>3132749</v>
      </c>
      <c r="AH23" s="27"/>
    </row>
    <row r="24" spans="1:34" ht="10.5" customHeight="1" x14ac:dyDescent="0.15">
      <c r="A24" s="23" t="s">
        <v>60</v>
      </c>
      <c r="B24" s="48">
        <v>5</v>
      </c>
      <c r="C24" s="48">
        <f>_xlfn.XLOOKUP(Tabelle1[[#This Row],[Spalte1]],[1]KeyMetrics2021!$A:$A,[1]KeyMetrics2021!$B:$B,"Nicht vorhanden")</f>
        <v>5</v>
      </c>
      <c r="D24" s="25">
        <v>41556</v>
      </c>
      <c r="E24" s="25">
        <v>87767</v>
      </c>
      <c r="F24" s="25">
        <v>87767</v>
      </c>
      <c r="G24" s="25">
        <v>87767</v>
      </c>
      <c r="H24" s="25">
        <v>519454</v>
      </c>
      <c r="I24" s="26">
        <v>0.16900000000000001</v>
      </c>
      <c r="J24" s="26">
        <v>0.16900000000000001</v>
      </c>
      <c r="K24" s="26">
        <v>0.16900000000000001</v>
      </c>
      <c r="L24" s="26">
        <v>1.7000000000000001E-2</v>
      </c>
      <c r="M24" s="66">
        <f>Tabelle1[[#This Row],[Spalte12]]-Tabelle1[[#This Row],[Spalte11]]</f>
        <v>6.9999999999999993E-2</v>
      </c>
      <c r="N24" s="26">
        <v>8.6999999999999994E-2</v>
      </c>
      <c r="O24" s="26">
        <v>0.10199999999999999</v>
      </c>
      <c r="P24" s="26">
        <v>0.122</v>
      </c>
      <c r="Q24" s="26">
        <v>7.2999999999999995E-2</v>
      </c>
      <c r="R24" s="25">
        <v>1203620</v>
      </c>
      <c r="S24" s="24">
        <v>2.0499999999999998</v>
      </c>
      <c r="T24" s="25">
        <v>113934</v>
      </c>
      <c r="U24" s="25">
        <v>55462</v>
      </c>
      <c r="V24" s="24">
        <v>2.5099999999999998</v>
      </c>
      <c r="W24" s="25">
        <v>129574</v>
      </c>
      <c r="X24" s="25">
        <v>51608</v>
      </c>
      <c r="Y24" s="24">
        <v>1.96</v>
      </c>
      <c r="Z24" s="25">
        <v>120561</v>
      </c>
      <c r="AA24" s="25">
        <v>61523</v>
      </c>
      <c r="AB24" s="24">
        <v>1.68</v>
      </c>
      <c r="AC24" s="25">
        <v>112432</v>
      </c>
      <c r="AD24" s="25">
        <v>67063</v>
      </c>
      <c r="AE24" s="38">
        <v>1.32</v>
      </c>
      <c r="AF24" s="36">
        <v>1074957</v>
      </c>
      <c r="AG24" s="36">
        <v>816138</v>
      </c>
      <c r="AH24" s="27"/>
    </row>
    <row r="25" spans="1:34" ht="10.5" customHeight="1" x14ac:dyDescent="0.15">
      <c r="A25" s="22" t="s">
        <v>68</v>
      </c>
      <c r="B25" s="44">
        <v>4</v>
      </c>
      <c r="C25" s="44">
        <f>_xlfn.XLOOKUP(Tabelle1[[#This Row],[Spalte1]],[1]KeyMetrics2021!$A:$A,[1]KeyMetrics2021!$B:$B,"Nicht vorhanden")</f>
        <v>4</v>
      </c>
      <c r="D25" s="45">
        <v>462078</v>
      </c>
      <c r="E25" s="45">
        <v>829034</v>
      </c>
      <c r="F25" s="45">
        <v>576307</v>
      </c>
      <c r="G25" s="45">
        <v>666307</v>
      </c>
      <c r="H25" s="45">
        <v>5775978</v>
      </c>
      <c r="I25" s="46">
        <v>0.1</v>
      </c>
      <c r="J25" s="46">
        <v>0.115</v>
      </c>
      <c r="K25" s="46">
        <v>0.14399999999999999</v>
      </c>
      <c r="L25" s="46">
        <v>8.9999999999999993E-3</v>
      </c>
      <c r="M25" s="65">
        <f>Tabelle1[[#This Row],[Spalte12]]-Tabelle1[[#This Row],[Spalte11]]</f>
        <v>7.400000000000001E-2</v>
      </c>
      <c r="N25" s="46">
        <v>8.3000000000000004E-2</v>
      </c>
      <c r="O25" s="46">
        <v>9.9000000000000005E-2</v>
      </c>
      <c r="P25" s="46">
        <v>0.121</v>
      </c>
      <c r="Q25" s="46">
        <v>0.05</v>
      </c>
      <c r="R25" s="45">
        <v>13410878</v>
      </c>
      <c r="S25" s="39">
        <v>2.52</v>
      </c>
      <c r="T25" s="45">
        <v>2044368</v>
      </c>
      <c r="U25" s="45">
        <v>809953</v>
      </c>
      <c r="V25" s="39">
        <v>2.2799999999999998</v>
      </c>
      <c r="W25" s="45">
        <v>2153836</v>
      </c>
      <c r="X25" s="45">
        <v>946685</v>
      </c>
      <c r="Y25" s="39">
        <v>1.93</v>
      </c>
      <c r="Z25" s="45">
        <v>2068260</v>
      </c>
      <c r="AA25" s="45">
        <v>1069382</v>
      </c>
      <c r="AB25" s="39">
        <v>1.75</v>
      </c>
      <c r="AC25" s="45">
        <v>2122368</v>
      </c>
      <c r="AD25" s="45">
        <v>1212085</v>
      </c>
      <c r="AE25" s="38">
        <v>1.1200000000000001</v>
      </c>
      <c r="AF25" s="47">
        <v>7574500</v>
      </c>
      <c r="AG25" s="47">
        <v>6770839</v>
      </c>
      <c r="AH25" s="27"/>
    </row>
    <row r="26" spans="1:34" ht="10.5" customHeight="1" x14ac:dyDescent="0.15">
      <c r="A26" s="23" t="s">
        <v>51</v>
      </c>
      <c r="B26" s="48">
        <v>3</v>
      </c>
      <c r="C26" s="48">
        <f>_xlfn.XLOOKUP(Tabelle1[[#This Row],[Spalte1]],[1]KeyMetrics2021!$A:$A,[1]KeyMetrics2021!$B:$B,"Nicht vorhanden")</f>
        <v>3</v>
      </c>
      <c r="D26" s="25">
        <v>616111</v>
      </c>
      <c r="E26" s="25">
        <v>1413352</v>
      </c>
      <c r="F26" s="25">
        <v>1303124</v>
      </c>
      <c r="G26" s="25">
        <v>1393124</v>
      </c>
      <c r="H26" s="25">
        <v>7701384</v>
      </c>
      <c r="I26" s="26">
        <v>0.16900000000000001</v>
      </c>
      <c r="J26" s="26">
        <v>0.18099999999999999</v>
      </c>
      <c r="K26" s="26">
        <v>0.184</v>
      </c>
      <c r="L26" s="26">
        <v>1.7999999999999999E-2</v>
      </c>
      <c r="M26" s="66">
        <f>Tabelle1[[#This Row],[Spalte12]]-Tabelle1[[#This Row],[Spalte11]]</f>
        <v>7.8E-2</v>
      </c>
      <c r="N26" s="26">
        <v>9.6000000000000002E-2</v>
      </c>
      <c r="O26" s="26">
        <v>0.114</v>
      </c>
      <c r="P26" s="26">
        <v>0.13800000000000001</v>
      </c>
      <c r="Q26" s="26">
        <v>7.0999999999999994E-2</v>
      </c>
      <c r="R26" s="25">
        <v>19598876</v>
      </c>
      <c r="S26" s="24">
        <v>1.51</v>
      </c>
      <c r="T26" s="25">
        <v>4097540</v>
      </c>
      <c r="U26" s="25">
        <v>2710124</v>
      </c>
      <c r="V26" s="24">
        <v>1.48</v>
      </c>
      <c r="W26" s="25">
        <v>3924973</v>
      </c>
      <c r="X26" s="25">
        <v>2644902</v>
      </c>
      <c r="Y26" s="24">
        <v>1.47</v>
      </c>
      <c r="Z26" s="25">
        <v>3538470</v>
      </c>
      <c r="AA26" s="25">
        <v>2410770</v>
      </c>
      <c r="AB26" s="24">
        <v>1.59</v>
      </c>
      <c r="AC26" s="25">
        <v>2193079</v>
      </c>
      <c r="AD26" s="25">
        <v>1375137</v>
      </c>
      <c r="AE26" s="38">
        <v>1.32</v>
      </c>
      <c r="AF26" s="36">
        <v>16248272</v>
      </c>
      <c r="AG26" s="36">
        <v>12280869</v>
      </c>
      <c r="AH26" s="27"/>
    </row>
    <row r="27" spans="1:34" ht="10.5" customHeight="1" x14ac:dyDescent="0.15">
      <c r="A27" s="22" t="s">
        <v>19</v>
      </c>
      <c r="B27" s="44">
        <v>4</v>
      </c>
      <c r="C27" s="44">
        <f>_xlfn.XLOOKUP(Tabelle1[[#This Row],[Spalte1]],[1]KeyMetrics2021!$A:$A,[1]KeyMetrics2021!$B:$B,"Nicht vorhanden")</f>
        <v>4</v>
      </c>
      <c r="D27" s="45">
        <v>56412</v>
      </c>
      <c r="E27" s="45">
        <v>127313</v>
      </c>
      <c r="F27" s="45">
        <v>117983</v>
      </c>
      <c r="G27" s="45">
        <v>117983</v>
      </c>
      <c r="H27" s="45">
        <v>705153</v>
      </c>
      <c r="I27" s="46">
        <v>0.16700000000000001</v>
      </c>
      <c r="J27" s="46">
        <v>0.16700000000000001</v>
      </c>
      <c r="K27" s="46">
        <v>0.18099999999999999</v>
      </c>
      <c r="L27" s="46">
        <v>1.4E-2</v>
      </c>
      <c r="M27" s="65">
        <f>Tabelle1[[#This Row],[Spalte12]]-Tabelle1[[#This Row],[Spalte11]]</f>
        <v>7.3999999999999996E-2</v>
      </c>
      <c r="N27" s="46">
        <v>8.7999999999999995E-2</v>
      </c>
      <c r="O27" s="46">
        <v>0.104</v>
      </c>
      <c r="P27" s="46">
        <v>0.126</v>
      </c>
      <c r="Q27" s="46">
        <v>7.0999999999999994E-2</v>
      </c>
      <c r="R27" s="45">
        <v>1669616</v>
      </c>
      <c r="S27" s="39">
        <v>2.54</v>
      </c>
      <c r="T27" s="45">
        <v>302341</v>
      </c>
      <c r="U27" s="45">
        <v>119075</v>
      </c>
      <c r="V27" s="39">
        <v>2.64</v>
      </c>
      <c r="W27" s="45">
        <v>299476</v>
      </c>
      <c r="X27" s="45">
        <v>113600</v>
      </c>
      <c r="Y27" s="39">
        <v>2.71</v>
      </c>
      <c r="Z27" s="45">
        <v>324131</v>
      </c>
      <c r="AA27" s="45">
        <v>119452</v>
      </c>
      <c r="AB27" s="39">
        <v>2.27</v>
      </c>
      <c r="AC27" s="45">
        <v>310439</v>
      </c>
      <c r="AD27" s="45">
        <v>136527</v>
      </c>
      <c r="AE27" s="38">
        <v>1.32</v>
      </c>
      <c r="AF27" s="47">
        <v>1337015</v>
      </c>
      <c r="AG27" s="47">
        <v>1015079</v>
      </c>
      <c r="AH27" s="27"/>
    </row>
    <row r="28" spans="1:34" ht="10.5" customHeight="1" x14ac:dyDescent="0.15">
      <c r="A28" s="23" t="s">
        <v>40</v>
      </c>
      <c r="B28" s="48">
        <v>3</v>
      </c>
      <c r="C28" s="48">
        <f>_xlfn.XLOOKUP(Tabelle1[[#This Row],[Spalte1]],[1]KeyMetrics2021!$A:$A,[1]KeyMetrics2021!$B:$B,"Nicht vorhanden")</f>
        <v>3</v>
      </c>
      <c r="D28" s="25">
        <v>742125</v>
      </c>
      <c r="E28" s="25">
        <v>2675788</v>
      </c>
      <c r="F28" s="25">
        <v>2619114</v>
      </c>
      <c r="G28" s="25">
        <v>2619114</v>
      </c>
      <c r="H28" s="25">
        <v>9276566</v>
      </c>
      <c r="I28" s="26">
        <v>0.28199999999999997</v>
      </c>
      <c r="J28" s="26">
        <v>0.28199999999999997</v>
      </c>
      <c r="K28" s="26">
        <v>0.28799999999999998</v>
      </c>
      <c r="L28" s="26">
        <v>0</v>
      </c>
      <c r="M28" s="66">
        <f>Tabelle1[[#This Row],[Spalte12]]-Tabelle1[[#This Row],[Spalte11]]</f>
        <v>7.8E-2</v>
      </c>
      <c r="N28" s="26">
        <v>7.8E-2</v>
      </c>
      <c r="O28" s="26">
        <v>9.6000000000000002E-2</v>
      </c>
      <c r="P28" s="26">
        <v>0.12</v>
      </c>
      <c r="Q28" s="26">
        <v>7.0999999999999994E-2</v>
      </c>
      <c r="R28" s="25">
        <v>36835780</v>
      </c>
      <c r="S28" s="24">
        <v>1.54</v>
      </c>
      <c r="T28" s="25">
        <v>11065063</v>
      </c>
      <c r="U28" s="25">
        <v>7179678</v>
      </c>
      <c r="V28" s="24">
        <v>1.79</v>
      </c>
      <c r="W28" s="25">
        <v>13861336</v>
      </c>
      <c r="X28" s="25">
        <v>7762974</v>
      </c>
      <c r="Y28" s="24">
        <v>1.67</v>
      </c>
      <c r="Z28" s="25">
        <v>15107928</v>
      </c>
      <c r="AA28" s="25">
        <v>9050272</v>
      </c>
      <c r="AB28" s="24">
        <v>1.69</v>
      </c>
      <c r="AC28" s="25">
        <v>15469247</v>
      </c>
      <c r="AD28" s="25">
        <v>9133020</v>
      </c>
      <c r="AE28" s="38">
        <v>1.38</v>
      </c>
      <c r="AF28" s="36">
        <v>15817739</v>
      </c>
      <c r="AG28" s="36">
        <v>11444005</v>
      </c>
      <c r="AH28" s="27"/>
    </row>
    <row r="29" spans="1:34" ht="10.5" customHeight="1" x14ac:dyDescent="0.15">
      <c r="A29" s="22" t="s">
        <v>34</v>
      </c>
      <c r="B29" s="44">
        <v>3</v>
      </c>
      <c r="C29" s="44">
        <f>_xlfn.XLOOKUP(Tabelle1[[#This Row],[Spalte1]],[1]KeyMetrics2021!$A:$A,[1]KeyMetrics2021!$B:$B,"Nicht vorhanden")</f>
        <v>3</v>
      </c>
      <c r="D29" s="45">
        <v>1687236</v>
      </c>
      <c r="E29" s="45">
        <v>4282092</v>
      </c>
      <c r="F29" s="45">
        <v>3321246</v>
      </c>
      <c r="G29" s="45">
        <v>4173647</v>
      </c>
      <c r="H29" s="45">
        <v>21090450</v>
      </c>
      <c r="I29" s="46">
        <v>0.157</v>
      </c>
      <c r="J29" s="46">
        <v>0.19800000000000001</v>
      </c>
      <c r="K29" s="46">
        <v>0.20300000000000001</v>
      </c>
      <c r="L29" s="46">
        <v>2E-3</v>
      </c>
      <c r="M29" s="65">
        <f>Tabelle1[[#This Row],[Spalte12]]-Tabelle1[[#This Row],[Spalte11]]</f>
        <v>7.8E-2</v>
      </c>
      <c r="N29" s="46">
        <v>0.08</v>
      </c>
      <c r="O29" s="46">
        <v>9.8000000000000004E-2</v>
      </c>
      <c r="P29" s="46">
        <v>0.122</v>
      </c>
      <c r="Q29" s="46">
        <v>4.2000000000000003E-2</v>
      </c>
      <c r="R29" s="45">
        <v>99365242</v>
      </c>
      <c r="S29" s="39">
        <v>1.77</v>
      </c>
      <c r="T29" s="45">
        <v>27851934</v>
      </c>
      <c r="U29" s="45">
        <v>15702009</v>
      </c>
      <c r="V29" s="39">
        <v>1.84</v>
      </c>
      <c r="W29" s="45">
        <v>26121220</v>
      </c>
      <c r="X29" s="45">
        <v>14206629</v>
      </c>
      <c r="Y29" s="39">
        <v>1.9</v>
      </c>
      <c r="Z29" s="45">
        <v>25446830</v>
      </c>
      <c r="AA29" s="45">
        <v>13417879</v>
      </c>
      <c r="AB29" s="39">
        <v>2.13</v>
      </c>
      <c r="AC29" s="45">
        <v>21446954</v>
      </c>
      <c r="AD29" s="45">
        <v>10085661</v>
      </c>
      <c r="AE29" s="38">
        <v>1.35</v>
      </c>
      <c r="AF29" s="47">
        <v>57956075</v>
      </c>
      <c r="AG29" s="47">
        <v>42851258</v>
      </c>
      <c r="AH29" s="27"/>
    </row>
    <row r="30" spans="1:34" ht="10.5" customHeight="1" x14ac:dyDescent="0.15">
      <c r="A30" s="23" t="s">
        <v>61</v>
      </c>
      <c r="B30" s="48">
        <v>4</v>
      </c>
      <c r="C30" s="48">
        <f>_xlfn.XLOOKUP(Tabelle1[[#This Row],[Spalte1]],[1]KeyMetrics2021!$A:$A,[1]KeyMetrics2021!$B:$B,"Nicht vorhanden")</f>
        <v>4</v>
      </c>
      <c r="D30" s="25">
        <v>301023</v>
      </c>
      <c r="E30" s="25">
        <v>579547</v>
      </c>
      <c r="F30" s="25">
        <v>579547</v>
      </c>
      <c r="G30" s="25">
        <v>579547</v>
      </c>
      <c r="H30" s="25">
        <v>3762793</v>
      </c>
      <c r="I30" s="26">
        <v>0.154</v>
      </c>
      <c r="J30" s="26">
        <v>0.154</v>
      </c>
      <c r="K30" s="26">
        <v>0.154</v>
      </c>
      <c r="L30" s="26">
        <v>1.2999999999999999E-2</v>
      </c>
      <c r="M30" s="66">
        <f>Tabelle1[[#This Row],[Spalte12]]-Tabelle1[[#This Row],[Spalte11]]</f>
        <v>7.3999999999999996E-2</v>
      </c>
      <c r="N30" s="26">
        <v>8.6999999999999994E-2</v>
      </c>
      <c r="O30" s="26">
        <v>0.10299999999999999</v>
      </c>
      <c r="P30" s="26">
        <v>0.125</v>
      </c>
      <c r="Q30" s="26">
        <v>6.9000000000000006E-2</v>
      </c>
      <c r="R30" s="25">
        <v>8341272</v>
      </c>
      <c r="S30" s="24">
        <v>1.33</v>
      </c>
      <c r="T30" s="25">
        <v>1703256</v>
      </c>
      <c r="U30" s="25">
        <v>1280099</v>
      </c>
      <c r="V30" s="24">
        <v>1.33</v>
      </c>
      <c r="W30" s="25">
        <v>1698120</v>
      </c>
      <c r="X30" s="25">
        <v>1277128</v>
      </c>
      <c r="Y30" s="24">
        <v>1.28</v>
      </c>
      <c r="Z30" s="25">
        <v>1412470</v>
      </c>
      <c r="AA30" s="25">
        <v>1107102</v>
      </c>
      <c r="AB30" s="24">
        <v>1.31</v>
      </c>
      <c r="AC30" s="25">
        <v>959532</v>
      </c>
      <c r="AD30" s="25">
        <v>733536</v>
      </c>
      <c r="AE30" s="38">
        <v>1.17</v>
      </c>
      <c r="AF30" s="36">
        <v>6051030</v>
      </c>
      <c r="AG30" s="36">
        <v>5173836</v>
      </c>
      <c r="AH30" s="27"/>
    </row>
    <row r="31" spans="1:34" ht="10.5" customHeight="1" x14ac:dyDescent="0.15">
      <c r="A31" s="22" t="s">
        <v>119</v>
      </c>
      <c r="B31" s="44">
        <v>5</v>
      </c>
      <c r="C31" s="44">
        <f>_xlfn.XLOOKUP(Tabelle1[[#This Row],[Spalte1]],[1]KeyMetrics2021!$A:$A,[1]KeyMetrics2021!$B:$B,"Nicht vorhanden")</f>
        <v>5</v>
      </c>
      <c r="D31" s="45">
        <v>6833</v>
      </c>
      <c r="E31" s="45">
        <v>27338</v>
      </c>
      <c r="F31" s="45">
        <v>27338</v>
      </c>
      <c r="G31" s="45">
        <v>27338</v>
      </c>
      <c r="H31" s="45">
        <v>85411</v>
      </c>
      <c r="I31" s="46">
        <v>0.32</v>
      </c>
      <c r="J31" s="46">
        <v>0.32</v>
      </c>
      <c r="K31" s="46">
        <v>0.32</v>
      </c>
      <c r="L31" s="46">
        <v>0</v>
      </c>
      <c r="M31" s="65">
        <f>Tabelle1[[#This Row],[Spalte12]]-Tabelle1[[#This Row],[Spalte11]]</f>
        <v>7.0000000000000007E-2</v>
      </c>
      <c r="N31" s="46">
        <v>7.0000000000000007E-2</v>
      </c>
      <c r="O31" s="46">
        <v>8.5000000000000006E-2</v>
      </c>
      <c r="P31" s="46">
        <v>0.105</v>
      </c>
      <c r="Q31" s="46">
        <v>6.7000000000000004E-2</v>
      </c>
      <c r="R31" s="45">
        <v>409522</v>
      </c>
      <c r="S31" s="39">
        <v>2.13</v>
      </c>
      <c r="T31" s="45">
        <v>101016</v>
      </c>
      <c r="U31" s="45">
        <v>47326</v>
      </c>
      <c r="V31" s="39">
        <v>2.0299999999999998</v>
      </c>
      <c r="W31" s="45">
        <v>131366</v>
      </c>
      <c r="X31" s="45">
        <v>64799</v>
      </c>
      <c r="Y31" s="39">
        <v>2.2799999999999998</v>
      </c>
      <c r="Z31" s="45">
        <v>111003</v>
      </c>
      <c r="AA31" s="45">
        <v>48680</v>
      </c>
      <c r="AB31" s="39">
        <v>2.91</v>
      </c>
      <c r="AC31" s="45">
        <v>165025</v>
      </c>
      <c r="AD31" s="45">
        <v>56662</v>
      </c>
      <c r="AE31" s="38">
        <v>2.82</v>
      </c>
      <c r="AF31" s="47">
        <v>250861</v>
      </c>
      <c r="AG31" s="47">
        <v>89037</v>
      </c>
      <c r="AH31" s="27"/>
    </row>
    <row r="32" spans="1:34" ht="10.5" customHeight="1" x14ac:dyDescent="0.15">
      <c r="A32" s="23" t="s">
        <v>38</v>
      </c>
      <c r="B32" s="48">
        <v>3</v>
      </c>
      <c r="C32" s="48">
        <f>_xlfn.XLOOKUP(Tabelle1[[#This Row],[Spalte1]],[1]KeyMetrics2021!$A:$A,[1]KeyMetrics2021!$B:$B,"Nicht vorhanden")</f>
        <v>3</v>
      </c>
      <c r="D32" s="25">
        <v>366954</v>
      </c>
      <c r="E32" s="25">
        <v>1262736</v>
      </c>
      <c r="F32" s="25">
        <v>1161371</v>
      </c>
      <c r="G32" s="25">
        <v>1161371</v>
      </c>
      <c r="H32" s="25">
        <v>4586928</v>
      </c>
      <c r="I32" s="26">
        <v>0.253</v>
      </c>
      <c r="J32" s="26">
        <v>0.253</v>
      </c>
      <c r="K32" s="26">
        <v>0.27500000000000002</v>
      </c>
      <c r="L32" s="26">
        <v>2E-3</v>
      </c>
      <c r="M32" s="66">
        <f>Tabelle1[[#This Row],[Spalte12]]-Tabelle1[[#This Row],[Spalte11]]</f>
        <v>7.8E-2</v>
      </c>
      <c r="N32" s="26">
        <v>0.08</v>
      </c>
      <c r="O32" s="26">
        <v>9.8000000000000004E-2</v>
      </c>
      <c r="P32" s="26">
        <v>0.122</v>
      </c>
      <c r="Q32" s="26">
        <v>5.3999999999999999E-2</v>
      </c>
      <c r="R32" s="25">
        <v>21631422</v>
      </c>
      <c r="S32" s="24">
        <v>1.35</v>
      </c>
      <c r="T32" s="25">
        <v>7494124</v>
      </c>
      <c r="U32" s="25">
        <v>5537376</v>
      </c>
      <c r="V32" s="24">
        <v>1.44</v>
      </c>
      <c r="W32" s="25">
        <v>8654527</v>
      </c>
      <c r="X32" s="25">
        <v>6014912</v>
      </c>
      <c r="Y32" s="24">
        <v>1.52</v>
      </c>
      <c r="Z32" s="25">
        <v>8616231</v>
      </c>
      <c r="AA32" s="25">
        <v>5654709</v>
      </c>
      <c r="AB32" s="24">
        <v>1.56</v>
      </c>
      <c r="AC32" s="25">
        <v>7277015</v>
      </c>
      <c r="AD32" s="25">
        <v>4660507</v>
      </c>
      <c r="AE32" s="38">
        <v>1.23</v>
      </c>
      <c r="AF32" s="36">
        <v>10791008</v>
      </c>
      <c r="AG32" s="36">
        <v>8768836</v>
      </c>
      <c r="AH32" s="27"/>
    </row>
    <row r="33" spans="1:34" ht="10.5" customHeight="1" x14ac:dyDescent="0.15">
      <c r="A33" s="22" t="s">
        <v>18</v>
      </c>
      <c r="B33" s="44">
        <v>5</v>
      </c>
      <c r="C33" s="44">
        <f>_xlfn.XLOOKUP(Tabelle1[[#This Row],[Spalte1]],[1]KeyMetrics2021!$A:$A,[1]KeyMetrics2021!$B:$B,"Nicht vorhanden")</f>
        <v>5</v>
      </c>
      <c r="D33" s="45">
        <v>47371</v>
      </c>
      <c r="E33" s="45">
        <v>91696</v>
      </c>
      <c r="F33" s="45">
        <v>88309</v>
      </c>
      <c r="G33" s="45">
        <v>88309</v>
      </c>
      <c r="H33" s="45">
        <v>592143</v>
      </c>
      <c r="I33" s="46">
        <v>0.14899999999999999</v>
      </c>
      <c r="J33" s="46">
        <v>0.14899999999999999</v>
      </c>
      <c r="K33" s="46">
        <v>0.155</v>
      </c>
      <c r="L33" s="46">
        <v>1.7999999999999999E-2</v>
      </c>
      <c r="M33" s="65">
        <f>Tabelle1[[#This Row],[Spalte12]]-Tabelle1[[#This Row],[Spalte11]]</f>
        <v>6.9999999999999993E-2</v>
      </c>
      <c r="N33" s="46">
        <v>8.7999999999999995E-2</v>
      </c>
      <c r="O33" s="46">
        <v>0.10299999999999999</v>
      </c>
      <c r="P33" s="46">
        <v>0.123</v>
      </c>
      <c r="Q33" s="46">
        <v>5.8999999999999997E-2</v>
      </c>
      <c r="R33" s="45">
        <v>1505876</v>
      </c>
      <c r="S33" s="39">
        <v>1.52</v>
      </c>
      <c r="T33" s="45">
        <v>227870</v>
      </c>
      <c r="U33" s="45">
        <v>150088</v>
      </c>
      <c r="V33" s="39">
        <v>1.52</v>
      </c>
      <c r="W33" s="45">
        <v>203256</v>
      </c>
      <c r="X33" s="45">
        <v>134031</v>
      </c>
      <c r="Y33" s="39">
        <v>1.75</v>
      </c>
      <c r="Z33" s="45">
        <v>164198</v>
      </c>
      <c r="AA33" s="45">
        <v>93837</v>
      </c>
      <c r="AB33" s="39">
        <v>1.36</v>
      </c>
      <c r="AC33" s="45">
        <v>149352</v>
      </c>
      <c r="AD33" s="45">
        <v>110172</v>
      </c>
      <c r="AE33" s="38">
        <v>1.17</v>
      </c>
      <c r="AF33" s="47">
        <v>1274501</v>
      </c>
      <c r="AG33" s="47">
        <v>1092617</v>
      </c>
      <c r="AH33" s="27"/>
    </row>
    <row r="34" spans="1:34" ht="10.5" customHeight="1" x14ac:dyDescent="0.15">
      <c r="A34" s="23" t="s">
        <v>117</v>
      </c>
      <c r="B34" s="48">
        <v>5</v>
      </c>
      <c r="C34" s="48">
        <f>_xlfn.XLOOKUP(Tabelle1[[#This Row],[Spalte1]],[1]KeyMetrics2021!$A:$A,[1]KeyMetrics2021!$B:$B,"Nicht vorhanden")</f>
        <v>5</v>
      </c>
      <c r="D34" s="25">
        <v>11962</v>
      </c>
      <c r="E34" s="25">
        <v>58129</v>
      </c>
      <c r="F34" s="25">
        <v>58045</v>
      </c>
      <c r="G34" s="25">
        <v>58045</v>
      </c>
      <c r="H34" s="25">
        <v>149531</v>
      </c>
      <c r="I34" s="26">
        <v>0.38800000000000001</v>
      </c>
      <c r="J34" s="26">
        <v>0.38800000000000001</v>
      </c>
      <c r="K34" s="26">
        <v>0.38900000000000001</v>
      </c>
      <c r="L34" s="26">
        <v>0</v>
      </c>
      <c r="M34" s="66">
        <f>Tabelle1[[#This Row],[Spalte12]]-Tabelle1[[#This Row],[Spalte11]]</f>
        <v>7.0000000000000007E-2</v>
      </c>
      <c r="N34" s="26">
        <v>7.0000000000000007E-2</v>
      </c>
      <c r="O34" s="26">
        <v>8.5000000000000006E-2</v>
      </c>
      <c r="P34" s="26">
        <v>0.105</v>
      </c>
      <c r="Q34" s="26">
        <v>0.105</v>
      </c>
      <c r="R34" s="25">
        <v>550891</v>
      </c>
      <c r="S34" s="24">
        <v>10.3</v>
      </c>
      <c r="T34" s="25">
        <v>353764</v>
      </c>
      <c r="U34" s="25">
        <v>34345</v>
      </c>
      <c r="V34" s="24">
        <v>10.78</v>
      </c>
      <c r="W34" s="25">
        <v>361755</v>
      </c>
      <c r="X34" s="25">
        <v>33573</v>
      </c>
      <c r="Y34" s="24">
        <v>10.029999999999999</v>
      </c>
      <c r="Z34" s="25">
        <v>318653</v>
      </c>
      <c r="AA34" s="25">
        <v>31764</v>
      </c>
      <c r="AB34" s="24">
        <v>9.3000000000000007</v>
      </c>
      <c r="AC34" s="25">
        <v>362354</v>
      </c>
      <c r="AD34" s="25">
        <v>38946</v>
      </c>
      <c r="AE34" s="38">
        <v>7</v>
      </c>
      <c r="AF34" s="36">
        <v>483705</v>
      </c>
      <c r="AG34" s="36">
        <v>69126</v>
      </c>
      <c r="AH34" s="27"/>
    </row>
    <row r="35" spans="1:34" ht="10.5" customHeight="1" x14ac:dyDescent="0.15">
      <c r="A35" s="22" t="s">
        <v>114</v>
      </c>
      <c r="B35" s="44">
        <v>5</v>
      </c>
      <c r="C35" s="44">
        <f>_xlfn.XLOOKUP(Tabelle1[[#This Row],[Spalte1]],[1]KeyMetrics2021!$A:$A,[1]KeyMetrics2021!$B:$B,"Nicht vorhanden")</f>
        <v>5</v>
      </c>
      <c r="D35" s="45">
        <v>252165</v>
      </c>
      <c r="E35" s="45">
        <v>472899</v>
      </c>
      <c r="F35" s="45">
        <v>367899</v>
      </c>
      <c r="G35" s="45">
        <v>407899</v>
      </c>
      <c r="H35" s="45">
        <v>3152064</v>
      </c>
      <c r="I35" s="46">
        <v>0.11700000000000001</v>
      </c>
      <c r="J35" s="46">
        <v>0.129</v>
      </c>
      <c r="K35" s="46">
        <v>0.15</v>
      </c>
      <c r="L35" s="46">
        <v>0</v>
      </c>
      <c r="M35" s="65">
        <f>Tabelle1[[#This Row],[Spalte12]]-Tabelle1[[#This Row],[Spalte11]]</f>
        <v>7.0000000000000007E-2</v>
      </c>
      <c r="N35" s="46">
        <v>7.0000000000000007E-2</v>
      </c>
      <c r="O35" s="46">
        <v>8.5000000000000006E-2</v>
      </c>
      <c r="P35" s="46">
        <v>0.105</v>
      </c>
      <c r="Q35" s="46">
        <v>8.5000000000000006E-2</v>
      </c>
      <c r="R35" s="45">
        <v>4813548</v>
      </c>
      <c r="S35" s="53" t="s">
        <v>220</v>
      </c>
      <c r="T35" s="53" t="s">
        <v>220</v>
      </c>
      <c r="U35" s="53" t="s">
        <v>220</v>
      </c>
      <c r="V35" s="53" t="s">
        <v>220</v>
      </c>
      <c r="W35" s="53" t="s">
        <v>220</v>
      </c>
      <c r="X35" s="53" t="s">
        <v>220</v>
      </c>
      <c r="Y35" s="53" t="s">
        <v>220</v>
      </c>
      <c r="Z35" s="53" t="s">
        <v>220</v>
      </c>
      <c r="AA35" s="53" t="s">
        <v>220</v>
      </c>
      <c r="AB35" s="53" t="s">
        <v>220</v>
      </c>
      <c r="AC35" s="53" t="s">
        <v>220</v>
      </c>
      <c r="AD35" s="53" t="s">
        <v>220</v>
      </c>
      <c r="AE35" s="53" t="s">
        <v>220</v>
      </c>
      <c r="AF35" s="53" t="s">
        <v>220</v>
      </c>
      <c r="AG35" s="53" t="s">
        <v>220</v>
      </c>
      <c r="AH35" s="27"/>
    </row>
    <row r="36" spans="1:34" ht="10.5" customHeight="1" x14ac:dyDescent="0.15">
      <c r="A36" s="23" t="s">
        <v>175</v>
      </c>
      <c r="B36" s="48">
        <v>4</v>
      </c>
      <c r="C36" s="48">
        <f>_xlfn.XLOOKUP(Tabelle1[[#This Row],[Spalte1]],[1]KeyMetrics2021!$A:$A,[1]KeyMetrics2021!$B:$B,"Nicht vorhanden")</f>
        <v>4</v>
      </c>
      <c r="D36" s="25">
        <v>28804</v>
      </c>
      <c r="E36" s="25">
        <v>194231</v>
      </c>
      <c r="F36" s="25">
        <v>187712</v>
      </c>
      <c r="G36" s="25">
        <v>187712</v>
      </c>
      <c r="H36" s="25">
        <v>360055</v>
      </c>
      <c r="I36" s="26">
        <v>0.52100000000000002</v>
      </c>
      <c r="J36" s="26">
        <v>0.52100000000000002</v>
      </c>
      <c r="K36" s="26">
        <v>0.53900000000000003</v>
      </c>
      <c r="L36" s="26">
        <v>0</v>
      </c>
      <c r="M36" s="66">
        <f>Tabelle1[[#This Row],[Spalte12]]-Tabelle1[[#This Row],[Spalte11]]</f>
        <v>7.3999999999999996E-2</v>
      </c>
      <c r="N36" s="26">
        <v>7.3999999999999996E-2</v>
      </c>
      <c r="O36" s="26">
        <v>0.09</v>
      </c>
      <c r="P36" s="26">
        <v>0.112</v>
      </c>
      <c r="Q36" s="26">
        <v>0.14000000000000001</v>
      </c>
      <c r="R36" s="25">
        <v>1340529</v>
      </c>
      <c r="S36" s="24">
        <v>3.55</v>
      </c>
      <c r="T36" s="25">
        <v>960686</v>
      </c>
      <c r="U36" s="25">
        <v>270415</v>
      </c>
      <c r="V36" s="24">
        <v>3.26</v>
      </c>
      <c r="W36" s="25">
        <v>802812</v>
      </c>
      <c r="X36" s="25">
        <v>246342</v>
      </c>
      <c r="Y36" s="24">
        <v>3.11</v>
      </c>
      <c r="Z36" s="25">
        <v>535673</v>
      </c>
      <c r="AA36" s="25">
        <v>172001</v>
      </c>
      <c r="AB36" s="24">
        <v>5.85</v>
      </c>
      <c r="AC36" s="25">
        <v>446772</v>
      </c>
      <c r="AD36" s="25">
        <v>76376</v>
      </c>
      <c r="AE36" s="38">
        <v>2.17</v>
      </c>
      <c r="AF36" s="36">
        <v>1104193</v>
      </c>
      <c r="AG36" s="36">
        <v>509106</v>
      </c>
      <c r="AH36" s="27"/>
    </row>
    <row r="37" spans="1:34" ht="10.5" customHeight="1" x14ac:dyDescent="0.15">
      <c r="A37" s="22" t="s">
        <v>204</v>
      </c>
      <c r="B37" s="44">
        <v>5</v>
      </c>
      <c r="C37" s="44" t="str">
        <f>_xlfn.XLOOKUP(Tabelle1[[#This Row],[Spalte1]],[1]KeyMetrics2021!$A:$A,[1]KeyMetrics2021!$B:$B,"Nicht vorhanden")</f>
        <v>Nicht vorhanden</v>
      </c>
      <c r="D37" s="45">
        <v>15410</v>
      </c>
      <c r="E37" s="45">
        <v>106850</v>
      </c>
      <c r="F37" s="45">
        <v>106588</v>
      </c>
      <c r="G37" s="45">
        <v>106588</v>
      </c>
      <c r="H37" s="45">
        <v>192620</v>
      </c>
      <c r="I37" s="46">
        <v>0.55300000000000005</v>
      </c>
      <c r="J37" s="46">
        <v>0.55300000000000005</v>
      </c>
      <c r="K37" s="46">
        <v>0.55500000000000005</v>
      </c>
      <c r="L37" s="46">
        <v>0</v>
      </c>
      <c r="M37" s="65">
        <f>Tabelle1[[#This Row],[Spalte12]]-Tabelle1[[#This Row],[Spalte11]]</f>
        <v>7.0000000000000007E-2</v>
      </c>
      <c r="N37" s="46">
        <v>7.0000000000000007E-2</v>
      </c>
      <c r="O37" s="46">
        <v>8.5000000000000006E-2</v>
      </c>
      <c r="P37" s="46">
        <v>0.105</v>
      </c>
      <c r="Q37" s="46">
        <v>0.27300000000000002</v>
      </c>
      <c r="R37" s="45">
        <v>390880</v>
      </c>
      <c r="S37" s="39">
        <v>4.91</v>
      </c>
      <c r="T37" s="45">
        <v>348022</v>
      </c>
      <c r="U37" s="45">
        <v>70816</v>
      </c>
      <c r="V37" s="39">
        <v>5.74</v>
      </c>
      <c r="W37" s="45">
        <v>232180</v>
      </c>
      <c r="X37" s="45">
        <v>40431</v>
      </c>
      <c r="Y37" s="39">
        <v>4.7699999999999996</v>
      </c>
      <c r="Z37" s="45">
        <v>186515</v>
      </c>
      <c r="AA37" s="45">
        <v>39138</v>
      </c>
      <c r="AB37" s="39">
        <v>3.35</v>
      </c>
      <c r="AC37" s="45">
        <v>142460</v>
      </c>
      <c r="AD37" s="45">
        <v>42567</v>
      </c>
      <c r="AE37" s="38">
        <v>1.9</v>
      </c>
      <c r="AF37" s="47">
        <v>345469</v>
      </c>
      <c r="AG37" s="47">
        <v>181520</v>
      </c>
      <c r="AH37" s="27"/>
    </row>
    <row r="38" spans="1:34" ht="10.5" customHeight="1" x14ac:dyDescent="0.15">
      <c r="A38" s="23" t="s">
        <v>10</v>
      </c>
      <c r="B38" s="48">
        <v>3</v>
      </c>
      <c r="C38" s="48">
        <f>_xlfn.XLOOKUP(Tabelle1[[#This Row],[Spalte1]],[1]KeyMetrics2021!$A:$A,[1]KeyMetrics2021!$B:$B,"Nicht vorhanden")</f>
        <v>3</v>
      </c>
      <c r="D38" s="25">
        <v>1021273</v>
      </c>
      <c r="E38" s="25">
        <v>2362642</v>
      </c>
      <c r="F38" s="25">
        <v>2360650</v>
      </c>
      <c r="G38" s="25">
        <v>2360650</v>
      </c>
      <c r="H38" s="25">
        <v>12765911</v>
      </c>
      <c r="I38" s="26">
        <v>0.185</v>
      </c>
      <c r="J38" s="26">
        <v>0.185</v>
      </c>
      <c r="K38" s="26">
        <v>0.185</v>
      </c>
      <c r="L38" s="26">
        <v>1.0999999999999999E-2</v>
      </c>
      <c r="M38" s="66">
        <f>Tabelle1[[#This Row],[Spalte12]]-Tabelle1[[#This Row],[Spalte11]]</f>
        <v>7.8E-2</v>
      </c>
      <c r="N38" s="26">
        <v>8.8999999999999996E-2</v>
      </c>
      <c r="O38" s="26">
        <v>0.107</v>
      </c>
      <c r="P38" s="26">
        <v>0.13100000000000001</v>
      </c>
      <c r="Q38" s="26">
        <v>8.5000000000000006E-2</v>
      </c>
      <c r="R38" s="25">
        <v>27721986</v>
      </c>
      <c r="S38" s="24">
        <v>2.04</v>
      </c>
      <c r="T38" s="25">
        <v>5063770</v>
      </c>
      <c r="U38" s="25">
        <v>2487639</v>
      </c>
      <c r="V38" s="24">
        <v>2.12</v>
      </c>
      <c r="W38" s="25">
        <v>4629024</v>
      </c>
      <c r="X38" s="25">
        <v>2185764</v>
      </c>
      <c r="Y38" s="24">
        <v>2.04</v>
      </c>
      <c r="Z38" s="25">
        <v>4759038</v>
      </c>
      <c r="AA38" s="25">
        <v>2328487</v>
      </c>
      <c r="AB38" s="24">
        <v>1.9</v>
      </c>
      <c r="AC38" s="25">
        <v>4390511</v>
      </c>
      <c r="AD38" s="25">
        <v>2311250</v>
      </c>
      <c r="AE38" s="38">
        <v>1.39</v>
      </c>
      <c r="AF38" s="36">
        <v>24008481</v>
      </c>
      <c r="AG38" s="36">
        <v>17268498</v>
      </c>
      <c r="AH38" s="27"/>
    </row>
    <row r="39" spans="1:34" ht="10.5" customHeight="1" x14ac:dyDescent="0.15">
      <c r="A39" s="22" t="s">
        <v>11</v>
      </c>
      <c r="B39" s="44">
        <v>3</v>
      </c>
      <c r="C39" s="44">
        <f>_xlfn.XLOOKUP(Tabelle1[[#This Row],[Spalte1]],[1]KeyMetrics2021!$A:$A,[1]KeyMetrics2021!$B:$B,"Nicht vorhanden")</f>
        <v>3</v>
      </c>
      <c r="D39" s="45">
        <v>1084370</v>
      </c>
      <c r="E39" s="45">
        <v>2231082</v>
      </c>
      <c r="F39" s="45">
        <v>1935327</v>
      </c>
      <c r="G39" s="45">
        <v>2070327</v>
      </c>
      <c r="H39" s="45">
        <v>13554628</v>
      </c>
      <c r="I39" s="46">
        <v>0.14299999999999999</v>
      </c>
      <c r="J39" s="46">
        <v>0.153</v>
      </c>
      <c r="K39" s="46">
        <v>0.16500000000000001</v>
      </c>
      <c r="L39" s="46">
        <v>7.0000000000000001E-3</v>
      </c>
      <c r="M39" s="65">
        <f>Tabelle1[[#This Row],[Spalte12]]-Tabelle1[[#This Row],[Spalte11]]</f>
        <v>7.8E-2</v>
      </c>
      <c r="N39" s="46">
        <v>8.5000000000000006E-2</v>
      </c>
      <c r="O39" s="46">
        <v>0.10299999999999999</v>
      </c>
      <c r="P39" s="46">
        <v>0.127</v>
      </c>
      <c r="Q39" s="46">
        <v>6.5000000000000002E-2</v>
      </c>
      <c r="R39" s="45">
        <v>31725431</v>
      </c>
      <c r="S39" s="39">
        <v>2.04</v>
      </c>
      <c r="T39" s="45">
        <v>7568783</v>
      </c>
      <c r="U39" s="45">
        <v>3718179</v>
      </c>
      <c r="V39" s="39">
        <v>2.0099999999999998</v>
      </c>
      <c r="W39" s="45">
        <v>7352005</v>
      </c>
      <c r="X39" s="45">
        <v>3658085</v>
      </c>
      <c r="Y39" s="39">
        <v>1.88</v>
      </c>
      <c r="Z39" s="45">
        <v>7343144</v>
      </c>
      <c r="AA39" s="45">
        <v>3911951</v>
      </c>
      <c r="AB39" s="39">
        <v>1.85</v>
      </c>
      <c r="AC39" s="45">
        <v>8636025</v>
      </c>
      <c r="AD39" s="45">
        <v>4678918</v>
      </c>
      <c r="AE39" s="38">
        <v>1.42</v>
      </c>
      <c r="AF39" s="47">
        <v>21718208</v>
      </c>
      <c r="AG39" s="47">
        <v>15302636</v>
      </c>
      <c r="AH39" s="27"/>
    </row>
    <row r="40" spans="1:34" ht="10.5" customHeight="1" x14ac:dyDescent="0.15">
      <c r="A40" s="23" t="s">
        <v>15</v>
      </c>
      <c r="B40" s="48">
        <v>4</v>
      </c>
      <c r="C40" s="48">
        <f>_xlfn.XLOOKUP(Tabelle1[[#This Row],[Spalte1]],[1]KeyMetrics2021!$A:$A,[1]KeyMetrics2021!$B:$B,"Nicht vorhanden")</f>
        <v>4</v>
      </c>
      <c r="D40" s="25">
        <v>134117</v>
      </c>
      <c r="E40" s="25">
        <v>281779</v>
      </c>
      <c r="F40" s="25">
        <v>278726</v>
      </c>
      <c r="G40" s="25">
        <v>278726</v>
      </c>
      <c r="H40" s="25">
        <v>1676463</v>
      </c>
      <c r="I40" s="26">
        <v>0.16600000000000001</v>
      </c>
      <c r="J40" s="26">
        <v>0.16600000000000001</v>
      </c>
      <c r="K40" s="26">
        <v>0.16800000000000001</v>
      </c>
      <c r="L40" s="26">
        <v>1.4999999999999999E-2</v>
      </c>
      <c r="M40" s="66">
        <f>Tabelle1[[#This Row],[Spalte12]]-Tabelle1[[#This Row],[Spalte11]]</f>
        <v>7.3999999999999996E-2</v>
      </c>
      <c r="N40" s="26">
        <v>8.8999999999999996E-2</v>
      </c>
      <c r="O40" s="26">
        <v>0.105</v>
      </c>
      <c r="P40" s="26">
        <v>0.127</v>
      </c>
      <c r="Q40" s="26">
        <v>6.4000000000000001E-2</v>
      </c>
      <c r="R40" s="25">
        <v>4332016</v>
      </c>
      <c r="S40" s="24">
        <v>1.67</v>
      </c>
      <c r="T40" s="25">
        <v>867682</v>
      </c>
      <c r="U40" s="25">
        <v>519691</v>
      </c>
      <c r="V40" s="24">
        <v>1.57</v>
      </c>
      <c r="W40" s="25">
        <v>882486</v>
      </c>
      <c r="X40" s="25">
        <v>561462</v>
      </c>
      <c r="Y40" s="24">
        <v>1.33</v>
      </c>
      <c r="Z40" s="25">
        <v>835579</v>
      </c>
      <c r="AA40" s="25">
        <v>630456</v>
      </c>
      <c r="AB40" s="24">
        <v>1.23</v>
      </c>
      <c r="AC40" s="25">
        <v>642690</v>
      </c>
      <c r="AD40" s="25">
        <v>524251</v>
      </c>
      <c r="AE40" s="38">
        <v>1.27</v>
      </c>
      <c r="AF40" s="36">
        <v>3313885</v>
      </c>
      <c r="AG40" s="36">
        <v>2603059</v>
      </c>
      <c r="AH40" s="27"/>
    </row>
    <row r="41" spans="1:34" ht="10.5" customHeight="1" x14ac:dyDescent="0.15">
      <c r="A41" s="22" t="s">
        <v>16</v>
      </c>
      <c r="B41" s="44">
        <v>3</v>
      </c>
      <c r="C41" s="44">
        <f>_xlfn.XLOOKUP(Tabelle1[[#This Row],[Spalte1]],[1]KeyMetrics2021!$A:$A,[1]KeyMetrics2021!$B:$B,"Nicht vorhanden")</f>
        <v>3</v>
      </c>
      <c r="D41" s="45">
        <v>668300</v>
      </c>
      <c r="E41" s="45">
        <v>1490455</v>
      </c>
      <c r="F41" s="45">
        <v>1430303</v>
      </c>
      <c r="G41" s="45">
        <v>1430303</v>
      </c>
      <c r="H41" s="45">
        <v>8353746</v>
      </c>
      <c r="I41" s="46">
        <v>0.17100000000000001</v>
      </c>
      <c r="J41" s="46">
        <v>0.17100000000000001</v>
      </c>
      <c r="K41" s="46">
        <v>0.17799999999999999</v>
      </c>
      <c r="L41" s="46">
        <v>1.2999999999999999E-2</v>
      </c>
      <c r="M41" s="65">
        <f>Tabelle1[[#This Row],[Spalte12]]-Tabelle1[[#This Row],[Spalte11]]</f>
        <v>7.8E-2</v>
      </c>
      <c r="N41" s="46">
        <v>9.0999999999999998E-2</v>
      </c>
      <c r="O41" s="46">
        <v>0.109</v>
      </c>
      <c r="P41" s="46">
        <v>0.13300000000000001</v>
      </c>
      <c r="Q41" s="46">
        <v>7.2999999999999995E-2</v>
      </c>
      <c r="R41" s="45">
        <v>19547415</v>
      </c>
      <c r="S41" s="39">
        <v>1.63</v>
      </c>
      <c r="T41" s="45">
        <v>3347216</v>
      </c>
      <c r="U41" s="45">
        <v>2049576</v>
      </c>
      <c r="V41" s="39">
        <v>1.51</v>
      </c>
      <c r="W41" s="45">
        <v>3274383</v>
      </c>
      <c r="X41" s="45">
        <v>2167546</v>
      </c>
      <c r="Y41" s="39">
        <v>1.29</v>
      </c>
      <c r="Z41" s="45">
        <v>3169241</v>
      </c>
      <c r="AA41" s="45">
        <v>2451160</v>
      </c>
      <c r="AB41" s="39">
        <v>1.36</v>
      </c>
      <c r="AC41" s="45">
        <v>3409539</v>
      </c>
      <c r="AD41" s="45">
        <v>2504008</v>
      </c>
      <c r="AE41" s="38">
        <v>1.25</v>
      </c>
      <c r="AF41" s="47">
        <v>15092239</v>
      </c>
      <c r="AG41" s="47">
        <v>12065639</v>
      </c>
      <c r="AH41" s="27"/>
    </row>
    <row r="42" spans="1:34" ht="10.5" customHeight="1" x14ac:dyDescent="0.15">
      <c r="A42" s="23" t="s">
        <v>223</v>
      </c>
      <c r="B42" s="48">
        <v>4</v>
      </c>
      <c r="C42" s="48">
        <f>_xlfn.XLOOKUP(Tabelle1[[#This Row],[Spalte1]],[1]KeyMetrics2021!$A:$A,[1]KeyMetrics2021!$B:$B,"Nicht vorhanden")</f>
        <v>4</v>
      </c>
      <c r="D42" s="25">
        <v>388377</v>
      </c>
      <c r="E42" s="25">
        <v>987333</v>
      </c>
      <c r="F42" s="25">
        <v>944289</v>
      </c>
      <c r="G42" s="25">
        <v>944289</v>
      </c>
      <c r="H42" s="25">
        <v>4854708</v>
      </c>
      <c r="I42" s="26">
        <v>0.19500000000000001</v>
      </c>
      <c r="J42" s="26">
        <v>0.19500000000000001</v>
      </c>
      <c r="K42" s="26">
        <v>0.20300000000000001</v>
      </c>
      <c r="L42" s="26">
        <v>1.4E-2</v>
      </c>
      <c r="M42" s="66">
        <f>Tabelle1[[#This Row],[Spalte12]]-Tabelle1[[#This Row],[Spalte11]]</f>
        <v>7.3999999999999996E-2</v>
      </c>
      <c r="N42" s="26">
        <v>8.7999999999999995E-2</v>
      </c>
      <c r="O42" s="26">
        <v>0.104</v>
      </c>
      <c r="P42" s="26">
        <v>0.126</v>
      </c>
      <c r="Q42" s="26">
        <v>8.2000000000000003E-2</v>
      </c>
      <c r="R42" s="25">
        <v>11491473</v>
      </c>
      <c r="S42" s="24">
        <v>1.71</v>
      </c>
      <c r="T42" s="25">
        <v>1899308</v>
      </c>
      <c r="U42" s="25">
        <v>1113248</v>
      </c>
      <c r="V42" s="24">
        <v>1.77</v>
      </c>
      <c r="W42" s="25">
        <v>1872210</v>
      </c>
      <c r="X42" s="25">
        <v>1057100</v>
      </c>
      <c r="Y42" s="24">
        <v>1.48</v>
      </c>
      <c r="Z42" s="25">
        <v>1671475</v>
      </c>
      <c r="AA42" s="25">
        <v>1128082</v>
      </c>
      <c r="AB42" s="24">
        <v>1.59</v>
      </c>
      <c r="AC42" s="25">
        <v>1662046</v>
      </c>
      <c r="AD42" s="25">
        <v>1045534</v>
      </c>
      <c r="AE42" s="38">
        <v>1.3</v>
      </c>
      <c r="AF42" s="36">
        <v>9348304</v>
      </c>
      <c r="AG42" s="36">
        <v>7198783</v>
      </c>
      <c r="AH42" s="27"/>
    </row>
    <row r="43" spans="1:34" ht="10.5" customHeight="1" x14ac:dyDescent="0.15">
      <c r="A43" s="22" t="s">
        <v>25</v>
      </c>
      <c r="B43" s="44">
        <v>3</v>
      </c>
      <c r="C43" s="44">
        <f>_xlfn.XLOOKUP(Tabelle1[[#This Row],[Spalte1]],[1]KeyMetrics2021!$A:$A,[1]KeyMetrics2021!$B:$B,"Nicht vorhanden")</f>
        <v>3</v>
      </c>
      <c r="D43" s="45">
        <v>1530561</v>
      </c>
      <c r="E43" s="45">
        <v>3391001</v>
      </c>
      <c r="F43" s="45">
        <v>3369026</v>
      </c>
      <c r="G43" s="45">
        <v>3369026</v>
      </c>
      <c r="H43" s="45">
        <v>19132011</v>
      </c>
      <c r="I43" s="46">
        <v>0.17599999999999999</v>
      </c>
      <c r="J43" s="46">
        <v>0.17599999999999999</v>
      </c>
      <c r="K43" s="46">
        <v>0.17699999999999999</v>
      </c>
      <c r="L43" s="46">
        <v>0.01</v>
      </c>
      <c r="M43" s="65">
        <f>Tabelle1[[#This Row],[Spalte12]]-Tabelle1[[#This Row],[Spalte11]]</f>
        <v>7.8E-2</v>
      </c>
      <c r="N43" s="46">
        <v>8.7999999999999995E-2</v>
      </c>
      <c r="O43" s="46">
        <v>0.106</v>
      </c>
      <c r="P43" s="46">
        <v>0.13</v>
      </c>
      <c r="Q43" s="46">
        <v>5.5E-2</v>
      </c>
      <c r="R43" s="45">
        <v>61314995</v>
      </c>
      <c r="S43" s="39">
        <v>1.48</v>
      </c>
      <c r="T43" s="45">
        <v>13390084</v>
      </c>
      <c r="U43" s="45">
        <v>9073056</v>
      </c>
      <c r="V43" s="39">
        <v>1.39</v>
      </c>
      <c r="W43" s="45">
        <v>12697709</v>
      </c>
      <c r="X43" s="45">
        <v>9131013</v>
      </c>
      <c r="Y43" s="39">
        <v>1.24</v>
      </c>
      <c r="Z43" s="45">
        <v>13120697</v>
      </c>
      <c r="AA43" s="45">
        <v>10605761</v>
      </c>
      <c r="AB43" s="39">
        <v>1.34</v>
      </c>
      <c r="AC43" s="45">
        <v>14931048</v>
      </c>
      <c r="AD43" s="45">
        <v>11135524</v>
      </c>
      <c r="AE43" s="38">
        <v>1.24</v>
      </c>
      <c r="AF43" s="47">
        <v>38540025</v>
      </c>
      <c r="AG43" s="47">
        <v>30985302</v>
      </c>
      <c r="AH43" s="27"/>
    </row>
    <row r="44" spans="1:34" ht="10.5" customHeight="1" x14ac:dyDescent="0.15">
      <c r="A44" s="23" t="s">
        <v>106</v>
      </c>
      <c r="B44" s="48">
        <v>5</v>
      </c>
      <c r="C44" s="48">
        <f>_xlfn.XLOOKUP(Tabelle1[[#This Row],[Spalte1]],[1]KeyMetrics2021!$A:$A,[1]KeyMetrics2021!$B:$B,"Nicht vorhanden")</f>
        <v>5</v>
      </c>
      <c r="D44" s="25">
        <v>24977</v>
      </c>
      <c r="E44" s="25">
        <v>72691</v>
      </c>
      <c r="F44" s="25">
        <v>67379</v>
      </c>
      <c r="G44" s="25">
        <v>67379</v>
      </c>
      <c r="H44" s="25">
        <v>312211</v>
      </c>
      <c r="I44" s="26">
        <v>0.216</v>
      </c>
      <c r="J44" s="26">
        <v>0.216</v>
      </c>
      <c r="K44" s="26">
        <v>0.23300000000000001</v>
      </c>
      <c r="L44" s="26">
        <v>0.01</v>
      </c>
      <c r="M44" s="66">
        <f>Tabelle1[[#This Row],[Spalte12]]-Tabelle1[[#This Row],[Spalte11]]</f>
        <v>7.0000000000000007E-2</v>
      </c>
      <c r="N44" s="26">
        <v>0.08</v>
      </c>
      <c r="O44" s="26">
        <v>9.5000000000000001E-2</v>
      </c>
      <c r="P44" s="26">
        <v>0.115</v>
      </c>
      <c r="Q44" s="26">
        <v>8.7999999999999995E-2</v>
      </c>
      <c r="R44" s="25">
        <v>769862</v>
      </c>
      <c r="S44" s="24">
        <v>3.49</v>
      </c>
      <c r="T44" s="25">
        <v>248623</v>
      </c>
      <c r="U44" s="25">
        <v>71152</v>
      </c>
      <c r="V44" s="24">
        <v>3.9</v>
      </c>
      <c r="W44" s="25">
        <v>304859</v>
      </c>
      <c r="X44" s="25">
        <v>78250</v>
      </c>
      <c r="Y44" s="24">
        <v>3.78</v>
      </c>
      <c r="Z44" s="25">
        <v>248126</v>
      </c>
      <c r="AA44" s="25">
        <v>65692</v>
      </c>
      <c r="AB44" s="24">
        <v>3.09</v>
      </c>
      <c r="AC44" s="25">
        <v>222243</v>
      </c>
      <c r="AD44" s="25">
        <v>71865</v>
      </c>
      <c r="AE44" s="38">
        <v>1.88</v>
      </c>
      <c r="AF44" s="36">
        <v>495282</v>
      </c>
      <c r="AG44" s="36">
        <v>263340</v>
      </c>
      <c r="AH44" s="27"/>
    </row>
    <row r="45" spans="1:34" ht="10.5" customHeight="1" x14ac:dyDescent="0.15">
      <c r="A45" s="22" t="s">
        <v>69</v>
      </c>
      <c r="B45" s="44">
        <v>5</v>
      </c>
      <c r="C45" s="44">
        <f>_xlfn.XLOOKUP(Tabelle1[[#This Row],[Spalte1]],[1]KeyMetrics2021!$A:$A,[1]KeyMetrics2021!$B:$B,"Nicht vorhanden")</f>
        <v>5</v>
      </c>
      <c r="D45" s="45">
        <v>243809</v>
      </c>
      <c r="E45" s="45">
        <v>555043</v>
      </c>
      <c r="F45" s="45">
        <v>555043</v>
      </c>
      <c r="G45" s="45">
        <v>555043</v>
      </c>
      <c r="H45" s="45">
        <v>3047617</v>
      </c>
      <c r="I45" s="46">
        <v>0.182</v>
      </c>
      <c r="J45" s="46">
        <v>0.182</v>
      </c>
      <c r="K45" s="46">
        <v>0.182</v>
      </c>
      <c r="L45" s="46">
        <v>0</v>
      </c>
      <c r="M45" s="65">
        <f>Tabelle1[[#This Row],[Spalte12]]-Tabelle1[[#This Row],[Spalte11]]</f>
        <v>7.0000000000000007E-2</v>
      </c>
      <c r="N45" s="46">
        <v>7.0000000000000007E-2</v>
      </c>
      <c r="O45" s="46">
        <v>8.5000000000000006E-2</v>
      </c>
      <c r="P45" s="46">
        <v>0.105</v>
      </c>
      <c r="Q45" s="46">
        <v>0.125</v>
      </c>
      <c r="R45" s="45">
        <v>4440345</v>
      </c>
      <c r="S45" s="39">
        <v>2.2599999999999998</v>
      </c>
      <c r="T45" s="45">
        <v>810235</v>
      </c>
      <c r="U45" s="45">
        <v>357731</v>
      </c>
      <c r="V45" s="39">
        <v>2.81</v>
      </c>
      <c r="W45" s="45">
        <v>771992</v>
      </c>
      <c r="X45" s="45">
        <v>275055</v>
      </c>
      <c r="Y45" s="39">
        <v>2.08</v>
      </c>
      <c r="Z45" s="45">
        <v>785889</v>
      </c>
      <c r="AA45" s="45">
        <v>377274</v>
      </c>
      <c r="AB45" s="39">
        <v>2.1800000000000002</v>
      </c>
      <c r="AC45" s="45">
        <v>811804</v>
      </c>
      <c r="AD45" s="45">
        <v>372495</v>
      </c>
      <c r="AE45" s="38">
        <v>1.21</v>
      </c>
      <c r="AF45" s="47">
        <v>1636551</v>
      </c>
      <c r="AG45" s="47">
        <v>1356520</v>
      </c>
      <c r="AH45" s="27"/>
    </row>
    <row r="46" spans="1:34" ht="10.5" customHeight="1" x14ac:dyDescent="0.15">
      <c r="A46" s="23" t="s">
        <v>125</v>
      </c>
      <c r="B46" s="48">
        <v>5</v>
      </c>
      <c r="C46" s="48">
        <f>_xlfn.XLOOKUP(Tabelle1[[#This Row],[Spalte1]],[1]KeyMetrics2021!$A:$A,[1]KeyMetrics2021!$B:$B,"Nicht vorhanden")</f>
        <v>5</v>
      </c>
      <c r="D46" s="25">
        <v>45555</v>
      </c>
      <c r="E46" s="25">
        <v>82543</v>
      </c>
      <c r="F46" s="25">
        <v>81000</v>
      </c>
      <c r="G46" s="25">
        <v>81000</v>
      </c>
      <c r="H46" s="25">
        <v>569441</v>
      </c>
      <c r="I46" s="26">
        <v>0.14199999999999999</v>
      </c>
      <c r="J46" s="26">
        <v>0.14199999999999999</v>
      </c>
      <c r="K46" s="26">
        <v>0.14499999999999999</v>
      </c>
      <c r="L46" s="26">
        <v>1.6E-2</v>
      </c>
      <c r="M46" s="66">
        <f>Tabelle1[[#This Row],[Spalte12]]-Tabelle1[[#This Row],[Spalte11]]</f>
        <v>6.9999999999999993E-2</v>
      </c>
      <c r="N46" s="26">
        <v>8.5999999999999993E-2</v>
      </c>
      <c r="O46" s="26">
        <v>0.10100000000000001</v>
      </c>
      <c r="P46" s="26">
        <v>0.121</v>
      </c>
      <c r="Q46" s="26">
        <v>5.5E-2</v>
      </c>
      <c r="R46" s="25">
        <v>1464505</v>
      </c>
      <c r="S46" s="24">
        <v>2.57</v>
      </c>
      <c r="T46" s="25">
        <v>128104</v>
      </c>
      <c r="U46" s="25">
        <v>49870</v>
      </c>
      <c r="V46" s="24">
        <v>1.53</v>
      </c>
      <c r="W46" s="25">
        <v>140910</v>
      </c>
      <c r="X46" s="25">
        <v>92260</v>
      </c>
      <c r="Y46" s="24">
        <v>1.39</v>
      </c>
      <c r="Z46" s="25">
        <v>121128</v>
      </c>
      <c r="AA46" s="25">
        <v>87255</v>
      </c>
      <c r="AB46" s="24">
        <v>1.6</v>
      </c>
      <c r="AC46" s="25">
        <v>145731</v>
      </c>
      <c r="AD46" s="25">
        <v>90934</v>
      </c>
      <c r="AE46" s="38">
        <v>1.1399999999999999</v>
      </c>
      <c r="AF46" s="36">
        <v>942270</v>
      </c>
      <c r="AG46" s="36">
        <v>828107</v>
      </c>
      <c r="AH46" s="27"/>
    </row>
    <row r="47" spans="1:34" ht="10.5" customHeight="1" x14ac:dyDescent="0.15">
      <c r="A47" s="22" t="s">
        <v>182</v>
      </c>
      <c r="B47" s="44">
        <v>5</v>
      </c>
      <c r="C47" s="44">
        <f>_xlfn.XLOOKUP(Tabelle1[[#This Row],[Spalte1]],[1]KeyMetrics2021!$A:$A,[1]KeyMetrics2021!$B:$B,"Nicht vorhanden")</f>
        <v>5</v>
      </c>
      <c r="D47" s="45">
        <v>12191</v>
      </c>
      <c r="E47" s="45">
        <v>26736</v>
      </c>
      <c r="F47" s="45">
        <v>26736</v>
      </c>
      <c r="G47" s="45">
        <v>26736</v>
      </c>
      <c r="H47" s="45">
        <v>152391</v>
      </c>
      <c r="I47" s="46">
        <v>0.17499999999999999</v>
      </c>
      <c r="J47" s="46">
        <v>0.17499999999999999</v>
      </c>
      <c r="K47" s="46">
        <v>0.17499999999999999</v>
      </c>
      <c r="L47" s="46">
        <v>1E-3</v>
      </c>
      <c r="M47" s="65">
        <f>Tabelle1[[#This Row],[Spalte12]]-Tabelle1[[#This Row],[Spalte11]]</f>
        <v>6.9999999999999993E-2</v>
      </c>
      <c r="N47" s="46">
        <v>7.0999999999999994E-2</v>
      </c>
      <c r="O47" s="46">
        <v>8.5999999999999993E-2</v>
      </c>
      <c r="P47" s="46">
        <v>0.106</v>
      </c>
      <c r="Q47" s="46">
        <v>0.08</v>
      </c>
      <c r="R47" s="45">
        <v>332626</v>
      </c>
      <c r="S47" s="39">
        <v>2.1800000000000002</v>
      </c>
      <c r="T47" s="45">
        <v>26623</v>
      </c>
      <c r="U47" s="45">
        <v>12220</v>
      </c>
      <c r="V47" s="39">
        <v>2.52</v>
      </c>
      <c r="W47" s="45">
        <v>41057</v>
      </c>
      <c r="X47" s="45">
        <v>16292</v>
      </c>
      <c r="Y47" s="39">
        <v>1.48</v>
      </c>
      <c r="Z47" s="45">
        <v>24368</v>
      </c>
      <c r="AA47" s="45">
        <v>16498</v>
      </c>
      <c r="AB47" s="39">
        <v>1.44</v>
      </c>
      <c r="AC47" s="45">
        <v>23357</v>
      </c>
      <c r="AD47" s="45">
        <v>16179</v>
      </c>
      <c r="AE47" s="56">
        <v>2.0640000000000001</v>
      </c>
      <c r="AF47" s="57">
        <v>265754</v>
      </c>
      <c r="AG47" s="57">
        <v>128749</v>
      </c>
      <c r="AH47" s="27"/>
    </row>
    <row r="48" spans="1:34" ht="10.5" customHeight="1" x14ac:dyDescent="0.15">
      <c r="A48" s="23" t="s">
        <v>89</v>
      </c>
      <c r="B48" s="48">
        <v>4</v>
      </c>
      <c r="C48" s="48">
        <f>_xlfn.XLOOKUP(Tabelle1[[#This Row],[Spalte1]],[1]KeyMetrics2021!$A:$A,[1]KeyMetrics2021!$B:$B,"Nicht vorhanden")</f>
        <v>4</v>
      </c>
      <c r="D48" s="25">
        <v>41578</v>
      </c>
      <c r="E48" s="25">
        <v>91436</v>
      </c>
      <c r="F48" s="25">
        <v>84055</v>
      </c>
      <c r="G48" s="25">
        <v>84055</v>
      </c>
      <c r="H48" s="25">
        <v>519726</v>
      </c>
      <c r="I48" s="26">
        <v>0.16200000000000001</v>
      </c>
      <c r="J48" s="26">
        <v>0.16200000000000001</v>
      </c>
      <c r="K48" s="26">
        <v>0.17599999999999999</v>
      </c>
      <c r="L48" s="26">
        <v>5.9999999999999995E-4</v>
      </c>
      <c r="M48" s="66">
        <f>Tabelle1[[#This Row],[Spalte12]]-Tabelle1[[#This Row],[Spalte11]]</f>
        <v>7.3999999999999996E-2</v>
      </c>
      <c r="N48" s="26">
        <v>7.46E-2</v>
      </c>
      <c r="O48" s="26">
        <v>9.06E-2</v>
      </c>
      <c r="P48" s="26">
        <v>0.11260000000000001</v>
      </c>
      <c r="Q48" s="26">
        <v>7.4999999999999997E-2</v>
      </c>
      <c r="R48" s="25">
        <v>1118621</v>
      </c>
      <c r="S48" s="24">
        <v>4.0250000000000004</v>
      </c>
      <c r="T48" s="25">
        <v>271082</v>
      </c>
      <c r="U48" s="25">
        <v>67350</v>
      </c>
      <c r="V48" s="24">
        <v>3.03</v>
      </c>
      <c r="W48" s="25">
        <v>230962</v>
      </c>
      <c r="X48" s="25">
        <v>76227</v>
      </c>
      <c r="Y48" s="24">
        <v>1.4435</v>
      </c>
      <c r="Z48" s="25">
        <v>221180</v>
      </c>
      <c r="AA48" s="25">
        <v>153221</v>
      </c>
      <c r="AB48" s="24">
        <v>2.2839999999999998</v>
      </c>
      <c r="AC48" s="25">
        <v>374888</v>
      </c>
      <c r="AD48" s="25">
        <v>164137</v>
      </c>
      <c r="AE48" s="38">
        <v>1.379</v>
      </c>
      <c r="AF48" s="36">
        <v>754162</v>
      </c>
      <c r="AG48" s="36">
        <v>546900</v>
      </c>
      <c r="AH48" s="27"/>
    </row>
    <row r="49" spans="1:34" ht="10.5" customHeight="1" x14ac:dyDescent="0.15">
      <c r="A49" s="22" t="s">
        <v>183</v>
      </c>
      <c r="B49" s="44">
        <v>4</v>
      </c>
      <c r="C49" s="44">
        <f>_xlfn.XLOOKUP(Tabelle1[[#This Row],[Spalte1]],[1]KeyMetrics2021!$A:$A,[1]KeyMetrics2021!$B:$B,"Nicht vorhanden")</f>
        <v>4</v>
      </c>
      <c r="D49" s="45">
        <v>33939</v>
      </c>
      <c r="E49" s="45">
        <v>124744</v>
      </c>
      <c r="F49" s="45">
        <v>124744</v>
      </c>
      <c r="G49" s="45">
        <v>124744</v>
      </c>
      <c r="H49" s="45">
        <v>424240</v>
      </c>
      <c r="I49" s="46">
        <v>0.29399999999999998</v>
      </c>
      <c r="J49" s="46">
        <v>0.29399999999999998</v>
      </c>
      <c r="K49" s="46">
        <v>0.29399999999999998</v>
      </c>
      <c r="L49" s="46">
        <v>1E-3</v>
      </c>
      <c r="M49" s="65">
        <f>Tabelle1[[#This Row],[Spalte12]]-Tabelle1[[#This Row],[Spalte11]]</f>
        <v>7.3999999999999996E-2</v>
      </c>
      <c r="N49" s="46">
        <v>7.4999999999999997E-2</v>
      </c>
      <c r="O49" s="46">
        <v>9.0999999999999998E-2</v>
      </c>
      <c r="P49" s="46">
        <v>0.113</v>
      </c>
      <c r="Q49" s="46">
        <v>0.115</v>
      </c>
      <c r="R49" s="45">
        <v>1087779</v>
      </c>
      <c r="S49" s="39">
        <v>1.72</v>
      </c>
      <c r="T49" s="45">
        <v>390826</v>
      </c>
      <c r="U49" s="45">
        <v>226852</v>
      </c>
      <c r="V49" s="39">
        <v>1.6</v>
      </c>
      <c r="W49" s="45">
        <v>374881</v>
      </c>
      <c r="X49" s="45">
        <v>233810</v>
      </c>
      <c r="Y49" s="39">
        <v>1.52</v>
      </c>
      <c r="Z49" s="45">
        <v>330484</v>
      </c>
      <c r="AA49" s="45">
        <v>217611</v>
      </c>
      <c r="AB49" s="39">
        <v>2.0099999999999998</v>
      </c>
      <c r="AC49" s="45">
        <v>386341</v>
      </c>
      <c r="AD49" s="45">
        <v>192507</v>
      </c>
      <c r="AE49" s="38">
        <v>1.5</v>
      </c>
      <c r="AF49" s="47">
        <v>641650</v>
      </c>
      <c r="AG49" s="47">
        <v>426900</v>
      </c>
      <c r="AH49" s="27"/>
    </row>
    <row r="50" spans="1:34" ht="10.5" customHeight="1" x14ac:dyDescent="0.15">
      <c r="A50" s="23" t="s">
        <v>126</v>
      </c>
      <c r="B50" s="48">
        <v>5</v>
      </c>
      <c r="C50" s="48">
        <f>_xlfn.XLOOKUP(Tabelle1[[#This Row],[Spalte1]],[1]KeyMetrics2021!$A:$A,[1]KeyMetrics2021!$B:$B,"Nicht vorhanden")</f>
        <v>5</v>
      </c>
      <c r="D50" s="25">
        <v>80180</v>
      </c>
      <c r="E50" s="25">
        <v>165482</v>
      </c>
      <c r="F50" s="25">
        <v>165482</v>
      </c>
      <c r="G50" s="25">
        <v>165482</v>
      </c>
      <c r="H50" s="25">
        <v>1002245</v>
      </c>
      <c r="I50" s="26">
        <v>0.16500000000000001</v>
      </c>
      <c r="J50" s="26">
        <v>0.16500000000000001</v>
      </c>
      <c r="K50" s="26">
        <v>0.16500000000000001</v>
      </c>
      <c r="L50" s="26">
        <v>0</v>
      </c>
      <c r="M50" s="66">
        <f>Tabelle1[[#This Row],[Spalte12]]-Tabelle1[[#This Row],[Spalte11]]</f>
        <v>7.0000000000000007E-2</v>
      </c>
      <c r="N50" s="26">
        <v>7.0000000000000007E-2</v>
      </c>
      <c r="O50" s="26">
        <v>8.5000000000000006E-2</v>
      </c>
      <c r="P50" s="26">
        <v>0.105</v>
      </c>
      <c r="Q50" s="26">
        <v>9.4E-2</v>
      </c>
      <c r="R50" s="25">
        <v>1766824</v>
      </c>
      <c r="S50" s="24">
        <v>1.32</v>
      </c>
      <c r="T50" s="25">
        <v>123759</v>
      </c>
      <c r="U50" s="25">
        <v>93593</v>
      </c>
      <c r="V50" s="24">
        <v>1.39</v>
      </c>
      <c r="W50" s="25">
        <v>174035</v>
      </c>
      <c r="X50" s="25">
        <v>125398</v>
      </c>
      <c r="Y50" s="24">
        <v>1.35</v>
      </c>
      <c r="Z50" s="25">
        <v>224564</v>
      </c>
      <c r="AA50" s="25">
        <v>166355</v>
      </c>
      <c r="AB50" s="24">
        <v>1.2</v>
      </c>
      <c r="AC50" s="25">
        <v>214696</v>
      </c>
      <c r="AD50" s="25">
        <v>179443</v>
      </c>
      <c r="AE50" s="38">
        <v>1.23</v>
      </c>
      <c r="AF50" s="36">
        <v>698603</v>
      </c>
      <c r="AG50" s="36">
        <v>568778</v>
      </c>
      <c r="AH50" s="27"/>
    </row>
    <row r="51" spans="1:34" ht="10.5" customHeight="1" x14ac:dyDescent="0.15">
      <c r="A51" s="22" t="s">
        <v>55</v>
      </c>
      <c r="B51" s="44">
        <v>3</v>
      </c>
      <c r="C51" s="44">
        <f>_xlfn.XLOOKUP(Tabelle1[[#This Row],[Spalte1]],[1]KeyMetrics2021!$A:$A,[1]KeyMetrics2021!$B:$B,"Nicht vorhanden")</f>
        <v>3</v>
      </c>
      <c r="D51" s="45">
        <v>397314</v>
      </c>
      <c r="E51" s="45">
        <v>1510477</v>
      </c>
      <c r="F51" s="45">
        <v>1488818</v>
      </c>
      <c r="G51" s="45">
        <v>1510477</v>
      </c>
      <c r="H51" s="45">
        <v>4966429</v>
      </c>
      <c r="I51" s="46">
        <v>0.3</v>
      </c>
      <c r="J51" s="46">
        <v>0.30399999999999999</v>
      </c>
      <c r="K51" s="46">
        <v>0.30399999999999999</v>
      </c>
      <c r="L51" s="46">
        <v>0</v>
      </c>
      <c r="M51" s="65">
        <f>Tabelle1[[#This Row],[Spalte12]]-Tabelle1[[#This Row],[Spalte11]]</f>
        <v>7.8E-2</v>
      </c>
      <c r="N51" s="46">
        <v>7.8E-2</v>
      </c>
      <c r="O51" s="46">
        <v>9.6000000000000002E-2</v>
      </c>
      <c r="P51" s="46">
        <v>0.12</v>
      </c>
      <c r="Q51" s="46">
        <v>0.08</v>
      </c>
      <c r="R51" s="45">
        <v>18866774</v>
      </c>
      <c r="S51" s="39">
        <v>2.13</v>
      </c>
      <c r="T51" s="45">
        <v>13887272</v>
      </c>
      <c r="U51" s="45">
        <v>6529515</v>
      </c>
      <c r="V51" s="39">
        <v>2.17</v>
      </c>
      <c r="W51" s="45">
        <v>13849714</v>
      </c>
      <c r="X51" s="45">
        <v>6384427</v>
      </c>
      <c r="Y51" s="39">
        <v>2.06</v>
      </c>
      <c r="Z51" s="45">
        <v>13048779</v>
      </c>
      <c r="AA51" s="45">
        <v>6326795</v>
      </c>
      <c r="AB51" s="39">
        <v>2.04</v>
      </c>
      <c r="AC51" s="45">
        <v>11264745</v>
      </c>
      <c r="AD51" s="45">
        <v>5522371</v>
      </c>
      <c r="AE51" s="38">
        <v>2.12</v>
      </c>
      <c r="AF51" s="47">
        <v>9717523</v>
      </c>
      <c r="AG51" s="47">
        <v>4573604</v>
      </c>
      <c r="AH51" s="27"/>
    </row>
    <row r="52" spans="1:34" ht="10.5" customHeight="1" x14ac:dyDescent="0.15">
      <c r="A52" s="23" t="s">
        <v>205</v>
      </c>
      <c r="B52" s="48">
        <v>4</v>
      </c>
      <c r="C52" s="48">
        <f>_xlfn.XLOOKUP(Tabelle1[[#This Row],[Spalte1]],[1]KeyMetrics2021!$A:$A,[1]KeyMetrics2021!$B:$B,"Nicht vorhanden")</f>
        <v>4</v>
      </c>
      <c r="D52" s="25">
        <v>50031</v>
      </c>
      <c r="E52" s="25">
        <v>166145</v>
      </c>
      <c r="F52" s="25">
        <v>166145</v>
      </c>
      <c r="G52" s="25">
        <v>166145</v>
      </c>
      <c r="H52" s="25">
        <v>625392</v>
      </c>
      <c r="I52" s="26">
        <v>0.26600000000000001</v>
      </c>
      <c r="J52" s="26">
        <v>0.26600000000000001</v>
      </c>
      <c r="K52" s="26">
        <v>0.26600000000000001</v>
      </c>
      <c r="L52" s="26">
        <v>1E-3</v>
      </c>
      <c r="M52" s="66">
        <f>Tabelle1[[#This Row],[Spalte12]]-Tabelle1[[#This Row],[Spalte11]]</f>
        <v>7.3999999999999996E-2</v>
      </c>
      <c r="N52" s="26">
        <v>7.4999999999999997E-2</v>
      </c>
      <c r="O52" s="26">
        <v>9.0999999999999998E-2</v>
      </c>
      <c r="P52" s="26">
        <v>0.113</v>
      </c>
      <c r="Q52" s="26">
        <v>9.2999999999999999E-2</v>
      </c>
      <c r="R52" s="25">
        <v>1782447</v>
      </c>
      <c r="S52" s="24">
        <v>2.02</v>
      </c>
      <c r="T52" s="25">
        <v>913748</v>
      </c>
      <c r="U52" s="25">
        <v>451965</v>
      </c>
      <c r="V52" s="24">
        <v>1.99</v>
      </c>
      <c r="W52" s="25">
        <v>989265</v>
      </c>
      <c r="X52" s="25">
        <v>497367</v>
      </c>
      <c r="Y52" s="24">
        <v>1.81</v>
      </c>
      <c r="Z52" s="25">
        <v>832378</v>
      </c>
      <c r="AA52" s="25">
        <v>459120</v>
      </c>
      <c r="AB52" s="24">
        <v>1.59</v>
      </c>
      <c r="AC52" s="25">
        <v>577152</v>
      </c>
      <c r="AD52" s="25">
        <v>362453</v>
      </c>
      <c r="AE52" s="38">
        <v>1.77</v>
      </c>
      <c r="AF52" s="36">
        <v>1115339</v>
      </c>
      <c r="AG52" s="36">
        <v>631046</v>
      </c>
      <c r="AH52" s="27"/>
    </row>
    <row r="53" spans="1:34" ht="10.5" customHeight="1" x14ac:dyDescent="0.15">
      <c r="A53" s="22" t="s">
        <v>57</v>
      </c>
      <c r="B53" s="44">
        <v>5</v>
      </c>
      <c r="C53" s="44">
        <f>_xlfn.XLOOKUP(Tabelle1[[#This Row],[Spalte1]],[1]KeyMetrics2021!$A:$A,[1]KeyMetrics2021!$B:$B,"Nicht vorhanden")</f>
        <v>5</v>
      </c>
      <c r="D53" s="45">
        <v>14135</v>
      </c>
      <c r="E53" s="45">
        <v>55257</v>
      </c>
      <c r="F53" s="45">
        <v>55257</v>
      </c>
      <c r="G53" s="45">
        <v>55257</v>
      </c>
      <c r="H53" s="45">
        <v>176693</v>
      </c>
      <c r="I53" s="46">
        <v>0.313</v>
      </c>
      <c r="J53" s="46">
        <v>0.313</v>
      </c>
      <c r="K53" s="46">
        <v>0.313</v>
      </c>
      <c r="L53" s="46">
        <v>0</v>
      </c>
      <c r="M53" s="65">
        <f>Tabelle1[[#This Row],[Spalte12]]-Tabelle1[[#This Row],[Spalte11]]</f>
        <v>7.0000000000000007E-2</v>
      </c>
      <c r="N53" s="46">
        <v>7.0000000000000007E-2</v>
      </c>
      <c r="O53" s="46">
        <v>8.5000000000000006E-2</v>
      </c>
      <c r="P53" s="46">
        <v>0.105</v>
      </c>
      <c r="Q53" s="46">
        <v>0.126</v>
      </c>
      <c r="R53" s="45">
        <v>439521</v>
      </c>
      <c r="S53" s="39">
        <v>1.7</v>
      </c>
      <c r="T53" s="45">
        <v>113450</v>
      </c>
      <c r="U53" s="45">
        <v>66852</v>
      </c>
      <c r="V53" s="39">
        <v>1.93</v>
      </c>
      <c r="W53" s="45">
        <v>120763</v>
      </c>
      <c r="X53" s="45">
        <v>62574</v>
      </c>
      <c r="Y53" s="39">
        <v>1.72</v>
      </c>
      <c r="Z53" s="45">
        <v>116710</v>
      </c>
      <c r="AA53" s="45">
        <v>67832</v>
      </c>
      <c r="AB53" s="39">
        <v>1.62</v>
      </c>
      <c r="AC53" s="45">
        <v>111466</v>
      </c>
      <c r="AD53" s="45">
        <v>68852</v>
      </c>
      <c r="AE53" s="38">
        <v>1.8</v>
      </c>
      <c r="AF53" s="47">
        <v>202151</v>
      </c>
      <c r="AG53" s="47">
        <v>112180</v>
      </c>
      <c r="AH53" s="27"/>
    </row>
    <row r="54" spans="1:34" ht="10.5" customHeight="1" x14ac:dyDescent="0.15">
      <c r="A54" s="23" t="s">
        <v>70</v>
      </c>
      <c r="B54" s="48">
        <v>4</v>
      </c>
      <c r="C54" s="48">
        <f>_xlfn.XLOOKUP(Tabelle1[[#This Row],[Spalte1]],[1]KeyMetrics2021!$A:$A,[1]KeyMetrics2021!$B:$B,"Nicht vorhanden")</f>
        <v>4</v>
      </c>
      <c r="D54" s="25">
        <v>76000</v>
      </c>
      <c r="E54" s="25">
        <v>169922</v>
      </c>
      <c r="F54" s="25">
        <v>119922</v>
      </c>
      <c r="G54" s="25">
        <v>169922</v>
      </c>
      <c r="H54" s="25">
        <v>949998</v>
      </c>
      <c r="I54" s="26">
        <v>0.126</v>
      </c>
      <c r="J54" s="26">
        <v>0.17899999999999999</v>
      </c>
      <c r="K54" s="26">
        <v>0.17899999999999999</v>
      </c>
      <c r="L54" s="26">
        <v>2E-3</v>
      </c>
      <c r="M54" s="66">
        <f>Tabelle1[[#This Row],[Spalte12]]-Tabelle1[[#This Row],[Spalte11]]</f>
        <v>7.3999999999999996E-2</v>
      </c>
      <c r="N54" s="26">
        <v>7.5999999999999998E-2</v>
      </c>
      <c r="O54" s="26">
        <v>9.1999999999999998E-2</v>
      </c>
      <c r="P54" s="26">
        <v>0.114</v>
      </c>
      <c r="Q54" s="26">
        <v>4.4999999999999998E-2</v>
      </c>
      <c r="R54" s="25">
        <v>3816198</v>
      </c>
      <c r="S54" s="24">
        <v>1.64</v>
      </c>
      <c r="T54" s="25">
        <v>504092</v>
      </c>
      <c r="U54" s="25">
        <v>308181</v>
      </c>
      <c r="V54" s="24">
        <v>1.96</v>
      </c>
      <c r="W54" s="25">
        <v>605278</v>
      </c>
      <c r="X54" s="25">
        <v>309576</v>
      </c>
      <c r="Y54" s="24">
        <v>1.88</v>
      </c>
      <c r="Z54" s="25">
        <v>645267</v>
      </c>
      <c r="AA54" s="25">
        <v>342985</v>
      </c>
      <c r="AB54" s="24">
        <v>1.26</v>
      </c>
      <c r="AC54" s="25">
        <v>357387</v>
      </c>
      <c r="AD54" s="25">
        <v>284028</v>
      </c>
      <c r="AE54" s="38">
        <v>1.18</v>
      </c>
      <c r="AF54" s="36">
        <v>2129619</v>
      </c>
      <c r="AG54" s="36">
        <v>1802604</v>
      </c>
      <c r="AH54" s="27"/>
    </row>
    <row r="55" spans="1:34" ht="10.5" customHeight="1" x14ac:dyDescent="0.15">
      <c r="A55" s="22" t="s">
        <v>13</v>
      </c>
      <c r="B55" s="44">
        <v>3</v>
      </c>
      <c r="C55" s="44">
        <f>_xlfn.XLOOKUP(Tabelle1[[#This Row],[Spalte1]],[1]KeyMetrics2021!$A:$A,[1]KeyMetrics2021!$B:$B,"Nicht vorhanden")</f>
        <v>3</v>
      </c>
      <c r="D55" s="45">
        <v>1158773</v>
      </c>
      <c r="E55" s="45">
        <v>2678792</v>
      </c>
      <c r="F55" s="45">
        <v>2644659</v>
      </c>
      <c r="G55" s="45">
        <v>2644659</v>
      </c>
      <c r="H55" s="45">
        <v>14484663</v>
      </c>
      <c r="I55" s="46">
        <v>0.183</v>
      </c>
      <c r="J55" s="46">
        <v>0.183</v>
      </c>
      <c r="K55" s="46">
        <v>0.185</v>
      </c>
      <c r="L55" s="46">
        <v>1.2999999999999999E-2</v>
      </c>
      <c r="M55" s="65">
        <f>Tabelle1[[#This Row],[Spalte12]]-Tabelle1[[#This Row],[Spalte11]]</f>
        <v>7.8E-2</v>
      </c>
      <c r="N55" s="46">
        <v>9.0999999999999998E-2</v>
      </c>
      <c r="O55" s="46">
        <v>0.109</v>
      </c>
      <c r="P55" s="46">
        <v>0.13300000000000001</v>
      </c>
      <c r="Q55" s="46">
        <v>7.2999999999999995E-2</v>
      </c>
      <c r="R55" s="45">
        <v>36049451</v>
      </c>
      <c r="S55" s="39">
        <v>1.22</v>
      </c>
      <c r="T55" s="45">
        <v>5820003</v>
      </c>
      <c r="U55" s="45">
        <v>4774313</v>
      </c>
      <c r="V55" s="39">
        <v>1.28</v>
      </c>
      <c r="W55" s="45">
        <v>5731884</v>
      </c>
      <c r="X55" s="45">
        <v>4472489</v>
      </c>
      <c r="Y55" s="39">
        <v>1.34</v>
      </c>
      <c r="Z55" s="45">
        <v>5934332</v>
      </c>
      <c r="AA55" s="45">
        <v>4417854</v>
      </c>
      <c r="AB55" s="39">
        <v>1.36</v>
      </c>
      <c r="AC55" s="45">
        <v>6991574</v>
      </c>
      <c r="AD55" s="45">
        <v>5137515</v>
      </c>
      <c r="AE55" s="38">
        <v>1.5</v>
      </c>
      <c r="AF55" s="47">
        <v>27092512</v>
      </c>
      <c r="AG55" s="47">
        <v>18010738</v>
      </c>
      <c r="AH55" s="27"/>
    </row>
    <row r="56" spans="1:34" ht="10.5" customHeight="1" x14ac:dyDescent="0.15">
      <c r="A56" s="23" t="s">
        <v>9</v>
      </c>
      <c r="B56" s="48">
        <v>3</v>
      </c>
      <c r="C56" s="48">
        <f>_xlfn.XLOOKUP(Tabelle1[[#This Row],[Spalte1]],[1]KeyMetrics2021!$A:$A,[1]KeyMetrics2021!$B:$B,"Nicht vorhanden")</f>
        <v>3</v>
      </c>
      <c r="D56" s="25">
        <v>1879410</v>
      </c>
      <c r="E56" s="25">
        <v>4369549</v>
      </c>
      <c r="F56" s="25">
        <v>4150381</v>
      </c>
      <c r="G56" s="25">
        <v>4287562</v>
      </c>
      <c r="H56" s="25">
        <v>23492624</v>
      </c>
      <c r="I56" s="26">
        <v>0.17699999999999999</v>
      </c>
      <c r="J56" s="26">
        <v>0.183</v>
      </c>
      <c r="K56" s="26">
        <v>0.186</v>
      </c>
      <c r="L56" s="26">
        <v>0.01</v>
      </c>
      <c r="M56" s="66">
        <f>Tabelle1[[#This Row],[Spalte12]]-Tabelle1[[#This Row],[Spalte11]]</f>
        <v>7.8E-2</v>
      </c>
      <c r="N56" s="26">
        <v>8.7999999999999995E-2</v>
      </c>
      <c r="O56" s="26">
        <v>0.106</v>
      </c>
      <c r="P56" s="26">
        <v>0.13</v>
      </c>
      <c r="Q56" s="26">
        <v>6.9000000000000006E-2</v>
      </c>
      <c r="R56" s="25">
        <v>62170759</v>
      </c>
      <c r="S56" s="24">
        <v>1.88</v>
      </c>
      <c r="T56" s="25">
        <v>10901794</v>
      </c>
      <c r="U56" s="25">
        <v>5805737</v>
      </c>
      <c r="V56" s="24">
        <v>1.32</v>
      </c>
      <c r="W56" s="25">
        <v>10699445</v>
      </c>
      <c r="X56" s="25">
        <v>8102894</v>
      </c>
      <c r="Y56" s="24">
        <v>1.37</v>
      </c>
      <c r="Z56" s="25">
        <v>9783174</v>
      </c>
      <c r="AA56" s="25">
        <v>7148949</v>
      </c>
      <c r="AB56" s="24">
        <v>1.54</v>
      </c>
      <c r="AC56" s="25">
        <v>10014560</v>
      </c>
      <c r="AD56" s="25">
        <v>6482367</v>
      </c>
      <c r="AE56" s="38">
        <v>1.22</v>
      </c>
      <c r="AF56" s="36">
        <v>38039260</v>
      </c>
      <c r="AG56" s="36">
        <v>31073957</v>
      </c>
      <c r="AH56" s="27"/>
    </row>
    <row r="57" spans="1:34" ht="10.5" customHeight="1" x14ac:dyDescent="0.15">
      <c r="A57" s="22" t="s">
        <v>184</v>
      </c>
      <c r="B57" s="44">
        <v>4</v>
      </c>
      <c r="C57" s="44">
        <f>_xlfn.XLOOKUP(Tabelle1[[#This Row],[Spalte1]],[1]KeyMetrics2021!$A:$A,[1]KeyMetrics2021!$B:$B,"Nicht vorhanden")</f>
        <v>4</v>
      </c>
      <c r="D57" s="45">
        <v>19541</v>
      </c>
      <c r="E57" s="45">
        <v>136442</v>
      </c>
      <c r="F57" s="45">
        <v>136404</v>
      </c>
      <c r="G57" s="45">
        <v>136404</v>
      </c>
      <c r="H57" s="45">
        <v>244262</v>
      </c>
      <c r="I57" s="46">
        <v>0.55800000000000005</v>
      </c>
      <c r="J57" s="46">
        <v>0.55800000000000005</v>
      </c>
      <c r="K57" s="46">
        <v>0.55900000000000005</v>
      </c>
      <c r="L57" s="46">
        <v>0</v>
      </c>
      <c r="M57" s="65">
        <f>Tabelle1[[#This Row],[Spalte12]]-Tabelle1[[#This Row],[Spalte11]]</f>
        <v>7.3999999999999996E-2</v>
      </c>
      <c r="N57" s="46">
        <v>7.3999999999999996E-2</v>
      </c>
      <c r="O57" s="46">
        <v>0.09</v>
      </c>
      <c r="P57" s="46">
        <v>0.112</v>
      </c>
      <c r="Q57" s="46">
        <v>0.14299999999999999</v>
      </c>
      <c r="R57" s="45">
        <v>955914</v>
      </c>
      <c r="S57" s="39">
        <v>2.65</v>
      </c>
      <c r="T57" s="45">
        <v>414087</v>
      </c>
      <c r="U57" s="45">
        <v>156421</v>
      </c>
      <c r="V57" s="39">
        <v>2.27</v>
      </c>
      <c r="W57" s="45">
        <v>345792</v>
      </c>
      <c r="X57" s="45">
        <v>152113</v>
      </c>
      <c r="Y57" s="39">
        <v>1.87</v>
      </c>
      <c r="Z57" s="45">
        <v>262000</v>
      </c>
      <c r="AA57" s="45">
        <v>140042</v>
      </c>
      <c r="AB57" s="39">
        <v>1.75</v>
      </c>
      <c r="AC57" s="45">
        <v>201713</v>
      </c>
      <c r="AD57" s="45">
        <v>115496</v>
      </c>
      <c r="AE57" s="38">
        <v>1.75</v>
      </c>
      <c r="AF57" s="47">
        <v>649351</v>
      </c>
      <c r="AG57" s="47">
        <v>370911</v>
      </c>
      <c r="AH57" s="27"/>
    </row>
    <row r="58" spans="1:34" ht="10.5" customHeight="1" x14ac:dyDescent="0.15">
      <c r="A58" s="23" t="s">
        <v>185</v>
      </c>
      <c r="B58" s="48">
        <v>5</v>
      </c>
      <c r="C58" s="48">
        <f>_xlfn.XLOOKUP(Tabelle1[[#This Row],[Spalte1]],[1]KeyMetrics2021!$A:$A,[1]KeyMetrics2021!$B:$B,"Nicht vorhanden")</f>
        <v>5</v>
      </c>
      <c r="D58" s="25">
        <v>15119</v>
      </c>
      <c r="E58" s="25">
        <v>36331</v>
      </c>
      <c r="F58" s="25">
        <v>36331</v>
      </c>
      <c r="G58" s="25">
        <v>36331</v>
      </c>
      <c r="H58" s="25">
        <v>188988</v>
      </c>
      <c r="I58" s="26">
        <v>0.192</v>
      </c>
      <c r="J58" s="26">
        <v>0.192</v>
      </c>
      <c r="K58" s="26">
        <v>0.192</v>
      </c>
      <c r="L58" s="26">
        <v>0</v>
      </c>
      <c r="M58" s="66">
        <f>Tabelle1[[#This Row],[Spalte12]]-Tabelle1[[#This Row],[Spalte11]]</f>
        <v>7.0000000000000007E-2</v>
      </c>
      <c r="N58" s="26">
        <v>7.0000000000000007E-2</v>
      </c>
      <c r="O58" s="26">
        <v>8.5000000000000006E-2</v>
      </c>
      <c r="P58" s="26">
        <v>0.105</v>
      </c>
      <c r="Q58" s="26">
        <v>4.7E-2</v>
      </c>
      <c r="R58" s="25">
        <v>765071</v>
      </c>
      <c r="S58" s="24">
        <v>2.37</v>
      </c>
      <c r="T58" s="25">
        <v>185656</v>
      </c>
      <c r="U58" s="25">
        <v>78412</v>
      </c>
      <c r="V58" s="24">
        <v>2.41</v>
      </c>
      <c r="W58" s="25">
        <v>230373</v>
      </c>
      <c r="X58" s="25">
        <v>95749</v>
      </c>
      <c r="Y58" s="24">
        <v>2.63</v>
      </c>
      <c r="Z58" s="25">
        <v>228845</v>
      </c>
      <c r="AA58" s="25">
        <v>87074</v>
      </c>
      <c r="AB58" s="24">
        <v>2.5499999999999998</v>
      </c>
      <c r="AC58" s="25">
        <v>182174</v>
      </c>
      <c r="AD58" s="25">
        <v>71355</v>
      </c>
      <c r="AE58" s="38">
        <v>2.31</v>
      </c>
      <c r="AF58" s="36">
        <v>467373</v>
      </c>
      <c r="AG58" s="36">
        <v>202614</v>
      </c>
      <c r="AH58" s="27"/>
    </row>
    <row r="59" spans="1:34" ht="10.5" customHeight="1" x14ac:dyDescent="0.15">
      <c r="A59" s="22" t="s">
        <v>23</v>
      </c>
      <c r="B59" s="44">
        <v>3</v>
      </c>
      <c r="C59" s="44">
        <f>_xlfn.XLOOKUP(Tabelle1[[#This Row],[Spalte1]],[1]KeyMetrics2021!$A:$A,[1]KeyMetrics2021!$B:$B,"Nicht vorhanden")</f>
        <v>3</v>
      </c>
      <c r="D59" s="45">
        <v>1237328</v>
      </c>
      <c r="E59" s="45">
        <v>3000172</v>
      </c>
      <c r="F59" s="45">
        <v>2649812</v>
      </c>
      <c r="G59" s="45">
        <v>2649812</v>
      </c>
      <c r="H59" s="45">
        <v>15466598</v>
      </c>
      <c r="I59" s="46">
        <v>0.17100000000000001</v>
      </c>
      <c r="J59" s="46">
        <v>0.17100000000000001</v>
      </c>
      <c r="K59" s="46">
        <v>0.19400000000000001</v>
      </c>
      <c r="L59" s="46">
        <v>1.4E-2</v>
      </c>
      <c r="M59" s="65">
        <f>Tabelle1[[#This Row],[Spalte12]]-Tabelle1[[#This Row],[Spalte11]]</f>
        <v>7.8E-2</v>
      </c>
      <c r="N59" s="46">
        <v>9.1999999999999998E-2</v>
      </c>
      <c r="O59" s="46">
        <v>0.11</v>
      </c>
      <c r="P59" s="46">
        <v>0.13400000000000001</v>
      </c>
      <c r="Q59" s="46">
        <v>6.5000000000000002E-2</v>
      </c>
      <c r="R59" s="45">
        <v>40997251</v>
      </c>
      <c r="S59" s="39">
        <v>1.81</v>
      </c>
      <c r="T59" s="45">
        <v>8700153</v>
      </c>
      <c r="U59" s="45">
        <v>4801783</v>
      </c>
      <c r="V59" s="39">
        <v>1.75</v>
      </c>
      <c r="W59" s="45">
        <v>8079296</v>
      </c>
      <c r="X59" s="45">
        <v>4627351</v>
      </c>
      <c r="Y59" s="39">
        <v>1.72</v>
      </c>
      <c r="Z59" s="45">
        <v>7758888</v>
      </c>
      <c r="AA59" s="45">
        <v>4499956</v>
      </c>
      <c r="AB59" s="39">
        <v>1.88</v>
      </c>
      <c r="AC59" s="45">
        <v>8292752</v>
      </c>
      <c r="AD59" s="45">
        <v>4422273</v>
      </c>
      <c r="AE59" s="38">
        <v>1.57</v>
      </c>
      <c r="AF59" s="47">
        <v>33607279</v>
      </c>
      <c r="AG59" s="47">
        <v>21437757</v>
      </c>
      <c r="AH59" s="27"/>
    </row>
    <row r="60" spans="1:34" ht="10.5" customHeight="1" x14ac:dyDescent="0.15">
      <c r="A60" s="23" t="s">
        <v>5</v>
      </c>
      <c r="B60" s="48">
        <v>4</v>
      </c>
      <c r="C60" s="48">
        <f>_xlfn.XLOOKUP(Tabelle1[[#This Row],[Spalte1]],[1]KeyMetrics2021!$A:$A,[1]KeyMetrics2021!$B:$B,"Nicht vorhanden")</f>
        <v>4</v>
      </c>
      <c r="D60" s="25">
        <v>61074</v>
      </c>
      <c r="E60" s="25">
        <v>134528</v>
      </c>
      <c r="F60" s="25">
        <v>132517</v>
      </c>
      <c r="G60" s="25">
        <v>132517</v>
      </c>
      <c r="H60" s="25">
        <v>763431</v>
      </c>
      <c r="I60" s="26">
        <v>0.17399999999999999</v>
      </c>
      <c r="J60" s="26">
        <v>0.17399999999999999</v>
      </c>
      <c r="K60" s="26">
        <v>0.17599999999999999</v>
      </c>
      <c r="L60" s="26">
        <v>1.4999999999999999E-2</v>
      </c>
      <c r="M60" s="66">
        <f>Tabelle1[[#This Row],[Spalte12]]-Tabelle1[[#This Row],[Spalte11]]</f>
        <v>7.3999999999999996E-2</v>
      </c>
      <c r="N60" s="26">
        <v>8.8999999999999996E-2</v>
      </c>
      <c r="O60" s="26">
        <v>0.105</v>
      </c>
      <c r="P60" s="26">
        <v>0.127</v>
      </c>
      <c r="Q60" s="26">
        <v>7.5999999999999998E-2</v>
      </c>
      <c r="R60" s="25">
        <v>1749653</v>
      </c>
      <c r="S60" s="24">
        <v>3.05</v>
      </c>
      <c r="T60" s="25">
        <v>201127</v>
      </c>
      <c r="U60" s="25">
        <v>66039</v>
      </c>
      <c r="V60" s="24">
        <v>2.78</v>
      </c>
      <c r="W60" s="25">
        <v>162364</v>
      </c>
      <c r="X60" s="25">
        <v>58457</v>
      </c>
      <c r="Y60" s="24">
        <v>2.44</v>
      </c>
      <c r="Z60" s="25">
        <v>162415</v>
      </c>
      <c r="AA60" s="25">
        <v>66451</v>
      </c>
      <c r="AB60" s="24">
        <v>2.5299999999999998</v>
      </c>
      <c r="AC60" s="25">
        <v>175375</v>
      </c>
      <c r="AD60" s="25">
        <v>69274</v>
      </c>
      <c r="AE60" s="38">
        <v>1.3</v>
      </c>
      <c r="AF60" s="36">
        <v>1437795</v>
      </c>
      <c r="AG60" s="36">
        <v>1104260</v>
      </c>
      <c r="AH60" s="27"/>
    </row>
    <row r="61" spans="1:34" ht="10.5" customHeight="1" x14ac:dyDescent="0.15">
      <c r="A61" s="22" t="s">
        <v>92</v>
      </c>
      <c r="B61" s="44">
        <v>3</v>
      </c>
      <c r="C61" s="44">
        <f>_xlfn.XLOOKUP(Tabelle1[[#This Row],[Spalte1]],[1]KeyMetrics2021!$A:$A,[1]KeyMetrics2021!$B:$B,"Nicht vorhanden")</f>
        <v>3</v>
      </c>
      <c r="D61" s="45">
        <v>392163</v>
      </c>
      <c r="E61" s="45">
        <v>1114095</v>
      </c>
      <c r="F61" s="45">
        <v>1114095</v>
      </c>
      <c r="G61" s="45">
        <v>1114095</v>
      </c>
      <c r="H61" s="45">
        <v>4902040</v>
      </c>
      <c r="I61" s="46">
        <v>0.22700000000000001</v>
      </c>
      <c r="J61" s="46">
        <v>0.22700000000000001</v>
      </c>
      <c r="K61" s="46">
        <v>0.22700000000000001</v>
      </c>
      <c r="L61" s="46">
        <v>0</v>
      </c>
      <c r="M61" s="65">
        <f>Tabelle1[[#This Row],[Spalte12]]-Tabelle1[[#This Row],[Spalte11]]</f>
        <v>7.8E-2</v>
      </c>
      <c r="N61" s="46">
        <v>7.8E-2</v>
      </c>
      <c r="O61" s="46">
        <v>9.6000000000000002E-2</v>
      </c>
      <c r="P61" s="46">
        <v>0.12</v>
      </c>
      <c r="Q61" s="46">
        <v>6.2E-2</v>
      </c>
      <c r="R61" s="45">
        <v>17831617</v>
      </c>
      <c r="S61" s="39">
        <v>1.35</v>
      </c>
      <c r="T61" s="45">
        <v>5494675</v>
      </c>
      <c r="U61" s="45">
        <v>4082147</v>
      </c>
      <c r="V61" s="39">
        <v>1.23</v>
      </c>
      <c r="W61" s="45">
        <v>5483422</v>
      </c>
      <c r="X61" s="45">
        <v>4449142</v>
      </c>
      <c r="Y61" s="39">
        <v>1.32</v>
      </c>
      <c r="Z61" s="45">
        <v>5047056</v>
      </c>
      <c r="AA61" s="45">
        <v>3827317</v>
      </c>
      <c r="AB61" s="39">
        <v>1.32</v>
      </c>
      <c r="AC61" s="45">
        <v>5288817</v>
      </c>
      <c r="AD61" s="45">
        <v>4019950</v>
      </c>
      <c r="AE61" s="38">
        <v>1.06</v>
      </c>
      <c r="AF61" s="47">
        <v>6516659</v>
      </c>
      <c r="AG61" s="47">
        <v>6151429</v>
      </c>
      <c r="AH61" s="27"/>
    </row>
    <row r="62" spans="1:34" ht="10.5" customHeight="1" x14ac:dyDescent="0.15">
      <c r="A62" s="23" t="s">
        <v>206</v>
      </c>
      <c r="B62" s="48">
        <v>5</v>
      </c>
      <c r="C62" s="48" t="str">
        <f>_xlfn.XLOOKUP(Tabelle1[[#This Row],[Spalte1]],[1]KeyMetrics2021!$A:$A,[1]KeyMetrics2021!$B:$B,"Nicht vorhanden")</f>
        <v>Nicht vorhanden</v>
      </c>
      <c r="D62" s="25">
        <v>16831</v>
      </c>
      <c r="E62" s="25">
        <v>31953</v>
      </c>
      <c r="F62" s="25">
        <v>31953</v>
      </c>
      <c r="G62" s="25">
        <v>31953</v>
      </c>
      <c r="H62" s="25">
        <v>210389</v>
      </c>
      <c r="I62" s="26">
        <v>0.152</v>
      </c>
      <c r="J62" s="26">
        <v>0.152</v>
      </c>
      <c r="K62" s="26">
        <v>0.152</v>
      </c>
      <c r="L62" s="26">
        <v>0</v>
      </c>
      <c r="M62" s="66">
        <f>Tabelle1[[#This Row],[Spalte12]]-Tabelle1[[#This Row],[Spalte11]]</f>
        <v>7.0000000000000007E-2</v>
      </c>
      <c r="N62" s="26">
        <v>7.0000000000000007E-2</v>
      </c>
      <c r="O62" s="26">
        <v>8.5000000000000006E-2</v>
      </c>
      <c r="P62" s="26">
        <v>0.105</v>
      </c>
      <c r="Q62" s="26">
        <v>0.03</v>
      </c>
      <c r="R62" s="25">
        <v>1049146</v>
      </c>
      <c r="S62" s="24">
        <v>3.85</v>
      </c>
      <c r="T62" s="25">
        <v>276498</v>
      </c>
      <c r="U62" s="25">
        <v>71759</v>
      </c>
      <c r="V62" s="24">
        <v>3.46</v>
      </c>
      <c r="W62" s="25">
        <v>221708</v>
      </c>
      <c r="X62" s="25">
        <v>64131</v>
      </c>
      <c r="Y62" s="24">
        <v>3.46</v>
      </c>
      <c r="Z62" s="25">
        <v>343575</v>
      </c>
      <c r="AA62" s="25">
        <v>99352</v>
      </c>
      <c r="AB62" s="24">
        <v>3.09</v>
      </c>
      <c r="AC62" s="25">
        <v>315387</v>
      </c>
      <c r="AD62" s="25">
        <v>102165</v>
      </c>
      <c r="AE62" s="38">
        <v>4.3499999999999996</v>
      </c>
      <c r="AF62" s="36">
        <v>591938</v>
      </c>
      <c r="AG62" s="36">
        <v>136199</v>
      </c>
      <c r="AH62" s="27"/>
    </row>
    <row r="63" spans="1:34" ht="10.5" customHeight="1" x14ac:dyDescent="0.15">
      <c r="A63" s="22" t="s">
        <v>76</v>
      </c>
      <c r="B63" s="44">
        <v>3</v>
      </c>
      <c r="C63" s="44">
        <f>_xlfn.XLOOKUP(Tabelle1[[#This Row],[Spalte1]],[1]KeyMetrics2021!$A:$A,[1]KeyMetrics2021!$B:$B,"Nicht vorhanden")</f>
        <v>3</v>
      </c>
      <c r="D63" s="45">
        <v>711793</v>
      </c>
      <c r="E63" s="45">
        <v>1869145</v>
      </c>
      <c r="F63" s="45">
        <v>1538195</v>
      </c>
      <c r="G63" s="45">
        <v>1538195</v>
      </c>
      <c r="H63" s="45">
        <v>8897417</v>
      </c>
      <c r="I63" s="46">
        <v>0.17299999999999999</v>
      </c>
      <c r="J63" s="46">
        <v>0.17299999999999999</v>
      </c>
      <c r="K63" s="46">
        <v>0.21</v>
      </c>
      <c r="L63" s="46">
        <v>0</v>
      </c>
      <c r="M63" s="65">
        <f>Tabelle1[[#This Row],[Spalte12]]-Tabelle1[[#This Row],[Spalte11]]</f>
        <v>7.8E-2</v>
      </c>
      <c r="N63" s="46">
        <v>7.8E-2</v>
      </c>
      <c r="O63" s="46">
        <v>9.6000000000000002E-2</v>
      </c>
      <c r="P63" s="46">
        <v>0.12</v>
      </c>
      <c r="Q63" s="46">
        <v>7.5999999999999998E-2</v>
      </c>
      <c r="R63" s="45">
        <v>20238991</v>
      </c>
      <c r="S63" s="39">
        <v>1.83</v>
      </c>
      <c r="T63" s="45">
        <v>2646107</v>
      </c>
      <c r="U63" s="45">
        <v>1449295</v>
      </c>
      <c r="V63" s="39">
        <v>1.83</v>
      </c>
      <c r="W63" s="45">
        <v>2823755</v>
      </c>
      <c r="X63" s="45">
        <v>1540588</v>
      </c>
      <c r="Y63" s="39">
        <v>2.36</v>
      </c>
      <c r="Z63" s="45">
        <v>3619462</v>
      </c>
      <c r="AA63" s="45">
        <v>1535014</v>
      </c>
      <c r="AB63" s="39">
        <v>2.02</v>
      </c>
      <c r="AC63" s="45">
        <v>5320292</v>
      </c>
      <c r="AD63" s="45">
        <v>2633129</v>
      </c>
      <c r="AE63" s="38">
        <v>1.44</v>
      </c>
      <c r="AF63" s="47">
        <v>9262565</v>
      </c>
      <c r="AG63" s="47">
        <v>6418794</v>
      </c>
      <c r="AH63" s="27"/>
    </row>
    <row r="64" spans="1:34" ht="10.5" customHeight="1" x14ac:dyDescent="0.15">
      <c r="A64" s="23" t="s">
        <v>4</v>
      </c>
      <c r="B64" s="48">
        <v>5</v>
      </c>
      <c r="C64" s="48">
        <f>_xlfn.XLOOKUP(Tabelle1[[#This Row],[Spalte1]],[1]KeyMetrics2021!$A:$A,[1]KeyMetrics2021!$B:$B,"Nicht vorhanden")</f>
        <v>5</v>
      </c>
      <c r="D64" s="25">
        <v>3403</v>
      </c>
      <c r="E64" s="25">
        <v>9369</v>
      </c>
      <c r="F64" s="25">
        <v>8000</v>
      </c>
      <c r="G64" s="25">
        <v>8000</v>
      </c>
      <c r="H64" s="25">
        <v>42539</v>
      </c>
      <c r="I64" s="26">
        <v>0.188</v>
      </c>
      <c r="J64" s="26">
        <v>0.188</v>
      </c>
      <c r="K64" s="26">
        <v>0.22</v>
      </c>
      <c r="L64" s="26">
        <v>2.5000000000000001E-2</v>
      </c>
      <c r="M64" s="66">
        <f>Tabelle1[[#This Row],[Spalte12]]-Tabelle1[[#This Row],[Spalte11]]</f>
        <v>7.0000000000000007E-2</v>
      </c>
      <c r="N64" s="26">
        <v>9.5000000000000001E-2</v>
      </c>
      <c r="O64" s="26">
        <v>0.11</v>
      </c>
      <c r="P64" s="26">
        <v>0.13</v>
      </c>
      <c r="Q64" s="26">
        <v>6.8000000000000005E-2</v>
      </c>
      <c r="R64" s="25">
        <v>118498</v>
      </c>
      <c r="S64" s="24">
        <v>2.19</v>
      </c>
      <c r="T64" s="25">
        <v>20037</v>
      </c>
      <c r="U64" s="25">
        <v>9154</v>
      </c>
      <c r="V64" s="24">
        <v>2.5299999999999998</v>
      </c>
      <c r="W64" s="25">
        <v>24218</v>
      </c>
      <c r="X64" s="25">
        <v>9560</v>
      </c>
      <c r="Y64" s="24">
        <v>2.58</v>
      </c>
      <c r="Z64" s="25">
        <v>24511</v>
      </c>
      <c r="AA64" s="25">
        <v>9512</v>
      </c>
      <c r="AB64" s="24">
        <v>2.63</v>
      </c>
      <c r="AC64" s="25">
        <v>25259</v>
      </c>
      <c r="AD64" s="25">
        <v>9587</v>
      </c>
      <c r="AE64" s="38">
        <v>1.93</v>
      </c>
      <c r="AF64" s="36">
        <v>109984</v>
      </c>
      <c r="AG64" s="36">
        <v>56934</v>
      </c>
      <c r="AH64" s="27"/>
    </row>
    <row r="65" spans="1:34" ht="10.5" customHeight="1" x14ac:dyDescent="0.15">
      <c r="A65" s="22" t="s">
        <v>32</v>
      </c>
      <c r="B65" s="44">
        <v>5</v>
      </c>
      <c r="C65" s="44">
        <f>_xlfn.XLOOKUP(Tabelle1[[#This Row],[Spalte1]],[1]KeyMetrics2021!$A:$A,[1]KeyMetrics2021!$B:$B,"Nicht vorhanden")</f>
        <v>5</v>
      </c>
      <c r="D65" s="45">
        <v>22492</v>
      </c>
      <c r="E65" s="45">
        <v>52644</v>
      </c>
      <c r="F65" s="45">
        <v>47144</v>
      </c>
      <c r="G65" s="45">
        <v>47144</v>
      </c>
      <c r="H65" s="45">
        <v>281155</v>
      </c>
      <c r="I65" s="46">
        <v>0.16800000000000001</v>
      </c>
      <c r="J65" s="46">
        <v>0.16800000000000001</v>
      </c>
      <c r="K65" s="46">
        <v>0.187</v>
      </c>
      <c r="L65" s="46">
        <v>1.4E-2</v>
      </c>
      <c r="M65" s="65">
        <f>Tabelle1[[#This Row],[Spalte12]]-Tabelle1[[#This Row],[Spalte11]]</f>
        <v>7.0000000000000007E-2</v>
      </c>
      <c r="N65" s="46">
        <v>8.4000000000000005E-2</v>
      </c>
      <c r="O65" s="46">
        <v>9.9000000000000005E-2</v>
      </c>
      <c r="P65" s="46">
        <v>0.11899999999999999</v>
      </c>
      <c r="Q65" s="46">
        <v>7.1999999999999995E-2</v>
      </c>
      <c r="R65" s="45">
        <v>653408</v>
      </c>
      <c r="S65" s="39">
        <v>11.88</v>
      </c>
      <c r="T65" s="45">
        <v>99981</v>
      </c>
      <c r="U65" s="45">
        <v>8412</v>
      </c>
      <c r="V65" s="39">
        <v>13.53</v>
      </c>
      <c r="W65" s="45">
        <v>108923</v>
      </c>
      <c r="X65" s="45">
        <v>8052</v>
      </c>
      <c r="Y65" s="39">
        <v>9.5</v>
      </c>
      <c r="Z65" s="45">
        <v>114306</v>
      </c>
      <c r="AA65" s="45">
        <v>12026</v>
      </c>
      <c r="AB65" s="39">
        <v>12.5</v>
      </c>
      <c r="AC65" s="45">
        <v>113290</v>
      </c>
      <c r="AD65" s="45">
        <v>9066</v>
      </c>
      <c r="AE65" s="38">
        <v>1.66</v>
      </c>
      <c r="AF65" s="47">
        <v>595114</v>
      </c>
      <c r="AG65" s="47">
        <v>357548</v>
      </c>
      <c r="AH65" s="27"/>
    </row>
    <row r="66" spans="1:34" ht="10.5" customHeight="1" x14ac:dyDescent="0.15">
      <c r="A66" s="23" t="s">
        <v>67</v>
      </c>
      <c r="B66" s="48">
        <v>4</v>
      </c>
      <c r="C66" s="48">
        <f>_xlfn.XLOOKUP(Tabelle1[[#This Row],[Spalte1]],[1]KeyMetrics2021!$A:$A,[1]KeyMetrics2021!$B:$B,"Nicht vorhanden")</f>
        <v>4</v>
      </c>
      <c r="D66" s="25">
        <v>64342</v>
      </c>
      <c r="E66" s="25">
        <v>277725</v>
      </c>
      <c r="F66" s="25">
        <v>277725</v>
      </c>
      <c r="G66" s="25">
        <v>277725</v>
      </c>
      <c r="H66" s="25">
        <v>804269</v>
      </c>
      <c r="I66" s="26">
        <v>0.34499999999999997</v>
      </c>
      <c r="J66" s="26">
        <v>0.34499999999999997</v>
      </c>
      <c r="K66" s="26">
        <v>0.34499999999999997</v>
      </c>
      <c r="L66" s="26">
        <v>0</v>
      </c>
      <c r="M66" s="66">
        <f>Tabelle1[[#This Row],[Spalte12]]-Tabelle1[[#This Row],[Spalte11]]</f>
        <v>7.3999999999999996E-2</v>
      </c>
      <c r="N66" s="26">
        <v>7.3999999999999996E-2</v>
      </c>
      <c r="O66" s="26">
        <v>0.09</v>
      </c>
      <c r="P66" s="26">
        <v>0.112</v>
      </c>
      <c r="Q66" s="26">
        <v>7.0000000000000007E-2</v>
      </c>
      <c r="R66" s="25">
        <v>3978764</v>
      </c>
      <c r="S66" s="24">
        <v>4.28</v>
      </c>
      <c r="T66" s="25">
        <v>1698195</v>
      </c>
      <c r="U66" s="25">
        <v>397068</v>
      </c>
      <c r="V66" s="24">
        <v>2.77</v>
      </c>
      <c r="W66" s="25">
        <v>1922275</v>
      </c>
      <c r="X66" s="25">
        <v>694277</v>
      </c>
      <c r="Y66" s="24">
        <v>4.17</v>
      </c>
      <c r="Z66" s="25">
        <v>1840059</v>
      </c>
      <c r="AA66" s="25">
        <v>441207</v>
      </c>
      <c r="AB66" s="24">
        <v>2.76</v>
      </c>
      <c r="AC66" s="25">
        <v>1673390</v>
      </c>
      <c r="AD66" s="25">
        <v>607355</v>
      </c>
      <c r="AE66" s="38">
        <v>2.5099999999999998</v>
      </c>
      <c r="AF66" s="36">
        <v>2809486</v>
      </c>
      <c r="AG66" s="36">
        <v>1119440</v>
      </c>
      <c r="AH66" s="27"/>
    </row>
    <row r="67" spans="1:34" ht="10.5" customHeight="1" x14ac:dyDescent="0.15">
      <c r="A67" s="22" t="s">
        <v>124</v>
      </c>
      <c r="B67" s="44">
        <v>4</v>
      </c>
      <c r="C67" s="44">
        <f>_xlfn.XLOOKUP(Tabelle1[[#This Row],[Spalte1]],[1]KeyMetrics2021!$A:$A,[1]KeyMetrics2021!$B:$B,"Nicht vorhanden")</f>
        <v>4</v>
      </c>
      <c r="D67" s="45">
        <v>475025</v>
      </c>
      <c r="E67" s="45">
        <v>1058287</v>
      </c>
      <c r="F67" s="45">
        <v>905014</v>
      </c>
      <c r="G67" s="45">
        <v>1055014</v>
      </c>
      <c r="H67" s="45">
        <v>5937808</v>
      </c>
      <c r="I67" s="46">
        <v>0.152</v>
      </c>
      <c r="J67" s="46">
        <v>0.17799999999999999</v>
      </c>
      <c r="K67" s="46">
        <v>0.17799999999999999</v>
      </c>
      <c r="L67" s="46">
        <v>0</v>
      </c>
      <c r="M67" s="65">
        <f>Tabelle1[[#This Row],[Spalte12]]-Tabelle1[[#This Row],[Spalte11]]</f>
        <v>7.3999999999999996E-2</v>
      </c>
      <c r="N67" s="46">
        <v>7.3999999999999996E-2</v>
      </c>
      <c r="O67" s="46">
        <v>0.09</v>
      </c>
      <c r="P67" s="46">
        <v>0.112</v>
      </c>
      <c r="Q67" s="46">
        <v>0.13500000000000001</v>
      </c>
      <c r="R67" s="45">
        <v>7791883</v>
      </c>
      <c r="S67" s="39">
        <v>6.2</v>
      </c>
      <c r="T67" s="45">
        <v>473912</v>
      </c>
      <c r="U67" s="45">
        <v>76385</v>
      </c>
      <c r="V67" s="39">
        <v>7.78</v>
      </c>
      <c r="W67" s="45">
        <v>442670</v>
      </c>
      <c r="X67" s="45">
        <v>56867</v>
      </c>
      <c r="Y67" s="39">
        <v>4.3600000000000003</v>
      </c>
      <c r="Z67" s="45">
        <v>446274</v>
      </c>
      <c r="AA67" s="45">
        <v>102260</v>
      </c>
      <c r="AB67" s="39">
        <v>3.36</v>
      </c>
      <c r="AC67" s="45">
        <v>617988</v>
      </c>
      <c r="AD67" s="45">
        <v>183920</v>
      </c>
      <c r="AE67" s="38">
        <v>1.07</v>
      </c>
      <c r="AF67" s="47">
        <v>5539629</v>
      </c>
      <c r="AG67" s="47">
        <v>5171007</v>
      </c>
      <c r="AH67" s="27"/>
    </row>
    <row r="68" spans="1:34" ht="10.5" customHeight="1" x14ac:dyDescent="0.15">
      <c r="A68" s="23" t="s">
        <v>84</v>
      </c>
      <c r="B68" s="48">
        <v>4</v>
      </c>
      <c r="C68" s="58">
        <f>_xlfn.XLOOKUP(Tabelle1[[#This Row],[Spalte1]],[1]KeyMetrics2021!$A:$A,[1]KeyMetrics2021!$B:$B,"Nicht vorhanden")</f>
        <v>5</v>
      </c>
      <c r="D68" s="25">
        <v>32164</v>
      </c>
      <c r="E68" s="25">
        <v>85486</v>
      </c>
      <c r="F68" s="25">
        <v>83890</v>
      </c>
      <c r="G68" s="25">
        <v>83890</v>
      </c>
      <c r="H68" s="25">
        <v>402051</v>
      </c>
      <c r="I68" s="26">
        <v>0.20899999999999999</v>
      </c>
      <c r="J68" s="26">
        <v>0.20899999999999999</v>
      </c>
      <c r="K68" s="26">
        <v>0.21299999999999999</v>
      </c>
      <c r="L68" s="26">
        <v>0</v>
      </c>
      <c r="M68" s="66">
        <f>Tabelle1[[#This Row],[Spalte12]]-Tabelle1[[#This Row],[Spalte11]]</f>
        <v>7.3999999999999996E-2</v>
      </c>
      <c r="N68" s="26">
        <v>7.3999999999999996E-2</v>
      </c>
      <c r="O68" s="26">
        <v>0.09</v>
      </c>
      <c r="P68" s="26">
        <v>0.112</v>
      </c>
      <c r="Q68" s="26">
        <v>3.6999999999999998E-2</v>
      </c>
      <c r="R68" s="25">
        <v>2294054</v>
      </c>
      <c r="S68" s="24">
        <v>5.0999999999999996</v>
      </c>
      <c r="T68" s="25">
        <v>951978</v>
      </c>
      <c r="U68" s="25">
        <v>186535</v>
      </c>
      <c r="V68" s="24">
        <v>5.53</v>
      </c>
      <c r="W68" s="25">
        <v>1337393</v>
      </c>
      <c r="X68" s="25">
        <v>241758</v>
      </c>
      <c r="Y68" s="24">
        <v>4.05</v>
      </c>
      <c r="Z68" s="25">
        <v>1565936</v>
      </c>
      <c r="AA68" s="25">
        <v>386248</v>
      </c>
      <c r="AB68" s="24">
        <v>3.89</v>
      </c>
      <c r="AC68" s="25">
        <v>1647092</v>
      </c>
      <c r="AD68" s="25">
        <v>423177</v>
      </c>
      <c r="AE68" s="38">
        <v>4.7300000000000004</v>
      </c>
      <c r="AF68" s="36">
        <v>1418561</v>
      </c>
      <c r="AG68" s="36">
        <v>299717</v>
      </c>
      <c r="AH68" s="27"/>
    </row>
    <row r="69" spans="1:34" ht="10.5" customHeight="1" x14ac:dyDescent="0.15">
      <c r="A69" s="22" t="s">
        <v>108</v>
      </c>
      <c r="B69" s="44">
        <v>4</v>
      </c>
      <c r="C69" s="44">
        <f>_xlfn.XLOOKUP(Tabelle1[[#This Row],[Spalte1]],[1]KeyMetrics2021!$A:$A,[1]KeyMetrics2021!$B:$B,"Nicht vorhanden")</f>
        <v>4</v>
      </c>
      <c r="D69" s="45">
        <v>492070</v>
      </c>
      <c r="E69" s="45">
        <v>1255548</v>
      </c>
      <c r="F69" s="45">
        <v>1240556</v>
      </c>
      <c r="G69" s="45">
        <v>1240556</v>
      </c>
      <c r="H69" s="45">
        <v>6150877</v>
      </c>
      <c r="I69" s="46">
        <v>0.20200000000000001</v>
      </c>
      <c r="J69" s="46">
        <v>0.20200000000000001</v>
      </c>
      <c r="K69" s="46">
        <v>0.20399999999999999</v>
      </c>
      <c r="L69" s="46">
        <v>1.4E-2</v>
      </c>
      <c r="M69" s="65">
        <f>Tabelle1[[#This Row],[Spalte12]]-Tabelle1[[#This Row],[Spalte11]]</f>
        <v>7.3999999999999996E-2</v>
      </c>
      <c r="N69" s="46">
        <v>8.7999999999999995E-2</v>
      </c>
      <c r="O69" s="46">
        <v>0.104</v>
      </c>
      <c r="P69" s="46">
        <v>0.126</v>
      </c>
      <c r="Q69" s="46">
        <v>8.8999999999999996E-2</v>
      </c>
      <c r="R69" s="45">
        <v>13914575</v>
      </c>
      <c r="S69" s="39">
        <v>2.16</v>
      </c>
      <c r="T69" s="45">
        <v>3069683</v>
      </c>
      <c r="U69" s="45">
        <v>1421893</v>
      </c>
      <c r="V69" s="39">
        <v>2</v>
      </c>
      <c r="W69" s="45">
        <v>3067408</v>
      </c>
      <c r="X69" s="45">
        <v>1534805</v>
      </c>
      <c r="Y69" s="39">
        <v>1.64</v>
      </c>
      <c r="Z69" s="45">
        <v>2384801</v>
      </c>
      <c r="AA69" s="45">
        <v>1452066</v>
      </c>
      <c r="AB69" s="39">
        <v>1.42</v>
      </c>
      <c r="AC69" s="45">
        <v>1579548</v>
      </c>
      <c r="AD69" s="45">
        <v>1110829</v>
      </c>
      <c r="AE69" s="38">
        <v>1.31</v>
      </c>
      <c r="AF69" s="47">
        <v>11986815</v>
      </c>
      <c r="AG69" s="47">
        <v>9149239</v>
      </c>
      <c r="AH69" s="27"/>
    </row>
    <row r="70" spans="1:34" ht="10.5" customHeight="1" x14ac:dyDescent="0.15">
      <c r="A70" s="23" t="s">
        <v>33</v>
      </c>
      <c r="B70" s="48">
        <v>4</v>
      </c>
      <c r="C70" s="48">
        <f>_xlfn.XLOOKUP(Tabelle1[[#This Row],[Spalte1]],[1]KeyMetrics2021!$A:$A,[1]KeyMetrics2021!$B:$B,"Nicht vorhanden")</f>
        <v>4</v>
      </c>
      <c r="D70" s="25">
        <v>387518</v>
      </c>
      <c r="E70" s="25">
        <v>1047205</v>
      </c>
      <c r="F70" s="25">
        <v>1047205</v>
      </c>
      <c r="G70" s="25">
        <v>1047205</v>
      </c>
      <c r="H70" s="25">
        <v>4843980</v>
      </c>
      <c r="I70" s="26">
        <v>0.216</v>
      </c>
      <c r="J70" s="26">
        <v>0.216</v>
      </c>
      <c r="K70" s="26">
        <v>0.216</v>
      </c>
      <c r="L70" s="26">
        <v>3.0000000000000001E-3</v>
      </c>
      <c r="M70" s="66">
        <f>Tabelle1[[#This Row],[Spalte12]]-Tabelle1[[#This Row],[Spalte11]]</f>
        <v>7.3999999999999996E-2</v>
      </c>
      <c r="N70" s="26">
        <v>7.6999999999999999E-2</v>
      </c>
      <c r="O70" s="26">
        <v>9.2999999999999999E-2</v>
      </c>
      <c r="P70" s="26">
        <v>0.115</v>
      </c>
      <c r="Q70" s="26">
        <v>0.113</v>
      </c>
      <c r="R70" s="25">
        <v>9302198</v>
      </c>
      <c r="S70" s="24">
        <v>2</v>
      </c>
      <c r="T70" s="25">
        <v>2465540</v>
      </c>
      <c r="U70" s="25">
        <v>1230422</v>
      </c>
      <c r="V70" s="24">
        <v>1.96</v>
      </c>
      <c r="W70" s="25">
        <v>2326962</v>
      </c>
      <c r="X70" s="25">
        <v>1189744</v>
      </c>
      <c r="Y70" s="24">
        <v>1.8</v>
      </c>
      <c r="Z70" s="25">
        <v>2172148</v>
      </c>
      <c r="AA70" s="25">
        <v>1205833</v>
      </c>
      <c r="AB70" s="24">
        <v>1.81</v>
      </c>
      <c r="AC70" s="25">
        <v>2042069</v>
      </c>
      <c r="AD70" s="25">
        <v>1126575</v>
      </c>
      <c r="AE70" s="38">
        <v>1.69</v>
      </c>
      <c r="AF70" s="36">
        <v>5467335</v>
      </c>
      <c r="AG70" s="36">
        <v>3235601</v>
      </c>
      <c r="AH70" s="27"/>
    </row>
    <row r="71" spans="1:34" ht="10.5" customHeight="1" x14ac:dyDescent="0.15">
      <c r="A71" s="22" t="s">
        <v>97</v>
      </c>
      <c r="B71" s="44">
        <v>4</v>
      </c>
      <c r="C71" s="44">
        <f>_xlfn.XLOOKUP(Tabelle1[[#This Row],[Spalte1]],[1]KeyMetrics2021!$A:$A,[1]KeyMetrics2021!$B:$B,"Nicht vorhanden")</f>
        <v>4</v>
      </c>
      <c r="D71" s="45">
        <v>186470</v>
      </c>
      <c r="E71" s="45">
        <v>432770</v>
      </c>
      <c r="F71" s="45">
        <v>432770</v>
      </c>
      <c r="G71" s="45">
        <v>432770</v>
      </c>
      <c r="H71" s="45">
        <v>2330869</v>
      </c>
      <c r="I71" s="46">
        <v>0.186</v>
      </c>
      <c r="J71" s="46">
        <v>0.186</v>
      </c>
      <c r="K71" s="46">
        <v>0.186</v>
      </c>
      <c r="L71" s="46">
        <v>1.6E-2</v>
      </c>
      <c r="M71" s="65">
        <f>Tabelle1[[#This Row],[Spalte12]]-Tabelle1[[#This Row],[Spalte11]]</f>
        <v>7.3999999999999996E-2</v>
      </c>
      <c r="N71" s="46">
        <v>0.09</v>
      </c>
      <c r="O71" s="46">
        <v>0.106</v>
      </c>
      <c r="P71" s="46">
        <v>0.128</v>
      </c>
      <c r="Q71" s="46">
        <v>7.2999999999999995E-2</v>
      </c>
      <c r="R71" s="45">
        <v>5908803</v>
      </c>
      <c r="S71" s="39">
        <v>2.82</v>
      </c>
      <c r="T71" s="45">
        <v>698385</v>
      </c>
      <c r="U71" s="45">
        <v>247669</v>
      </c>
      <c r="V71" s="39">
        <v>2.33</v>
      </c>
      <c r="W71" s="45">
        <v>686438</v>
      </c>
      <c r="X71" s="45">
        <v>294769</v>
      </c>
      <c r="Y71" s="39">
        <v>1.85</v>
      </c>
      <c r="Z71" s="45">
        <v>546593</v>
      </c>
      <c r="AA71" s="45">
        <v>295226</v>
      </c>
      <c r="AB71" s="39">
        <v>1.74</v>
      </c>
      <c r="AC71" s="45">
        <v>419008</v>
      </c>
      <c r="AD71" s="45">
        <v>240567</v>
      </c>
      <c r="AE71" s="38">
        <v>1.1000000000000001</v>
      </c>
      <c r="AF71" s="47">
        <v>4680166</v>
      </c>
      <c r="AG71" s="47">
        <v>4242668</v>
      </c>
      <c r="AH71" s="27"/>
    </row>
    <row r="72" spans="1:34" ht="10.5" customHeight="1" x14ac:dyDescent="0.15">
      <c r="A72" s="23" t="s">
        <v>56</v>
      </c>
      <c r="B72" s="48">
        <v>5</v>
      </c>
      <c r="C72" s="48">
        <f>_xlfn.XLOOKUP(Tabelle1[[#This Row],[Spalte1]],[1]KeyMetrics2021!$A:$A,[1]KeyMetrics2021!$B:$B,"Nicht vorhanden")</f>
        <v>5</v>
      </c>
      <c r="D72" s="25">
        <v>39242</v>
      </c>
      <c r="E72" s="25">
        <v>125636</v>
      </c>
      <c r="F72" s="25">
        <v>125636</v>
      </c>
      <c r="G72" s="25">
        <v>125636</v>
      </c>
      <c r="H72" s="25">
        <v>490525</v>
      </c>
      <c r="I72" s="26">
        <v>0.25600000000000001</v>
      </c>
      <c r="J72" s="26">
        <v>0.25600000000000001</v>
      </c>
      <c r="K72" s="26">
        <v>0.25600000000000001</v>
      </c>
      <c r="L72" s="26">
        <v>0</v>
      </c>
      <c r="M72" s="66">
        <f>Tabelle1[[#This Row],[Spalte12]]-Tabelle1[[#This Row],[Spalte11]]</f>
        <v>7.0000000000000007E-2</v>
      </c>
      <c r="N72" s="26">
        <v>7.0000000000000007E-2</v>
      </c>
      <c r="O72" s="26">
        <v>8.5000000000000006E-2</v>
      </c>
      <c r="P72" s="26">
        <v>0.105</v>
      </c>
      <c r="Q72" s="26">
        <v>0.16900000000000001</v>
      </c>
      <c r="R72" s="25">
        <v>741661</v>
      </c>
      <c r="S72" s="24">
        <v>2</v>
      </c>
      <c r="T72" s="25">
        <v>149307</v>
      </c>
      <c r="U72" s="25">
        <v>74719</v>
      </c>
      <c r="V72" s="24">
        <v>2.9</v>
      </c>
      <c r="W72" s="25">
        <v>115956</v>
      </c>
      <c r="X72" s="25">
        <v>40017</v>
      </c>
      <c r="Y72" s="24">
        <v>2.85</v>
      </c>
      <c r="Z72" s="25">
        <v>213985</v>
      </c>
      <c r="AA72" s="25">
        <v>74992</v>
      </c>
      <c r="AB72" s="24">
        <v>3.37</v>
      </c>
      <c r="AC72" s="25">
        <v>189752</v>
      </c>
      <c r="AD72" s="25">
        <v>56276</v>
      </c>
      <c r="AE72" s="38">
        <v>1.85</v>
      </c>
      <c r="AF72" s="36">
        <v>337735</v>
      </c>
      <c r="AG72" s="36">
        <v>183006</v>
      </c>
      <c r="AH72" s="27"/>
    </row>
    <row r="73" spans="1:34" ht="10.5" customHeight="1" x14ac:dyDescent="0.15">
      <c r="A73" s="22" t="s">
        <v>186</v>
      </c>
      <c r="B73" s="44">
        <v>5</v>
      </c>
      <c r="C73" s="44">
        <f>_xlfn.XLOOKUP(Tabelle1[[#This Row],[Spalte1]],[1]KeyMetrics2021!$A:$A,[1]KeyMetrics2021!$B:$B,"Nicht vorhanden")</f>
        <v>5</v>
      </c>
      <c r="D73" s="45">
        <v>9664</v>
      </c>
      <c r="E73" s="45">
        <v>65521</v>
      </c>
      <c r="F73" s="45">
        <v>65521</v>
      </c>
      <c r="G73" s="45">
        <v>65521</v>
      </c>
      <c r="H73" s="45">
        <v>120803</v>
      </c>
      <c r="I73" s="46">
        <v>0.54200000000000004</v>
      </c>
      <c r="J73" s="46">
        <v>0.54200000000000004</v>
      </c>
      <c r="K73" s="46">
        <v>0.54200000000000004</v>
      </c>
      <c r="L73" s="46">
        <v>0</v>
      </c>
      <c r="M73" s="65">
        <f>Tabelle1[[#This Row],[Spalte12]]-Tabelle1[[#This Row],[Spalte11]]</f>
        <v>7.0000000000000007E-2</v>
      </c>
      <c r="N73" s="46">
        <v>7.0000000000000007E-2</v>
      </c>
      <c r="O73" s="46">
        <v>8.5000000000000006E-2</v>
      </c>
      <c r="P73" s="46">
        <v>0.105</v>
      </c>
      <c r="Q73" s="46">
        <v>0.90300000000000002</v>
      </c>
      <c r="R73" s="45">
        <v>72527</v>
      </c>
      <c r="S73" s="53" t="s">
        <v>220</v>
      </c>
      <c r="T73" s="53" t="s">
        <v>220</v>
      </c>
      <c r="U73" s="53" t="s">
        <v>220</v>
      </c>
      <c r="V73" s="53" t="s">
        <v>220</v>
      </c>
      <c r="W73" s="53" t="s">
        <v>220</v>
      </c>
      <c r="X73" s="53" t="s">
        <v>220</v>
      </c>
      <c r="Y73" s="53" t="s">
        <v>220</v>
      </c>
      <c r="Z73" s="53" t="s">
        <v>220</v>
      </c>
      <c r="AA73" s="53" t="s">
        <v>220</v>
      </c>
      <c r="AB73" s="53" t="s">
        <v>220</v>
      </c>
      <c r="AC73" s="53" t="s">
        <v>220</v>
      </c>
      <c r="AD73" s="53" t="s">
        <v>220</v>
      </c>
      <c r="AE73" s="38">
        <v>2.0299999999999998</v>
      </c>
      <c r="AF73" s="47">
        <v>67494</v>
      </c>
      <c r="AG73" s="47">
        <v>33298</v>
      </c>
      <c r="AH73" s="27"/>
    </row>
    <row r="74" spans="1:34" ht="10.5" customHeight="1" x14ac:dyDescent="0.15">
      <c r="A74" s="23" t="s">
        <v>81</v>
      </c>
      <c r="B74" s="48">
        <v>5</v>
      </c>
      <c r="C74" s="48">
        <f>_xlfn.XLOOKUP(Tabelle1[[#This Row],[Spalte1]],[1]KeyMetrics2021!$A:$A,[1]KeyMetrics2021!$B:$B,"Nicht vorhanden")</f>
        <v>5</v>
      </c>
      <c r="D74" s="25">
        <v>1257</v>
      </c>
      <c r="E74" s="25">
        <v>6929</v>
      </c>
      <c r="F74" s="25">
        <v>6929</v>
      </c>
      <c r="G74" s="25">
        <v>6929</v>
      </c>
      <c r="H74" s="25">
        <v>15719</v>
      </c>
      <c r="I74" s="26">
        <v>0.441</v>
      </c>
      <c r="J74" s="26">
        <v>0.441</v>
      </c>
      <c r="K74" s="26">
        <v>0.441</v>
      </c>
      <c r="L74" s="26">
        <v>0</v>
      </c>
      <c r="M74" s="66">
        <f>Tabelle1[[#This Row],[Spalte12]]-Tabelle1[[#This Row],[Spalte11]]</f>
        <v>7.0000000000000007E-2</v>
      </c>
      <c r="N74" s="26">
        <v>7.0000000000000007E-2</v>
      </c>
      <c r="O74" s="26">
        <v>8.5000000000000006E-2</v>
      </c>
      <c r="P74" s="26">
        <v>0.105</v>
      </c>
      <c r="Q74" s="26">
        <v>0.25900000000000001</v>
      </c>
      <c r="R74" s="25">
        <v>26758</v>
      </c>
      <c r="S74" s="24" t="s">
        <v>221</v>
      </c>
      <c r="T74" s="24" t="s">
        <v>221</v>
      </c>
      <c r="U74" s="24" t="s">
        <v>221</v>
      </c>
      <c r="V74" s="24">
        <v>1.21</v>
      </c>
      <c r="W74" s="25">
        <v>667</v>
      </c>
      <c r="X74" s="25">
        <v>552</v>
      </c>
      <c r="Y74" s="24">
        <v>1.49</v>
      </c>
      <c r="Z74" s="25">
        <v>2000</v>
      </c>
      <c r="AA74" s="25">
        <v>1340</v>
      </c>
      <c r="AB74" s="24">
        <v>4.03</v>
      </c>
      <c r="AC74" s="25">
        <v>4051</v>
      </c>
      <c r="AD74" s="25">
        <v>1006</v>
      </c>
      <c r="AE74" s="38">
        <v>5.56</v>
      </c>
      <c r="AF74" s="36">
        <v>21535</v>
      </c>
      <c r="AG74" s="36">
        <v>3870</v>
      </c>
      <c r="AH74" s="27"/>
    </row>
    <row r="75" spans="1:34" ht="10.5" customHeight="1" x14ac:dyDescent="0.15">
      <c r="A75" s="22" t="s">
        <v>41</v>
      </c>
      <c r="B75" s="44">
        <v>4</v>
      </c>
      <c r="C75" s="44">
        <f>_xlfn.XLOOKUP(Tabelle1[[#This Row],[Spalte1]],[1]KeyMetrics2021!$A:$A,[1]KeyMetrics2021!$B:$B,"Nicht vorhanden")</f>
        <v>4</v>
      </c>
      <c r="D75" s="45">
        <v>246943</v>
      </c>
      <c r="E75" s="45">
        <v>636699</v>
      </c>
      <c r="F75" s="45">
        <v>584398</v>
      </c>
      <c r="G75" s="45">
        <v>584398</v>
      </c>
      <c r="H75" s="45">
        <v>3086781</v>
      </c>
      <c r="I75" s="46">
        <v>0.189</v>
      </c>
      <c r="J75" s="46">
        <v>0.189</v>
      </c>
      <c r="K75" s="46">
        <v>0.20599999999999999</v>
      </c>
      <c r="L75" s="46">
        <v>0</v>
      </c>
      <c r="M75" s="65">
        <f>Tabelle1[[#This Row],[Spalte12]]-Tabelle1[[#This Row],[Spalte11]]</f>
        <v>7.3999999999999996E-2</v>
      </c>
      <c r="N75" s="46">
        <v>7.3999999999999996E-2</v>
      </c>
      <c r="O75" s="46">
        <v>0.09</v>
      </c>
      <c r="P75" s="46">
        <v>0.112</v>
      </c>
      <c r="Q75" s="46">
        <v>7.1999999999999995E-2</v>
      </c>
      <c r="R75" s="45">
        <v>8143162</v>
      </c>
      <c r="S75" s="39">
        <v>1.76</v>
      </c>
      <c r="T75" s="45">
        <v>1281661</v>
      </c>
      <c r="U75" s="45">
        <v>728876</v>
      </c>
      <c r="V75" s="39">
        <v>1.96</v>
      </c>
      <c r="W75" s="45">
        <v>1144832</v>
      </c>
      <c r="X75" s="45">
        <v>585416</v>
      </c>
      <c r="Y75" s="39">
        <v>2.34</v>
      </c>
      <c r="Z75" s="45">
        <v>1072977</v>
      </c>
      <c r="AA75" s="45">
        <v>457812</v>
      </c>
      <c r="AB75" s="39">
        <v>1.87</v>
      </c>
      <c r="AC75" s="45">
        <v>1006735</v>
      </c>
      <c r="AD75" s="45">
        <v>537549</v>
      </c>
      <c r="AE75" s="38">
        <v>1.1200000000000001</v>
      </c>
      <c r="AF75" s="47">
        <v>3890523</v>
      </c>
      <c r="AG75" s="47">
        <v>3480557</v>
      </c>
      <c r="AH75" s="27"/>
    </row>
    <row r="76" spans="1:34" ht="10.5" customHeight="1" x14ac:dyDescent="0.15">
      <c r="A76" s="23" t="s">
        <v>63</v>
      </c>
      <c r="B76" s="48">
        <v>4</v>
      </c>
      <c r="C76" s="48">
        <f>_xlfn.XLOOKUP(Tabelle1[[#This Row],[Spalte1]],[1]KeyMetrics2021!$A:$A,[1]KeyMetrics2021!$B:$B,"Nicht vorhanden")</f>
        <v>4</v>
      </c>
      <c r="D76" s="25">
        <v>171041</v>
      </c>
      <c r="E76" s="25">
        <v>564824</v>
      </c>
      <c r="F76" s="25">
        <v>564824</v>
      </c>
      <c r="G76" s="25">
        <v>564824</v>
      </c>
      <c r="H76" s="25">
        <v>2138016</v>
      </c>
      <c r="I76" s="26">
        <v>0.26400000000000001</v>
      </c>
      <c r="J76" s="26">
        <v>0.26400000000000001</v>
      </c>
      <c r="K76" s="26">
        <v>0.26400000000000001</v>
      </c>
      <c r="L76" s="26">
        <v>2E-3</v>
      </c>
      <c r="M76" s="66">
        <f>Tabelle1[[#This Row],[Spalte12]]-Tabelle1[[#This Row],[Spalte11]]</f>
        <v>7.3999999999999996E-2</v>
      </c>
      <c r="N76" s="26">
        <v>7.5999999999999998E-2</v>
      </c>
      <c r="O76" s="26">
        <v>9.1999999999999998E-2</v>
      </c>
      <c r="P76" s="26">
        <v>0.114</v>
      </c>
      <c r="Q76" s="26">
        <v>0.215</v>
      </c>
      <c r="R76" s="25">
        <v>2621371</v>
      </c>
      <c r="S76" s="24">
        <v>4.0599999999999996</v>
      </c>
      <c r="T76" s="25">
        <v>837082</v>
      </c>
      <c r="U76" s="25">
        <v>206049</v>
      </c>
      <c r="V76" s="24">
        <v>3.7</v>
      </c>
      <c r="W76" s="25">
        <v>864830</v>
      </c>
      <c r="X76" s="25">
        <v>233995</v>
      </c>
      <c r="Y76" s="24">
        <v>3.53</v>
      </c>
      <c r="Z76" s="25">
        <v>774582</v>
      </c>
      <c r="AA76" s="25">
        <v>219380</v>
      </c>
      <c r="AB76" s="24">
        <v>4.42</v>
      </c>
      <c r="AC76" s="25">
        <v>711307</v>
      </c>
      <c r="AD76" s="25">
        <v>160888</v>
      </c>
      <c r="AE76" s="38">
        <v>1.23</v>
      </c>
      <c r="AF76" s="36">
        <v>1692413</v>
      </c>
      <c r="AG76" s="36">
        <v>1380130</v>
      </c>
      <c r="AH76" s="27"/>
    </row>
    <row r="77" spans="1:34" ht="10.5" customHeight="1" x14ac:dyDescent="0.15">
      <c r="A77" s="22" t="s">
        <v>112</v>
      </c>
      <c r="B77" s="44">
        <v>5</v>
      </c>
      <c r="C77" s="44">
        <f>_xlfn.XLOOKUP(Tabelle1[[#This Row],[Spalte1]],[1]KeyMetrics2021!$A:$A,[1]KeyMetrics2021!$B:$B,"Nicht vorhanden")</f>
        <v>5</v>
      </c>
      <c r="D77" s="45">
        <v>12666</v>
      </c>
      <c r="E77" s="45">
        <v>51258</v>
      </c>
      <c r="F77" s="45">
        <v>51258</v>
      </c>
      <c r="G77" s="45">
        <v>51258</v>
      </c>
      <c r="H77" s="45">
        <v>158330</v>
      </c>
      <c r="I77" s="46">
        <v>0.32400000000000001</v>
      </c>
      <c r="J77" s="46">
        <v>0.32400000000000001</v>
      </c>
      <c r="K77" s="46">
        <v>0.32400000000000001</v>
      </c>
      <c r="L77" s="46">
        <v>0</v>
      </c>
      <c r="M77" s="65">
        <f>Tabelle1[[#This Row],[Spalte12]]-Tabelle1[[#This Row],[Spalte11]]</f>
        <v>7.0000000000000007E-2</v>
      </c>
      <c r="N77" s="46">
        <v>7.0000000000000007E-2</v>
      </c>
      <c r="O77" s="46">
        <v>8.5000000000000006E-2</v>
      </c>
      <c r="P77" s="46">
        <v>0.105</v>
      </c>
      <c r="Q77" s="46">
        <v>0.245</v>
      </c>
      <c r="R77" s="45">
        <v>209538</v>
      </c>
      <c r="S77" s="39">
        <v>12.3</v>
      </c>
      <c r="T77" s="45">
        <v>63765</v>
      </c>
      <c r="U77" s="45">
        <v>5183</v>
      </c>
      <c r="V77" s="39">
        <v>13.88</v>
      </c>
      <c r="W77" s="45">
        <v>65785</v>
      </c>
      <c r="X77" s="45">
        <v>4739</v>
      </c>
      <c r="Y77" s="39">
        <v>15.58</v>
      </c>
      <c r="Z77" s="45">
        <v>72865</v>
      </c>
      <c r="AA77" s="45">
        <v>4677</v>
      </c>
      <c r="AB77" s="39">
        <v>16.600000000000001</v>
      </c>
      <c r="AC77" s="45">
        <v>79855</v>
      </c>
      <c r="AD77" s="45">
        <v>4810</v>
      </c>
      <c r="AE77" s="38">
        <v>7.27</v>
      </c>
      <c r="AF77" s="47">
        <v>171396</v>
      </c>
      <c r="AG77" s="47">
        <v>23584</v>
      </c>
      <c r="AH77" s="27"/>
    </row>
    <row r="78" spans="1:34" ht="10.5" customHeight="1" x14ac:dyDescent="0.15">
      <c r="A78" s="23" t="s">
        <v>44</v>
      </c>
      <c r="B78" s="48">
        <v>5</v>
      </c>
      <c r="C78" s="48">
        <f>_xlfn.XLOOKUP(Tabelle1[[#This Row],[Spalte1]],[1]KeyMetrics2021!$A:$A,[1]KeyMetrics2021!$B:$B,"Nicht vorhanden")</f>
        <v>5</v>
      </c>
      <c r="D78" s="25">
        <v>25272</v>
      </c>
      <c r="E78" s="25">
        <v>182531</v>
      </c>
      <c r="F78" s="25">
        <v>182531</v>
      </c>
      <c r="G78" s="25">
        <v>182531</v>
      </c>
      <c r="H78" s="25">
        <v>315898</v>
      </c>
      <c r="I78" s="26">
        <v>0.57799999999999996</v>
      </c>
      <c r="J78" s="26">
        <v>0.57799999999999996</v>
      </c>
      <c r="K78" s="26">
        <v>0.57799999999999996</v>
      </c>
      <c r="L78" s="26">
        <v>0</v>
      </c>
      <c r="M78" s="66">
        <f>Tabelle1[[#This Row],[Spalte12]]-Tabelle1[[#This Row],[Spalte11]]</f>
        <v>7.0000000000000007E-2</v>
      </c>
      <c r="N78" s="26">
        <v>7.0000000000000007E-2</v>
      </c>
      <c r="O78" s="26">
        <v>8.5000000000000006E-2</v>
      </c>
      <c r="P78" s="26">
        <v>0.105</v>
      </c>
      <c r="Q78" s="26">
        <v>0.185</v>
      </c>
      <c r="R78" s="25">
        <v>985652</v>
      </c>
      <c r="S78" s="24">
        <v>2.13</v>
      </c>
      <c r="T78" s="25">
        <v>381515</v>
      </c>
      <c r="U78" s="25">
        <v>178746</v>
      </c>
      <c r="V78" s="24">
        <v>2.23</v>
      </c>
      <c r="W78" s="25">
        <v>372727</v>
      </c>
      <c r="X78" s="25">
        <v>166888</v>
      </c>
      <c r="Y78" s="24">
        <v>3.05</v>
      </c>
      <c r="Z78" s="25">
        <v>365316</v>
      </c>
      <c r="AA78" s="25">
        <v>119789</v>
      </c>
      <c r="AB78" s="24">
        <v>2.34</v>
      </c>
      <c r="AC78" s="25">
        <v>439682</v>
      </c>
      <c r="AD78" s="25">
        <v>188258</v>
      </c>
      <c r="AE78" s="38">
        <v>2.3199999999999998</v>
      </c>
      <c r="AF78" s="36">
        <v>701725</v>
      </c>
      <c r="AG78" s="36">
        <v>302826</v>
      </c>
      <c r="AH78" s="27"/>
    </row>
    <row r="79" spans="1:34" ht="10.5" customHeight="1" x14ac:dyDescent="0.15">
      <c r="A79" s="22" t="s">
        <v>64</v>
      </c>
      <c r="B79" s="44">
        <v>3</v>
      </c>
      <c r="C79" s="44">
        <f>_xlfn.XLOOKUP(Tabelle1[[#This Row],[Spalte1]],[1]KeyMetrics2021!$A:$A,[1]KeyMetrics2021!$B:$B,"Nicht vorhanden")</f>
        <v>3</v>
      </c>
      <c r="D79" s="45">
        <v>434542</v>
      </c>
      <c r="E79" s="45">
        <v>1217039</v>
      </c>
      <c r="F79" s="45">
        <v>1196961</v>
      </c>
      <c r="G79" s="45">
        <v>1196961</v>
      </c>
      <c r="H79" s="45">
        <v>5431770</v>
      </c>
      <c r="I79" s="46">
        <v>0.22</v>
      </c>
      <c r="J79" s="46">
        <v>0.224</v>
      </c>
      <c r="K79" s="46">
        <v>0.224</v>
      </c>
      <c r="L79" s="46">
        <v>0</v>
      </c>
      <c r="M79" s="65">
        <f>Tabelle1[[#This Row],[Spalte12]]-Tabelle1[[#This Row],[Spalte11]]</f>
        <v>7.8E-2</v>
      </c>
      <c r="N79" s="46">
        <v>7.8E-2</v>
      </c>
      <c r="O79" s="46">
        <v>9.6000000000000002E-2</v>
      </c>
      <c r="P79" s="46">
        <v>0.12</v>
      </c>
      <c r="Q79" s="46">
        <v>5.8999999999999997E-2</v>
      </c>
      <c r="R79" s="45">
        <v>20368217</v>
      </c>
      <c r="S79" s="39">
        <v>1.56</v>
      </c>
      <c r="T79" s="45">
        <v>9901024</v>
      </c>
      <c r="U79" s="45">
        <v>6334244</v>
      </c>
      <c r="V79" s="39">
        <v>1.7</v>
      </c>
      <c r="W79" s="45">
        <v>9806018</v>
      </c>
      <c r="X79" s="45">
        <v>5783669</v>
      </c>
      <c r="Y79" s="39">
        <v>1.71</v>
      </c>
      <c r="Z79" s="45">
        <v>8872616</v>
      </c>
      <c r="AA79" s="45">
        <v>5189000</v>
      </c>
      <c r="AB79" s="39">
        <v>1.83</v>
      </c>
      <c r="AC79" s="45">
        <v>8804002</v>
      </c>
      <c r="AD79" s="45">
        <v>4820399</v>
      </c>
      <c r="AE79" s="38">
        <v>2.0099999999999998</v>
      </c>
      <c r="AF79" s="47">
        <v>11869493</v>
      </c>
      <c r="AG79" s="47">
        <v>5894629</v>
      </c>
      <c r="AH79" s="27"/>
    </row>
    <row r="80" spans="1:34" ht="10.5" customHeight="1" x14ac:dyDescent="0.15">
      <c r="A80" s="23" t="s">
        <v>95</v>
      </c>
      <c r="B80" s="48">
        <v>3</v>
      </c>
      <c r="C80" s="48">
        <f>_xlfn.XLOOKUP(Tabelle1[[#This Row],[Spalte1]],[1]KeyMetrics2021!$A:$A,[1]KeyMetrics2021!$B:$B,"Nicht vorhanden")</f>
        <v>3</v>
      </c>
      <c r="D80" s="25">
        <v>463844</v>
      </c>
      <c r="E80" s="25">
        <v>1156328</v>
      </c>
      <c r="F80" s="25">
        <v>1085649</v>
      </c>
      <c r="G80" s="25">
        <v>1135649</v>
      </c>
      <c r="H80" s="25">
        <v>5798053</v>
      </c>
      <c r="I80" s="26">
        <v>0.187</v>
      </c>
      <c r="J80" s="26">
        <v>0.19600000000000001</v>
      </c>
      <c r="K80" s="26">
        <v>0.19900000000000001</v>
      </c>
      <c r="L80" s="26">
        <v>0</v>
      </c>
      <c r="M80" s="66">
        <f>Tabelle1[[#This Row],[Spalte12]]-Tabelle1[[#This Row],[Spalte11]]</f>
        <v>7.8E-2</v>
      </c>
      <c r="N80" s="26">
        <v>7.8E-2</v>
      </c>
      <c r="O80" s="26">
        <v>9.6000000000000002E-2</v>
      </c>
      <c r="P80" s="26">
        <v>0.12</v>
      </c>
      <c r="Q80" s="26">
        <v>5.6000000000000001E-2</v>
      </c>
      <c r="R80" s="25">
        <v>20327215</v>
      </c>
      <c r="S80" s="24">
        <v>1.51</v>
      </c>
      <c r="T80" s="25">
        <v>9944743</v>
      </c>
      <c r="U80" s="25">
        <v>6585752</v>
      </c>
      <c r="V80" s="24">
        <v>1.7</v>
      </c>
      <c r="W80" s="25">
        <v>9806018</v>
      </c>
      <c r="X80" s="25">
        <v>5776035</v>
      </c>
      <c r="Y80" s="24">
        <v>1.712</v>
      </c>
      <c r="Z80" s="25">
        <v>8872616</v>
      </c>
      <c r="AA80" s="25">
        <v>5183673</v>
      </c>
      <c r="AB80" s="24">
        <v>1.835</v>
      </c>
      <c r="AC80" s="25">
        <v>8804002</v>
      </c>
      <c r="AD80" s="25">
        <v>4797000</v>
      </c>
      <c r="AE80" s="38">
        <v>2.0099999999999998</v>
      </c>
      <c r="AF80" s="36">
        <v>11795966</v>
      </c>
      <c r="AG80" s="36">
        <v>5882421</v>
      </c>
      <c r="AH80" s="27"/>
    </row>
    <row r="81" spans="1:34" ht="10.5" customHeight="1" x14ac:dyDescent="0.15">
      <c r="A81" s="22" t="s">
        <v>72</v>
      </c>
      <c r="B81" s="44">
        <v>3</v>
      </c>
      <c r="C81" s="44">
        <f>_xlfn.XLOOKUP(Tabelle1[[#This Row],[Spalte1]],[1]KeyMetrics2021!$A:$A,[1]KeyMetrics2021!$B:$B,"Nicht vorhanden")</f>
        <v>3</v>
      </c>
      <c r="D81" s="45">
        <v>512333</v>
      </c>
      <c r="E81" s="45">
        <v>1148741</v>
      </c>
      <c r="F81" s="45">
        <v>854158</v>
      </c>
      <c r="G81" s="45">
        <v>1148741</v>
      </c>
      <c r="H81" s="45">
        <v>6404164</v>
      </c>
      <c r="I81" s="46">
        <v>0.13300000000000001</v>
      </c>
      <c r="J81" s="46">
        <v>0.17899999999999999</v>
      </c>
      <c r="K81" s="46">
        <v>0.17899999999999999</v>
      </c>
      <c r="L81" s="46">
        <v>1E-3</v>
      </c>
      <c r="M81" s="65">
        <f>Tabelle1[[#This Row],[Spalte12]]-Tabelle1[[#This Row],[Spalte11]]</f>
        <v>7.8E-2</v>
      </c>
      <c r="N81" s="46">
        <v>7.9000000000000001E-2</v>
      </c>
      <c r="O81" s="46">
        <v>9.7000000000000003E-2</v>
      </c>
      <c r="P81" s="46">
        <v>0.121</v>
      </c>
      <c r="Q81" s="46">
        <v>3.9E-2</v>
      </c>
      <c r="R81" s="45">
        <v>29385576</v>
      </c>
      <c r="S81" s="39">
        <v>1.7</v>
      </c>
      <c r="T81" s="45">
        <v>7659466</v>
      </c>
      <c r="U81" s="45">
        <v>4496180</v>
      </c>
      <c r="V81" s="39">
        <v>1.9</v>
      </c>
      <c r="W81" s="45">
        <v>7548356</v>
      </c>
      <c r="X81" s="45">
        <v>3974917</v>
      </c>
      <c r="Y81" s="39">
        <v>1.47</v>
      </c>
      <c r="Z81" s="45">
        <v>7485511</v>
      </c>
      <c r="AA81" s="45">
        <v>5082123</v>
      </c>
      <c r="AB81" s="39">
        <v>1.48</v>
      </c>
      <c r="AC81" s="45">
        <v>8624041</v>
      </c>
      <c r="AD81" s="45">
        <v>5813658</v>
      </c>
      <c r="AE81" s="38">
        <v>1.71</v>
      </c>
      <c r="AF81" s="47">
        <v>16072575</v>
      </c>
      <c r="AG81" s="47">
        <v>9387926</v>
      </c>
      <c r="AH81" s="27"/>
    </row>
    <row r="82" spans="1:34" ht="10.5" customHeight="1" x14ac:dyDescent="0.15">
      <c r="A82" s="23" t="s">
        <v>37</v>
      </c>
      <c r="B82" s="48">
        <v>3</v>
      </c>
      <c r="C82" s="48">
        <f>_xlfn.XLOOKUP(Tabelle1[[#This Row],[Spalte1]],[1]KeyMetrics2021!$A:$A,[1]KeyMetrics2021!$B:$B,"Nicht vorhanden")</f>
        <v>3</v>
      </c>
      <c r="D82" s="25">
        <v>712800</v>
      </c>
      <c r="E82" s="25">
        <v>1615670</v>
      </c>
      <c r="F82" s="25">
        <v>1277210</v>
      </c>
      <c r="G82" s="25">
        <v>1478675</v>
      </c>
      <c r="H82" s="25">
        <v>8909994</v>
      </c>
      <c r="I82" s="26">
        <v>0.14299999999999999</v>
      </c>
      <c r="J82" s="26">
        <v>0.16600000000000001</v>
      </c>
      <c r="K82" s="26">
        <v>0.18099999999999999</v>
      </c>
      <c r="L82" s="26">
        <v>1E-3</v>
      </c>
      <c r="M82" s="66">
        <f>Tabelle1[[#This Row],[Spalte12]]-Tabelle1[[#This Row],[Spalte11]]</f>
        <v>7.8E-2</v>
      </c>
      <c r="N82" s="26">
        <v>7.9000000000000001E-2</v>
      </c>
      <c r="O82" s="26">
        <v>9.7000000000000003E-2</v>
      </c>
      <c r="P82" s="26">
        <v>0.121</v>
      </c>
      <c r="Q82" s="26">
        <v>3.4000000000000002E-2</v>
      </c>
      <c r="R82" s="25">
        <v>43953117</v>
      </c>
      <c r="S82" s="24">
        <v>1.96</v>
      </c>
      <c r="T82" s="25">
        <v>14857192</v>
      </c>
      <c r="U82" s="25">
        <v>7596985</v>
      </c>
      <c r="V82" s="24">
        <v>1.83</v>
      </c>
      <c r="W82" s="25">
        <v>15620565</v>
      </c>
      <c r="X82" s="25">
        <v>8548504</v>
      </c>
      <c r="Y82" s="24">
        <v>1.89</v>
      </c>
      <c r="Z82" s="25">
        <v>15241122</v>
      </c>
      <c r="AA82" s="25">
        <v>8071063</v>
      </c>
      <c r="AB82" s="24">
        <v>2.04</v>
      </c>
      <c r="AC82" s="25">
        <v>16311041</v>
      </c>
      <c r="AD82" s="25">
        <v>7982986</v>
      </c>
      <c r="AE82" s="38">
        <v>1.68</v>
      </c>
      <c r="AF82" s="36">
        <v>26716379</v>
      </c>
      <c r="AG82" s="36">
        <v>15874004</v>
      </c>
      <c r="AH82" s="27"/>
    </row>
    <row r="83" spans="1:34" ht="10.5" customHeight="1" x14ac:dyDescent="0.15">
      <c r="A83" s="22" t="s">
        <v>111</v>
      </c>
      <c r="B83" s="44">
        <v>3</v>
      </c>
      <c r="C83" s="44">
        <f>_xlfn.XLOOKUP(Tabelle1[[#This Row],[Spalte1]],[1]KeyMetrics2021!$A:$A,[1]KeyMetrics2021!$B:$B,"Nicht vorhanden")</f>
        <v>3</v>
      </c>
      <c r="D83" s="45">
        <v>720775</v>
      </c>
      <c r="E83" s="45">
        <v>1679426</v>
      </c>
      <c r="F83" s="45">
        <v>1328080</v>
      </c>
      <c r="G83" s="45">
        <v>1679104</v>
      </c>
      <c r="H83" s="45">
        <v>9009682</v>
      </c>
      <c r="I83" s="46">
        <v>0.14699999999999999</v>
      </c>
      <c r="J83" s="46">
        <v>0.186</v>
      </c>
      <c r="K83" s="46">
        <v>0.186</v>
      </c>
      <c r="L83" s="46">
        <v>1E-3</v>
      </c>
      <c r="M83" s="65">
        <f>Tabelle1[[#This Row],[Spalte12]]-Tabelle1[[#This Row],[Spalte11]]</f>
        <v>7.8E-2</v>
      </c>
      <c r="N83" s="46">
        <v>7.9000000000000001E-2</v>
      </c>
      <c r="O83" s="46">
        <v>9.7000000000000003E-2</v>
      </c>
      <c r="P83" s="46">
        <v>0.121</v>
      </c>
      <c r="Q83" s="46">
        <v>3.7999999999999999E-2</v>
      </c>
      <c r="R83" s="45">
        <v>43886042</v>
      </c>
      <c r="S83" s="39">
        <v>1.93</v>
      </c>
      <c r="T83" s="45">
        <v>14571107</v>
      </c>
      <c r="U83" s="45">
        <v>7545919</v>
      </c>
      <c r="V83" s="39">
        <v>1.79</v>
      </c>
      <c r="W83" s="45">
        <v>15257128</v>
      </c>
      <c r="X83" s="45">
        <v>8502854</v>
      </c>
      <c r="Y83" s="39">
        <v>1.86</v>
      </c>
      <c r="Z83" s="45">
        <v>14938279</v>
      </c>
      <c r="AA83" s="45">
        <v>8022569</v>
      </c>
      <c r="AB83" s="39">
        <v>2.02</v>
      </c>
      <c r="AC83" s="45">
        <v>16092056</v>
      </c>
      <c r="AD83" s="45">
        <v>7963861</v>
      </c>
      <c r="AE83" s="38">
        <v>1.68</v>
      </c>
      <c r="AF83" s="47">
        <v>26580064</v>
      </c>
      <c r="AG83" s="47">
        <v>15812913</v>
      </c>
      <c r="AH83" s="27"/>
    </row>
    <row r="84" spans="1:34" ht="10.5" customHeight="1" x14ac:dyDescent="0.15">
      <c r="A84" s="23" t="s">
        <v>1</v>
      </c>
      <c r="B84" s="48">
        <v>5</v>
      </c>
      <c r="C84" s="48">
        <f>_xlfn.XLOOKUP(Tabelle1[[#This Row],[Spalte1]],[1]KeyMetrics2021!$A:$A,[1]KeyMetrics2021!$B:$B,"Nicht vorhanden")</f>
        <v>5</v>
      </c>
      <c r="D84" s="25">
        <v>55862</v>
      </c>
      <c r="E84" s="25">
        <v>244712</v>
      </c>
      <c r="F84" s="25">
        <v>207669</v>
      </c>
      <c r="G84" s="25">
        <v>207669</v>
      </c>
      <c r="H84" s="25">
        <v>698272</v>
      </c>
      <c r="I84" s="26">
        <v>0.29699999999999999</v>
      </c>
      <c r="J84" s="26">
        <v>0.29699999999999999</v>
      </c>
      <c r="K84" s="26">
        <v>0.35</v>
      </c>
      <c r="L84" s="26">
        <v>0</v>
      </c>
      <c r="M84" s="66">
        <f>Tabelle1[[#This Row],[Spalte12]]-Tabelle1[[#This Row],[Spalte11]]</f>
        <v>7.0000000000000007E-2</v>
      </c>
      <c r="N84" s="26">
        <v>7.0000000000000007E-2</v>
      </c>
      <c r="O84" s="26">
        <v>8.5000000000000006E-2</v>
      </c>
      <c r="P84" s="26">
        <v>0.105</v>
      </c>
      <c r="Q84" s="26">
        <v>6.5000000000000002E-2</v>
      </c>
      <c r="R84" s="25">
        <v>3201289</v>
      </c>
      <c r="S84" s="24">
        <v>1.05</v>
      </c>
      <c r="T84" s="25">
        <v>15466427</v>
      </c>
      <c r="U84" s="25">
        <v>14764149</v>
      </c>
      <c r="V84" s="24">
        <v>1.05</v>
      </c>
      <c r="W84" s="25">
        <v>15421098</v>
      </c>
      <c r="X84" s="25">
        <v>14717054</v>
      </c>
      <c r="Y84" s="24">
        <v>1.04</v>
      </c>
      <c r="Z84" s="25">
        <v>12991209</v>
      </c>
      <c r="AA84" s="25">
        <v>12506026</v>
      </c>
      <c r="AB84" s="24">
        <v>1.04</v>
      </c>
      <c r="AC84" s="25">
        <v>11402317</v>
      </c>
      <c r="AD84" s="25">
        <v>10983243</v>
      </c>
      <c r="AE84" s="38">
        <v>2.86</v>
      </c>
      <c r="AF84" s="36">
        <v>777964</v>
      </c>
      <c r="AG84" s="36">
        <v>272345</v>
      </c>
      <c r="AH84" s="27"/>
    </row>
    <row r="85" spans="1:34" ht="10.5" customHeight="1" x14ac:dyDescent="0.15">
      <c r="A85" s="22" t="s">
        <v>49</v>
      </c>
      <c r="B85" s="44">
        <v>5</v>
      </c>
      <c r="C85" s="44">
        <f>_xlfn.XLOOKUP(Tabelle1[[#This Row],[Spalte1]],[1]KeyMetrics2021!$A:$A,[1]KeyMetrics2021!$B:$B,"Nicht vorhanden")</f>
        <v>5</v>
      </c>
      <c r="D85" s="45">
        <v>16716</v>
      </c>
      <c r="E85" s="45">
        <v>30386</v>
      </c>
      <c r="F85" s="45">
        <v>29272</v>
      </c>
      <c r="G85" s="45">
        <v>29272</v>
      </c>
      <c r="H85" s="45">
        <v>208948</v>
      </c>
      <c r="I85" s="46">
        <v>0.14000000000000001</v>
      </c>
      <c r="J85" s="46">
        <v>0.14000000000000001</v>
      </c>
      <c r="K85" s="46">
        <v>0.14499999999999999</v>
      </c>
      <c r="L85" s="46">
        <v>1.0999999999999999E-2</v>
      </c>
      <c r="M85" s="65">
        <f>Tabelle1[[#This Row],[Spalte12]]-Tabelle1[[#This Row],[Spalte11]]</f>
        <v>7.0000000000000007E-2</v>
      </c>
      <c r="N85" s="46">
        <v>8.1000000000000003E-2</v>
      </c>
      <c r="O85" s="46">
        <v>9.6000000000000002E-2</v>
      </c>
      <c r="P85" s="46">
        <v>0.11600000000000001</v>
      </c>
      <c r="Q85" s="46">
        <v>7.1999999999999995E-2</v>
      </c>
      <c r="R85" s="45">
        <v>405676</v>
      </c>
      <c r="S85" s="39">
        <v>2.1</v>
      </c>
      <c r="T85" s="45">
        <v>31121</v>
      </c>
      <c r="U85" s="45">
        <v>14848</v>
      </c>
      <c r="V85" s="39">
        <v>1.92</v>
      </c>
      <c r="W85" s="45">
        <v>28699</v>
      </c>
      <c r="X85" s="45">
        <v>14917</v>
      </c>
      <c r="Y85" s="39">
        <v>2.02</v>
      </c>
      <c r="Z85" s="45">
        <v>30154</v>
      </c>
      <c r="AA85" s="45">
        <v>14919</v>
      </c>
      <c r="AB85" s="39">
        <v>1.48</v>
      </c>
      <c r="AC85" s="45">
        <v>25341</v>
      </c>
      <c r="AD85" s="45">
        <v>17135</v>
      </c>
      <c r="AE85" s="38">
        <v>1.1000000000000001</v>
      </c>
      <c r="AF85" s="47">
        <v>314035</v>
      </c>
      <c r="AG85" s="47">
        <v>285086</v>
      </c>
      <c r="AH85" s="27"/>
    </row>
    <row r="86" spans="1:34" ht="10.5" customHeight="1" x14ac:dyDescent="0.15">
      <c r="A86" s="23" t="s">
        <v>74</v>
      </c>
      <c r="B86" s="48">
        <v>5</v>
      </c>
      <c r="C86" s="48">
        <f>_xlfn.XLOOKUP(Tabelle1[[#This Row],[Spalte1]],[1]KeyMetrics2021!$A:$A,[1]KeyMetrics2021!$B:$B,"Nicht vorhanden")</f>
        <v>5</v>
      </c>
      <c r="D86" s="25">
        <v>6762</v>
      </c>
      <c r="E86" s="25">
        <v>25137</v>
      </c>
      <c r="F86" s="25">
        <v>25137</v>
      </c>
      <c r="G86" s="25">
        <v>25137</v>
      </c>
      <c r="H86" s="25">
        <v>84522</v>
      </c>
      <c r="I86" s="26">
        <v>0.29699999999999999</v>
      </c>
      <c r="J86" s="26">
        <v>0.29699999999999999</v>
      </c>
      <c r="K86" s="26">
        <v>0.29699999999999999</v>
      </c>
      <c r="L86" s="26">
        <v>0</v>
      </c>
      <c r="M86" s="66">
        <f>Tabelle1[[#This Row],[Spalte12]]-Tabelle1[[#This Row],[Spalte11]]</f>
        <v>7.0000000000000007E-2</v>
      </c>
      <c r="N86" s="26">
        <v>7.0000000000000007E-2</v>
      </c>
      <c r="O86" s="26">
        <v>8.5000000000000006E-2</v>
      </c>
      <c r="P86" s="26">
        <v>0.105</v>
      </c>
      <c r="Q86" s="26">
        <v>4.5999999999999999E-2</v>
      </c>
      <c r="R86" s="25">
        <v>542265</v>
      </c>
      <c r="S86" s="24">
        <v>1.68</v>
      </c>
      <c r="T86" s="25">
        <v>62560</v>
      </c>
      <c r="U86" s="25">
        <v>37133</v>
      </c>
      <c r="V86" s="24">
        <v>1.77</v>
      </c>
      <c r="W86" s="25">
        <v>65179</v>
      </c>
      <c r="X86" s="25">
        <v>36867</v>
      </c>
      <c r="Y86" s="24">
        <v>1.73</v>
      </c>
      <c r="Z86" s="25">
        <v>63593</v>
      </c>
      <c r="AA86" s="25">
        <v>36682</v>
      </c>
      <c r="AB86" s="24">
        <v>2.0499999999999998</v>
      </c>
      <c r="AC86" s="25">
        <v>62739</v>
      </c>
      <c r="AD86" s="25">
        <v>30565</v>
      </c>
      <c r="AE86" s="38">
        <v>2</v>
      </c>
      <c r="AF86" s="36">
        <v>264653</v>
      </c>
      <c r="AG86" s="36">
        <v>132554</v>
      </c>
      <c r="AH86" s="27"/>
    </row>
    <row r="87" spans="1:34" ht="10.5" customHeight="1" x14ac:dyDescent="0.15">
      <c r="A87" s="22" t="s">
        <v>110</v>
      </c>
      <c r="B87" s="44">
        <v>4</v>
      </c>
      <c r="C87" s="59">
        <f>_xlfn.XLOOKUP(Tabelle1[[#This Row],[Spalte1]],[1]KeyMetrics2021!$A:$A,[1]KeyMetrics2021!$B:$B,"Nicht vorhanden")</f>
        <v>5</v>
      </c>
      <c r="D87" s="45">
        <v>45879</v>
      </c>
      <c r="E87" s="45">
        <v>101643</v>
      </c>
      <c r="F87" s="45">
        <v>101643</v>
      </c>
      <c r="G87" s="45">
        <v>101643</v>
      </c>
      <c r="H87" s="45">
        <v>573493</v>
      </c>
      <c r="I87" s="46">
        <v>0.17699999999999999</v>
      </c>
      <c r="J87" s="46">
        <v>0.17699999999999999</v>
      </c>
      <c r="K87" s="46">
        <v>0.17699999999999999</v>
      </c>
      <c r="L87" s="46">
        <v>0</v>
      </c>
      <c r="M87" s="65">
        <f>Tabelle1[[#This Row],[Spalte12]]-Tabelle1[[#This Row],[Spalte11]]</f>
        <v>7.3999999999999996E-2</v>
      </c>
      <c r="N87" s="46">
        <v>7.3999999999999996E-2</v>
      </c>
      <c r="O87" s="46">
        <v>0.09</v>
      </c>
      <c r="P87" s="46">
        <v>0.112</v>
      </c>
      <c r="Q87" s="46">
        <v>0.115</v>
      </c>
      <c r="R87" s="45">
        <v>887046</v>
      </c>
      <c r="S87" s="39">
        <v>2.48</v>
      </c>
      <c r="T87" s="45">
        <v>228664</v>
      </c>
      <c r="U87" s="45">
        <v>92371</v>
      </c>
      <c r="V87" s="39">
        <v>2.63</v>
      </c>
      <c r="W87" s="45">
        <v>240359</v>
      </c>
      <c r="X87" s="45">
        <v>91476</v>
      </c>
      <c r="Y87" s="39">
        <v>2.0099999999999998</v>
      </c>
      <c r="Z87" s="45">
        <v>157058</v>
      </c>
      <c r="AA87" s="45">
        <v>78250</v>
      </c>
      <c r="AB87" s="39">
        <v>1.52</v>
      </c>
      <c r="AC87" s="45">
        <v>131839</v>
      </c>
      <c r="AD87" s="45">
        <v>86521</v>
      </c>
      <c r="AE87" s="38">
        <v>1.19</v>
      </c>
      <c r="AF87" s="47">
        <v>431508</v>
      </c>
      <c r="AG87" s="47">
        <v>364103</v>
      </c>
      <c r="AH87" s="27"/>
    </row>
    <row r="88" spans="1:34" ht="10.5" customHeight="1" x14ac:dyDescent="0.15">
      <c r="A88" s="23" t="s">
        <v>80</v>
      </c>
      <c r="B88" s="48">
        <v>5</v>
      </c>
      <c r="C88" s="48">
        <f>_xlfn.XLOOKUP(Tabelle1[[#This Row],[Spalte1]],[1]KeyMetrics2021!$A:$A,[1]KeyMetrics2021!$B:$B,"Nicht vorhanden")</f>
        <v>5</v>
      </c>
      <c r="D88" s="25">
        <v>623</v>
      </c>
      <c r="E88" s="25">
        <v>2380</v>
      </c>
      <c r="F88" s="25">
        <v>2380</v>
      </c>
      <c r="G88" s="25">
        <v>2380</v>
      </c>
      <c r="H88" s="25">
        <v>7792</v>
      </c>
      <c r="I88" s="26">
        <v>0.30499999999999999</v>
      </c>
      <c r="J88" s="26">
        <v>0.30499999999999999</v>
      </c>
      <c r="K88" s="26">
        <v>0.30499999999999999</v>
      </c>
      <c r="L88" s="26">
        <v>0</v>
      </c>
      <c r="M88" s="66">
        <f>Tabelle1[[#This Row],[Spalte12]]-Tabelle1[[#This Row],[Spalte11]]</f>
        <v>7.0000000000000007E-2</v>
      </c>
      <c r="N88" s="26">
        <v>7.0000000000000007E-2</v>
      </c>
      <c r="O88" s="26">
        <v>8.5000000000000006E-2</v>
      </c>
      <c r="P88" s="26">
        <v>0.105</v>
      </c>
      <c r="Q88" s="26">
        <v>0.14899999999999999</v>
      </c>
      <c r="R88" s="25">
        <v>15979</v>
      </c>
      <c r="S88" s="24">
        <v>22.37</v>
      </c>
      <c r="T88" s="25">
        <v>5906</v>
      </c>
      <c r="U88" s="25">
        <v>264</v>
      </c>
      <c r="V88" s="24">
        <v>22.78</v>
      </c>
      <c r="W88" s="25">
        <v>7243</v>
      </c>
      <c r="X88" s="25">
        <v>318</v>
      </c>
      <c r="Y88" s="24">
        <v>21.96</v>
      </c>
      <c r="Z88" s="25">
        <v>8320</v>
      </c>
      <c r="AA88" s="25">
        <v>379</v>
      </c>
      <c r="AB88" s="24">
        <v>22.81</v>
      </c>
      <c r="AC88" s="25">
        <v>10004</v>
      </c>
      <c r="AD88" s="25">
        <v>439</v>
      </c>
      <c r="AE88" s="38">
        <v>2.25</v>
      </c>
      <c r="AF88" s="36">
        <v>14076</v>
      </c>
      <c r="AG88" s="36">
        <v>6245</v>
      </c>
      <c r="AH88" s="27"/>
    </row>
    <row r="89" spans="1:34" ht="10.5" customHeight="1" x14ac:dyDescent="0.15">
      <c r="A89" s="22" t="s">
        <v>103</v>
      </c>
      <c r="B89" s="44">
        <v>4</v>
      </c>
      <c r="C89" s="44">
        <f>_xlfn.XLOOKUP(Tabelle1[[#This Row],[Spalte1]],[1]KeyMetrics2021!$A:$A,[1]KeyMetrics2021!$B:$B,"Nicht vorhanden")</f>
        <v>4</v>
      </c>
      <c r="D89" s="45">
        <v>64709</v>
      </c>
      <c r="E89" s="45">
        <v>240188</v>
      </c>
      <c r="F89" s="45">
        <v>240188</v>
      </c>
      <c r="G89" s="45">
        <v>240188</v>
      </c>
      <c r="H89" s="45">
        <v>808858</v>
      </c>
      <c r="I89" s="46">
        <v>0.29699999999999999</v>
      </c>
      <c r="J89" s="46">
        <v>0.29699999999999999</v>
      </c>
      <c r="K89" s="46">
        <v>0.29699999999999999</v>
      </c>
      <c r="L89" s="46">
        <v>1E-3</v>
      </c>
      <c r="M89" s="65">
        <f>Tabelle1[[#This Row],[Spalte12]]-Tabelle1[[#This Row],[Spalte11]]</f>
        <v>7.3999999999999996E-2</v>
      </c>
      <c r="N89" s="46">
        <v>7.4999999999999997E-2</v>
      </c>
      <c r="O89" s="46">
        <v>9.0999999999999998E-2</v>
      </c>
      <c r="P89" s="46">
        <v>0.113</v>
      </c>
      <c r="Q89" s="46">
        <v>0.128</v>
      </c>
      <c r="R89" s="45">
        <v>1869675</v>
      </c>
      <c r="S89" s="39">
        <v>2.1800000000000002</v>
      </c>
      <c r="T89" s="45">
        <v>913748</v>
      </c>
      <c r="U89" s="45">
        <v>418306</v>
      </c>
      <c r="V89" s="39">
        <v>2.12</v>
      </c>
      <c r="W89" s="45">
        <v>991082</v>
      </c>
      <c r="X89" s="45">
        <v>467701</v>
      </c>
      <c r="Y89" s="39">
        <v>1.96</v>
      </c>
      <c r="Z89" s="45">
        <v>832378</v>
      </c>
      <c r="AA89" s="45">
        <v>425288</v>
      </c>
      <c r="AB89" s="39">
        <v>1.76</v>
      </c>
      <c r="AC89" s="45">
        <v>577152</v>
      </c>
      <c r="AD89" s="45">
        <v>328062</v>
      </c>
      <c r="AE89" s="38">
        <v>1.69</v>
      </c>
      <c r="AF89" s="47">
        <v>1154300</v>
      </c>
      <c r="AG89" s="47">
        <v>682188</v>
      </c>
      <c r="AH89" s="27"/>
    </row>
    <row r="90" spans="1:34" ht="10.5" customHeight="1" x14ac:dyDescent="0.15">
      <c r="A90" s="23" t="s">
        <v>176</v>
      </c>
      <c r="B90" s="48">
        <v>5</v>
      </c>
      <c r="C90" s="48">
        <f>_xlfn.XLOOKUP(Tabelle1[[#This Row],[Spalte1]],[1]KeyMetrics2021!$A:$A,[1]KeyMetrics2021!$B:$B,"Nicht vorhanden")</f>
        <v>5</v>
      </c>
      <c r="D90" s="50" t="s">
        <v>229</v>
      </c>
      <c r="E90" s="50" t="s">
        <v>229</v>
      </c>
      <c r="F90" s="50" t="s">
        <v>229</v>
      </c>
      <c r="G90" s="50" t="s">
        <v>229</v>
      </c>
      <c r="H90" s="50" t="s">
        <v>229</v>
      </c>
      <c r="I90" s="50" t="s">
        <v>229</v>
      </c>
      <c r="J90" s="50" t="s">
        <v>229</v>
      </c>
      <c r="K90" s="50" t="s">
        <v>229</v>
      </c>
      <c r="L90" s="50" t="s">
        <v>229</v>
      </c>
      <c r="M90" s="67" t="e">
        <f>Tabelle1[[#This Row],[Spalte12]]-Tabelle1[[#This Row],[Spalte11]]</f>
        <v>#VALUE!</v>
      </c>
      <c r="N90" s="50" t="s">
        <v>229</v>
      </c>
      <c r="O90" s="50" t="s">
        <v>229</v>
      </c>
      <c r="P90" s="50" t="s">
        <v>229</v>
      </c>
      <c r="Q90" s="50" t="s">
        <v>229</v>
      </c>
      <c r="R90" s="50" t="s">
        <v>229</v>
      </c>
      <c r="S90" s="50" t="s">
        <v>229</v>
      </c>
      <c r="T90" s="50" t="s">
        <v>229</v>
      </c>
      <c r="U90" s="50" t="s">
        <v>229</v>
      </c>
      <c r="V90" s="50" t="s">
        <v>229</v>
      </c>
      <c r="W90" s="50" t="s">
        <v>229</v>
      </c>
      <c r="X90" s="50" t="s">
        <v>229</v>
      </c>
      <c r="Y90" s="50" t="s">
        <v>229</v>
      </c>
      <c r="Z90" s="50" t="s">
        <v>229</v>
      </c>
      <c r="AA90" s="50" t="s">
        <v>229</v>
      </c>
      <c r="AB90" s="50" t="s">
        <v>229</v>
      </c>
      <c r="AC90" s="50" t="s">
        <v>229</v>
      </c>
      <c r="AD90" s="50" t="s">
        <v>229</v>
      </c>
      <c r="AE90" s="50" t="s">
        <v>229</v>
      </c>
      <c r="AF90" s="50" t="s">
        <v>229</v>
      </c>
      <c r="AG90" s="50" t="s">
        <v>229</v>
      </c>
      <c r="AH90" s="27"/>
    </row>
    <row r="91" spans="1:34" ht="10.5" customHeight="1" x14ac:dyDescent="0.15">
      <c r="A91" s="22" t="s">
        <v>78</v>
      </c>
      <c r="B91" s="44">
        <v>4</v>
      </c>
      <c r="C91" s="44">
        <f>_xlfn.XLOOKUP(Tabelle1[[#This Row],[Spalte1]],[1]KeyMetrics2021!$A:$A,[1]KeyMetrics2021!$B:$B,"Nicht vorhanden")</f>
        <v>4</v>
      </c>
      <c r="D91" s="45">
        <v>43566</v>
      </c>
      <c r="E91" s="45">
        <v>130586</v>
      </c>
      <c r="F91" s="45">
        <v>130586</v>
      </c>
      <c r="G91" s="45">
        <v>130586</v>
      </c>
      <c r="H91" s="45">
        <v>544572</v>
      </c>
      <c r="I91" s="46">
        <v>0.24</v>
      </c>
      <c r="J91" s="46">
        <v>0.24</v>
      </c>
      <c r="K91" s="46">
        <v>0.24</v>
      </c>
      <c r="L91" s="46">
        <v>0</v>
      </c>
      <c r="M91" s="65">
        <f>Tabelle1[[#This Row],[Spalte12]]-Tabelle1[[#This Row],[Spalte11]]</f>
        <v>7.3999999999999996E-2</v>
      </c>
      <c r="N91" s="46">
        <v>7.3999999999999996E-2</v>
      </c>
      <c r="O91" s="46">
        <v>0.09</v>
      </c>
      <c r="P91" s="46">
        <v>0.112</v>
      </c>
      <c r="Q91" s="46">
        <v>0.13300000000000001</v>
      </c>
      <c r="R91" s="45">
        <v>978660</v>
      </c>
      <c r="S91" s="39">
        <v>1.389</v>
      </c>
      <c r="T91" s="45">
        <v>412064</v>
      </c>
      <c r="U91" s="45">
        <v>296697</v>
      </c>
      <c r="V91" s="39">
        <v>1.3620000000000001</v>
      </c>
      <c r="W91" s="45">
        <v>389829</v>
      </c>
      <c r="X91" s="45">
        <v>286176</v>
      </c>
      <c r="Y91" s="39">
        <v>1.1910000000000001</v>
      </c>
      <c r="Z91" s="45">
        <v>342925</v>
      </c>
      <c r="AA91" s="45">
        <v>288040</v>
      </c>
      <c r="AB91" s="39">
        <v>1.3089999999999999</v>
      </c>
      <c r="AC91" s="45">
        <v>249520</v>
      </c>
      <c r="AD91" s="45">
        <v>190604</v>
      </c>
      <c r="AE91" s="38">
        <v>1.1870000000000001</v>
      </c>
      <c r="AF91" s="47">
        <v>613082</v>
      </c>
      <c r="AG91" s="47">
        <v>516574</v>
      </c>
      <c r="AH91" s="27"/>
    </row>
    <row r="92" spans="1:34" ht="10.5" customHeight="1" x14ac:dyDescent="0.15">
      <c r="A92" s="23" t="s">
        <v>66</v>
      </c>
      <c r="B92" s="48">
        <v>5</v>
      </c>
      <c r="C92" s="48">
        <f>_xlfn.XLOOKUP(Tabelle1[[#This Row],[Spalte1]],[1]KeyMetrics2021!$A:$A,[1]KeyMetrics2021!$B:$B,"Nicht vorhanden")</f>
        <v>5</v>
      </c>
      <c r="D92" s="25">
        <v>15453</v>
      </c>
      <c r="E92" s="25">
        <v>24984</v>
      </c>
      <c r="F92" s="25">
        <v>22505</v>
      </c>
      <c r="G92" s="25">
        <v>23255</v>
      </c>
      <c r="H92" s="25">
        <v>193159</v>
      </c>
      <c r="I92" s="26">
        <v>0.11700000000000001</v>
      </c>
      <c r="J92" s="26">
        <v>0.12</v>
      </c>
      <c r="K92" s="26">
        <v>0.129</v>
      </c>
      <c r="L92" s="26">
        <v>0.01</v>
      </c>
      <c r="M92" s="66">
        <f>Tabelle1[[#This Row],[Spalte12]]-Tabelle1[[#This Row],[Spalte11]]</f>
        <v>7.0000000000000007E-2</v>
      </c>
      <c r="N92" s="26">
        <v>0.08</v>
      </c>
      <c r="O92" s="26">
        <v>9.5000000000000001E-2</v>
      </c>
      <c r="P92" s="26">
        <v>0.115</v>
      </c>
      <c r="Q92" s="26">
        <v>5.8999999999999997E-2</v>
      </c>
      <c r="R92" s="25">
        <v>394270</v>
      </c>
      <c r="S92" s="24">
        <v>2.5299999999999998</v>
      </c>
      <c r="T92" s="25">
        <v>64624</v>
      </c>
      <c r="U92" s="25">
        <v>25531</v>
      </c>
      <c r="V92" s="24">
        <v>2.56</v>
      </c>
      <c r="W92" s="25">
        <v>69512</v>
      </c>
      <c r="X92" s="25">
        <v>27130</v>
      </c>
      <c r="Y92" s="24">
        <v>2.68</v>
      </c>
      <c r="Z92" s="25">
        <v>69009</v>
      </c>
      <c r="AA92" s="25">
        <v>25791</v>
      </c>
      <c r="AB92" s="24">
        <v>2.6</v>
      </c>
      <c r="AC92" s="25">
        <v>71586</v>
      </c>
      <c r="AD92" s="25">
        <v>27563</v>
      </c>
      <c r="AE92" s="38">
        <v>1.48</v>
      </c>
      <c r="AF92" s="36">
        <v>357147</v>
      </c>
      <c r="AG92" s="36">
        <v>241455</v>
      </c>
      <c r="AH92" s="27"/>
    </row>
    <row r="93" spans="1:34" ht="10.5" customHeight="1" x14ac:dyDescent="0.15">
      <c r="A93" s="22" t="s">
        <v>12</v>
      </c>
      <c r="B93" s="44">
        <v>4</v>
      </c>
      <c r="C93" s="44">
        <f>_xlfn.XLOOKUP(Tabelle1[[#This Row],[Spalte1]],[1]KeyMetrics2021!$A:$A,[1]KeyMetrics2021!$B:$B,"Nicht vorhanden")</f>
        <v>4</v>
      </c>
      <c r="D93" s="45">
        <v>278855</v>
      </c>
      <c r="E93" s="45">
        <v>656838</v>
      </c>
      <c r="F93" s="45">
        <v>400243</v>
      </c>
      <c r="G93" s="45">
        <v>500243</v>
      </c>
      <c r="H93" s="45">
        <v>3485688</v>
      </c>
      <c r="I93" s="46">
        <v>0.115</v>
      </c>
      <c r="J93" s="46">
        <v>0.14399999999999999</v>
      </c>
      <c r="K93" s="46">
        <v>0.188</v>
      </c>
      <c r="L93" s="46">
        <v>1.2999999999999999E-2</v>
      </c>
      <c r="M93" s="65">
        <f>Tabelle1[[#This Row],[Spalte12]]-Tabelle1[[#This Row],[Spalte11]]</f>
        <v>7.3999999999999996E-2</v>
      </c>
      <c r="N93" s="46">
        <v>8.6999999999999994E-2</v>
      </c>
      <c r="O93" s="46">
        <v>0.10299999999999999</v>
      </c>
      <c r="P93" s="46">
        <v>0.125</v>
      </c>
      <c r="Q93" s="46">
        <v>5.7000000000000002E-2</v>
      </c>
      <c r="R93" s="45">
        <v>8730499</v>
      </c>
      <c r="S93" s="39">
        <v>2.2400000000000002</v>
      </c>
      <c r="T93" s="45">
        <v>1570943</v>
      </c>
      <c r="U93" s="45">
        <v>702346</v>
      </c>
      <c r="V93" s="39">
        <v>2.79</v>
      </c>
      <c r="W93" s="45">
        <v>1602138</v>
      </c>
      <c r="X93" s="45">
        <v>573249</v>
      </c>
      <c r="Y93" s="39">
        <v>2.27</v>
      </c>
      <c r="Z93" s="45">
        <v>1788982</v>
      </c>
      <c r="AA93" s="45">
        <v>786791</v>
      </c>
      <c r="AB93" s="39">
        <v>1.86</v>
      </c>
      <c r="AC93" s="45">
        <v>2014547</v>
      </c>
      <c r="AD93" s="45">
        <v>1085060</v>
      </c>
      <c r="AE93" s="38">
        <v>1.37</v>
      </c>
      <c r="AF93" s="47">
        <v>5871819</v>
      </c>
      <c r="AG93" s="47">
        <v>4279052</v>
      </c>
      <c r="AH93" s="27"/>
    </row>
    <row r="94" spans="1:34" ht="10.5" customHeight="1" x14ac:dyDescent="0.15">
      <c r="A94" s="23" t="s">
        <v>54</v>
      </c>
      <c r="B94" s="48">
        <v>5</v>
      </c>
      <c r="C94" s="48">
        <f>_xlfn.XLOOKUP(Tabelle1[[#This Row],[Spalte1]],[1]KeyMetrics2021!$A:$A,[1]KeyMetrics2021!$B:$B,"Nicht vorhanden")</f>
        <v>5</v>
      </c>
      <c r="D94" s="25">
        <v>12542</v>
      </c>
      <c r="E94" s="25">
        <v>33845</v>
      </c>
      <c r="F94" s="25">
        <v>26716</v>
      </c>
      <c r="G94" s="25">
        <v>33716</v>
      </c>
      <c r="H94" s="25">
        <v>156775</v>
      </c>
      <c r="I94" s="26">
        <v>0.17</v>
      </c>
      <c r="J94" s="26">
        <v>0.215</v>
      </c>
      <c r="K94" s="26">
        <v>0.216</v>
      </c>
      <c r="L94" s="26">
        <v>1E-3</v>
      </c>
      <c r="M94" s="66">
        <f>Tabelle1[[#This Row],[Spalte12]]-Tabelle1[[#This Row],[Spalte11]]</f>
        <v>6.9999999999999993E-2</v>
      </c>
      <c r="N94" s="26">
        <v>7.0999999999999994E-2</v>
      </c>
      <c r="O94" s="26">
        <v>8.5999999999999993E-2</v>
      </c>
      <c r="P94" s="26">
        <v>0.106</v>
      </c>
      <c r="Q94" s="26">
        <v>4.2000000000000003E-2</v>
      </c>
      <c r="R94" s="25">
        <v>808703</v>
      </c>
      <c r="S94" s="24">
        <v>3.09</v>
      </c>
      <c r="T94" s="25">
        <v>727886</v>
      </c>
      <c r="U94" s="25">
        <v>235223</v>
      </c>
      <c r="V94" s="24">
        <v>3.26</v>
      </c>
      <c r="W94" s="25">
        <v>872496</v>
      </c>
      <c r="X94" s="25">
        <v>267465</v>
      </c>
      <c r="Y94" s="24">
        <v>3.26</v>
      </c>
      <c r="Z94" s="25">
        <v>866838</v>
      </c>
      <c r="AA94" s="25">
        <v>265645</v>
      </c>
      <c r="AB94" s="24">
        <v>3.7</v>
      </c>
      <c r="AC94" s="25">
        <v>552675</v>
      </c>
      <c r="AD94" s="25">
        <v>149480</v>
      </c>
      <c r="AE94" s="38">
        <v>4.1100000000000003</v>
      </c>
      <c r="AF94" s="36">
        <v>531944</v>
      </c>
      <c r="AG94" s="36">
        <v>129397</v>
      </c>
      <c r="AH94" s="27"/>
    </row>
    <row r="95" spans="1:34" ht="10.5" customHeight="1" x14ac:dyDescent="0.15">
      <c r="A95" s="22" t="s">
        <v>107</v>
      </c>
      <c r="B95" s="44">
        <v>5</v>
      </c>
      <c r="C95" s="44">
        <f>_xlfn.XLOOKUP(Tabelle1[[#This Row],[Spalte1]],[1]KeyMetrics2021!$A:$A,[1]KeyMetrics2021!$B:$B,"Nicht vorhanden")</f>
        <v>5</v>
      </c>
      <c r="D95" s="45">
        <v>14258</v>
      </c>
      <c r="E95" s="45">
        <v>45747</v>
      </c>
      <c r="F95" s="45">
        <v>41747</v>
      </c>
      <c r="G95" s="45">
        <v>45747</v>
      </c>
      <c r="H95" s="45">
        <v>178226</v>
      </c>
      <c r="I95" s="46">
        <v>0.23400000000000001</v>
      </c>
      <c r="J95" s="46">
        <v>0.25700000000000001</v>
      </c>
      <c r="K95" s="46">
        <v>0.25700000000000001</v>
      </c>
      <c r="L95" s="46">
        <v>1E-3</v>
      </c>
      <c r="M95" s="65">
        <f>Tabelle1[[#This Row],[Spalte12]]-Tabelle1[[#This Row],[Spalte11]]</f>
        <v>6.9999999999999993E-2</v>
      </c>
      <c r="N95" s="46">
        <v>7.0999999999999994E-2</v>
      </c>
      <c r="O95" s="46">
        <v>8.5999999999999993E-2</v>
      </c>
      <c r="P95" s="46">
        <v>0.106</v>
      </c>
      <c r="Q95" s="46">
        <v>5.5E-2</v>
      </c>
      <c r="R95" s="45">
        <v>832513</v>
      </c>
      <c r="S95" s="39">
        <v>5.3</v>
      </c>
      <c r="T95" s="45">
        <v>728098</v>
      </c>
      <c r="U95" s="45">
        <v>137422</v>
      </c>
      <c r="V95" s="39">
        <v>5.32</v>
      </c>
      <c r="W95" s="45">
        <v>872739</v>
      </c>
      <c r="X95" s="45">
        <v>164171</v>
      </c>
      <c r="Y95" s="39">
        <v>4.91</v>
      </c>
      <c r="Z95" s="45">
        <v>866990</v>
      </c>
      <c r="AA95" s="45">
        <v>176685</v>
      </c>
      <c r="AB95" s="39">
        <v>5.93</v>
      </c>
      <c r="AC95" s="45">
        <v>552892</v>
      </c>
      <c r="AD95" s="45">
        <v>93309</v>
      </c>
      <c r="AE95" s="38">
        <v>4.0599999999999996</v>
      </c>
      <c r="AF95" s="47">
        <v>568780</v>
      </c>
      <c r="AG95" s="47">
        <v>140000</v>
      </c>
      <c r="AH95" s="27"/>
    </row>
    <row r="96" spans="1:34" ht="10.5" customHeight="1" x14ac:dyDescent="0.15">
      <c r="A96" s="23" t="s">
        <v>24</v>
      </c>
      <c r="B96" s="48">
        <v>3</v>
      </c>
      <c r="C96" s="48">
        <f>_xlfn.XLOOKUP(Tabelle1[[#This Row],[Spalte1]],[1]KeyMetrics2021!$A:$A,[1]KeyMetrics2021!$B:$B,"Nicht vorhanden")</f>
        <v>3</v>
      </c>
      <c r="D96" s="25">
        <v>1102984</v>
      </c>
      <c r="E96" s="25">
        <v>2657530</v>
      </c>
      <c r="F96" s="25">
        <v>2657530</v>
      </c>
      <c r="G96" s="25">
        <v>2657530</v>
      </c>
      <c r="H96" s="25">
        <v>13787305</v>
      </c>
      <c r="I96" s="26">
        <v>0.193</v>
      </c>
      <c r="J96" s="26">
        <v>0.193</v>
      </c>
      <c r="K96" s="26">
        <v>0.193</v>
      </c>
      <c r="L96" s="26">
        <v>1.0999999999999999E-2</v>
      </c>
      <c r="M96" s="66">
        <f>Tabelle1[[#This Row],[Spalte12]]-Tabelle1[[#This Row],[Spalte11]]</f>
        <v>7.8E-2</v>
      </c>
      <c r="N96" s="26">
        <v>8.8999999999999996E-2</v>
      </c>
      <c r="O96" s="26">
        <v>0.107</v>
      </c>
      <c r="P96" s="26">
        <v>0.13100000000000001</v>
      </c>
      <c r="Q96" s="26">
        <v>7.8E-2</v>
      </c>
      <c r="R96" s="25">
        <v>33871141</v>
      </c>
      <c r="S96" s="24">
        <v>1.69</v>
      </c>
      <c r="T96" s="25">
        <v>8111538</v>
      </c>
      <c r="U96" s="25">
        <v>4793922</v>
      </c>
      <c r="V96" s="24">
        <v>1.54</v>
      </c>
      <c r="W96" s="25">
        <v>7813589</v>
      </c>
      <c r="X96" s="25">
        <v>5076733</v>
      </c>
      <c r="Y96" s="24">
        <v>1.36</v>
      </c>
      <c r="Z96" s="25">
        <v>6423531</v>
      </c>
      <c r="AA96" s="25">
        <v>4740583</v>
      </c>
      <c r="AB96" s="24">
        <v>1.32</v>
      </c>
      <c r="AC96" s="25">
        <v>7248809</v>
      </c>
      <c r="AD96" s="25">
        <v>5481359</v>
      </c>
      <c r="AE96" s="38">
        <v>1.4</v>
      </c>
      <c r="AF96" s="36">
        <v>24372230</v>
      </c>
      <c r="AG96" s="36">
        <v>17438664</v>
      </c>
      <c r="AH96" s="27"/>
    </row>
    <row r="97" spans="1:34" ht="10.5" customHeight="1" x14ac:dyDescent="0.15">
      <c r="A97" s="22" t="s">
        <v>6</v>
      </c>
      <c r="B97" s="44">
        <v>5</v>
      </c>
      <c r="C97" s="44">
        <f>_xlfn.XLOOKUP(Tabelle1[[#This Row],[Spalte1]],[1]KeyMetrics2021!$A:$A,[1]KeyMetrics2021!$B:$B,"Nicht vorhanden")</f>
        <v>5</v>
      </c>
      <c r="D97" s="45">
        <v>26248</v>
      </c>
      <c r="E97" s="45">
        <v>62948</v>
      </c>
      <c r="F97" s="45">
        <v>62948</v>
      </c>
      <c r="G97" s="45">
        <v>62948</v>
      </c>
      <c r="H97" s="45">
        <v>328106</v>
      </c>
      <c r="I97" s="46">
        <v>0.192</v>
      </c>
      <c r="J97" s="46">
        <v>0.192</v>
      </c>
      <c r="K97" s="46">
        <v>0.192</v>
      </c>
      <c r="L97" s="46">
        <v>1.6E-2</v>
      </c>
      <c r="M97" s="65">
        <f>Tabelle1[[#This Row],[Spalte12]]-Tabelle1[[#This Row],[Spalte11]]</f>
        <v>6.9999999999999993E-2</v>
      </c>
      <c r="N97" s="46">
        <v>8.5999999999999993E-2</v>
      </c>
      <c r="O97" s="46">
        <v>0.10100000000000001</v>
      </c>
      <c r="P97" s="46">
        <v>0.121</v>
      </c>
      <c r="Q97" s="46">
        <v>8.2000000000000003E-2</v>
      </c>
      <c r="R97" s="45">
        <v>771907</v>
      </c>
      <c r="S97" s="39">
        <v>2.44</v>
      </c>
      <c r="T97" s="45">
        <v>90532</v>
      </c>
      <c r="U97" s="45">
        <v>37094</v>
      </c>
      <c r="V97" s="39">
        <v>2.4</v>
      </c>
      <c r="W97" s="45">
        <v>89257</v>
      </c>
      <c r="X97" s="45">
        <v>37161</v>
      </c>
      <c r="Y97" s="39">
        <v>2.2999999999999998</v>
      </c>
      <c r="Z97" s="45">
        <v>85512</v>
      </c>
      <c r="AA97" s="45">
        <v>37258</v>
      </c>
      <c r="AB97" s="39">
        <v>1.98</v>
      </c>
      <c r="AC97" s="45">
        <v>76987</v>
      </c>
      <c r="AD97" s="45">
        <v>38845</v>
      </c>
      <c r="AE97" s="38">
        <v>1.37</v>
      </c>
      <c r="AF97" s="47">
        <v>698004</v>
      </c>
      <c r="AG97" s="47">
        <v>509905</v>
      </c>
      <c r="AH97" s="27"/>
    </row>
    <row r="98" spans="1:34" ht="10.5" customHeight="1" x14ac:dyDescent="0.15">
      <c r="A98" s="23" t="s">
        <v>207</v>
      </c>
      <c r="B98" s="48">
        <v>5</v>
      </c>
      <c r="C98" s="48" t="str">
        <f>_xlfn.XLOOKUP(Tabelle1[[#This Row],[Spalte1]],[1]KeyMetrics2021!$A:$A,[1]KeyMetrics2021!$B:$B,"Nicht vorhanden")</f>
        <v>Nicht vorhanden</v>
      </c>
      <c r="D98" s="25">
        <v>15538</v>
      </c>
      <c r="E98" s="25">
        <v>26581</v>
      </c>
      <c r="F98" s="25">
        <v>26581</v>
      </c>
      <c r="G98" s="25">
        <v>26581</v>
      </c>
      <c r="H98" s="25">
        <v>194230</v>
      </c>
      <c r="I98" s="26">
        <v>0.13700000000000001</v>
      </c>
      <c r="J98" s="26">
        <v>0.13700000000000001</v>
      </c>
      <c r="K98" s="26">
        <v>0.13700000000000001</v>
      </c>
      <c r="L98" s="26">
        <v>0</v>
      </c>
      <c r="M98" s="66">
        <f>Tabelle1[[#This Row],[Spalte12]]-Tabelle1[[#This Row],[Spalte11]]</f>
        <v>7.0000000000000007E-2</v>
      </c>
      <c r="N98" s="26">
        <v>7.0000000000000007E-2</v>
      </c>
      <c r="O98" s="26">
        <v>8.5000000000000006E-2</v>
      </c>
      <c r="P98" s="26">
        <v>0.105</v>
      </c>
      <c r="Q98" s="26">
        <v>7.8E-2</v>
      </c>
      <c r="R98" s="25">
        <v>338973</v>
      </c>
      <c r="S98" s="24">
        <v>2.2200000000000002</v>
      </c>
      <c r="T98" s="25">
        <v>26635</v>
      </c>
      <c r="U98" s="25">
        <v>12011</v>
      </c>
      <c r="V98" s="24">
        <v>2.7</v>
      </c>
      <c r="W98" s="25">
        <v>41069</v>
      </c>
      <c r="X98" s="25">
        <v>15195</v>
      </c>
      <c r="Y98" s="24">
        <v>1.49</v>
      </c>
      <c r="Z98" s="25">
        <v>24381</v>
      </c>
      <c r="AA98" s="25">
        <v>16312</v>
      </c>
      <c r="AB98" s="24">
        <v>1.47</v>
      </c>
      <c r="AC98" s="25">
        <v>23368</v>
      </c>
      <c r="AD98" s="25">
        <v>15928</v>
      </c>
      <c r="AE98" s="38">
        <v>2.06</v>
      </c>
      <c r="AF98" s="36">
        <v>265754</v>
      </c>
      <c r="AG98" s="36">
        <v>129147</v>
      </c>
      <c r="AH98" s="27"/>
    </row>
    <row r="99" spans="1:34" ht="10.5" customHeight="1" x14ac:dyDescent="0.15">
      <c r="A99" s="22" t="s">
        <v>127</v>
      </c>
      <c r="B99" s="44">
        <v>4</v>
      </c>
      <c r="C99" s="44">
        <f>_xlfn.XLOOKUP(Tabelle1[[#This Row],[Spalte1]],[1]KeyMetrics2021!$A:$A,[1]KeyMetrics2021!$B:$B,"Nicht vorhanden")</f>
        <v>4</v>
      </c>
      <c r="D99" s="45">
        <v>82421</v>
      </c>
      <c r="E99" s="45">
        <v>209181</v>
      </c>
      <c r="F99" s="45">
        <v>209181</v>
      </c>
      <c r="G99" s="45">
        <v>209181</v>
      </c>
      <c r="H99" s="45">
        <v>1030262</v>
      </c>
      <c r="I99" s="46">
        <v>0.20300000000000001</v>
      </c>
      <c r="J99" s="46">
        <v>0.20300000000000001</v>
      </c>
      <c r="K99" s="46">
        <v>0.20300000000000001</v>
      </c>
      <c r="L99" s="46">
        <v>0</v>
      </c>
      <c r="M99" s="65">
        <f>Tabelle1[[#This Row],[Spalte12]]-Tabelle1[[#This Row],[Spalte11]]</f>
        <v>7.3999999999999996E-2</v>
      </c>
      <c r="N99" s="46">
        <v>7.3999999999999996E-2</v>
      </c>
      <c r="O99" s="46">
        <v>0.09</v>
      </c>
      <c r="P99" s="46">
        <v>0.112</v>
      </c>
      <c r="Q99" s="46">
        <v>5.8999999999999997E-2</v>
      </c>
      <c r="R99" s="45">
        <v>3547456</v>
      </c>
      <c r="S99" s="39">
        <v>1.96</v>
      </c>
      <c r="T99" s="45">
        <v>2880771</v>
      </c>
      <c r="U99" s="45">
        <v>1472463</v>
      </c>
      <c r="V99" s="39">
        <v>1.99</v>
      </c>
      <c r="W99" s="45">
        <v>2574136</v>
      </c>
      <c r="X99" s="45">
        <v>1291033</v>
      </c>
      <c r="Y99" s="39">
        <v>1.9</v>
      </c>
      <c r="Z99" s="45">
        <v>2183236</v>
      </c>
      <c r="AA99" s="45">
        <v>1146680</v>
      </c>
      <c r="AB99" s="39">
        <v>1.87</v>
      </c>
      <c r="AC99" s="45">
        <v>2003444</v>
      </c>
      <c r="AD99" s="45">
        <v>1072919</v>
      </c>
      <c r="AE99" s="38">
        <v>2.4</v>
      </c>
      <c r="AF99" s="47">
        <v>2028361</v>
      </c>
      <c r="AG99" s="47">
        <v>845013</v>
      </c>
      <c r="AH99" s="27"/>
    </row>
    <row r="100" spans="1:34" ht="10.5" customHeight="1" x14ac:dyDescent="0.15">
      <c r="A100" s="23" t="s">
        <v>200</v>
      </c>
      <c r="B100" s="48">
        <v>3</v>
      </c>
      <c r="C100" s="48">
        <f>_xlfn.XLOOKUP(Tabelle1[[#This Row],[Spalte1]],[1]KeyMetrics2021!$A:$A,[1]KeyMetrics2021!$B:$B,"Nicht vorhanden")</f>
        <v>3</v>
      </c>
      <c r="D100" s="25">
        <v>990457</v>
      </c>
      <c r="E100" s="25">
        <v>3386728</v>
      </c>
      <c r="F100" s="25">
        <v>3356728</v>
      </c>
      <c r="G100" s="25">
        <v>3386728</v>
      </c>
      <c r="H100" s="25">
        <v>12380718</v>
      </c>
      <c r="I100" s="26">
        <v>0.27100000000000002</v>
      </c>
      <c r="J100" s="26">
        <v>0.27400000000000002</v>
      </c>
      <c r="K100" s="26">
        <v>0.27400000000000002</v>
      </c>
      <c r="L100" s="26">
        <v>2E-3</v>
      </c>
      <c r="M100" s="66">
        <f>Tabelle1[[#This Row],[Spalte12]]-Tabelle1[[#This Row],[Spalte11]]</f>
        <v>7.8E-2</v>
      </c>
      <c r="N100" s="26">
        <v>0.08</v>
      </c>
      <c r="O100" s="26">
        <v>9.8000000000000004E-2</v>
      </c>
      <c r="P100" s="26">
        <v>0.122</v>
      </c>
      <c r="Q100" s="26">
        <v>6.8000000000000005E-2</v>
      </c>
      <c r="R100" s="25">
        <v>49953090</v>
      </c>
      <c r="S100" s="24">
        <v>1.71</v>
      </c>
      <c r="T100" s="25">
        <v>29253226</v>
      </c>
      <c r="U100" s="25">
        <v>17122161</v>
      </c>
      <c r="V100" s="24">
        <v>1.74</v>
      </c>
      <c r="W100" s="25">
        <v>29609983</v>
      </c>
      <c r="X100" s="25">
        <v>17051201</v>
      </c>
      <c r="Y100" s="24">
        <v>1.82</v>
      </c>
      <c r="Z100" s="25">
        <v>26950629</v>
      </c>
      <c r="AA100" s="25">
        <v>14817936</v>
      </c>
      <c r="AB100" s="24">
        <v>1.77</v>
      </c>
      <c r="AC100" s="25">
        <v>24807732</v>
      </c>
      <c r="AD100" s="25">
        <v>13983096</v>
      </c>
      <c r="AE100" s="38">
        <v>2.0699999999999998</v>
      </c>
      <c r="AF100" s="36">
        <v>21522334</v>
      </c>
      <c r="AG100" s="36">
        <v>10403365</v>
      </c>
      <c r="AH100" s="27"/>
    </row>
    <row r="101" spans="1:34" ht="10.5" customHeight="1" x14ac:dyDescent="0.15">
      <c r="A101" s="22" t="s">
        <v>46</v>
      </c>
      <c r="B101" s="44">
        <v>4</v>
      </c>
      <c r="C101" s="44">
        <f>_xlfn.XLOOKUP(Tabelle1[[#This Row],[Spalte1]],[1]KeyMetrics2021!$A:$A,[1]KeyMetrics2021!$B:$B,"Nicht vorhanden")</f>
        <v>4</v>
      </c>
      <c r="D101" s="45">
        <v>558054</v>
      </c>
      <c r="E101" s="45">
        <v>1199615</v>
      </c>
      <c r="F101" s="45">
        <v>1136782</v>
      </c>
      <c r="G101" s="45">
        <v>1136782</v>
      </c>
      <c r="H101" s="45">
        <v>6975675</v>
      </c>
      <c r="I101" s="46">
        <v>0.16300000000000001</v>
      </c>
      <c r="J101" s="46">
        <v>0.16300000000000001</v>
      </c>
      <c r="K101" s="46">
        <v>0.17199999999999999</v>
      </c>
      <c r="L101" s="46">
        <v>0</v>
      </c>
      <c r="M101" s="65">
        <f>Tabelle1[[#This Row],[Spalte12]]-Tabelle1[[#This Row],[Spalte11]]</f>
        <v>7.3999999999999996E-2</v>
      </c>
      <c r="N101" s="46">
        <v>7.3999999999999996E-2</v>
      </c>
      <c r="O101" s="46">
        <v>0.09</v>
      </c>
      <c r="P101" s="46">
        <v>0.112</v>
      </c>
      <c r="Q101" s="46">
        <v>8.4000000000000005E-2</v>
      </c>
      <c r="R101" s="45">
        <v>13521104</v>
      </c>
      <c r="S101" s="39">
        <v>1.52</v>
      </c>
      <c r="T101" s="45">
        <v>4009176</v>
      </c>
      <c r="U101" s="45">
        <v>2644230</v>
      </c>
      <c r="V101" s="39">
        <v>1.35</v>
      </c>
      <c r="W101" s="45">
        <v>4163868</v>
      </c>
      <c r="X101" s="45">
        <v>3082927</v>
      </c>
      <c r="Y101" s="39">
        <v>1.3</v>
      </c>
      <c r="Z101" s="45">
        <v>3942752</v>
      </c>
      <c r="AA101" s="45">
        <v>3044378</v>
      </c>
      <c r="AB101" s="39">
        <v>1.31</v>
      </c>
      <c r="AC101" s="45">
        <v>3575595</v>
      </c>
      <c r="AD101" s="45">
        <v>2719454</v>
      </c>
      <c r="AE101" s="38">
        <v>1.86</v>
      </c>
      <c r="AF101" s="47">
        <v>8247708</v>
      </c>
      <c r="AG101" s="47">
        <v>4434195</v>
      </c>
      <c r="AH101" s="27"/>
    </row>
    <row r="102" spans="1:34" ht="10.5" customHeight="1" x14ac:dyDescent="0.15">
      <c r="A102" s="23" t="s">
        <v>123</v>
      </c>
      <c r="B102" s="48">
        <v>5</v>
      </c>
      <c r="C102" s="48">
        <f>_xlfn.XLOOKUP(Tabelle1[[#This Row],[Spalte1]],[1]KeyMetrics2021!$A:$A,[1]KeyMetrics2021!$B:$B,"Nicht vorhanden")</f>
        <v>5</v>
      </c>
      <c r="D102" s="25">
        <v>18365</v>
      </c>
      <c r="E102" s="25">
        <v>51536</v>
      </c>
      <c r="F102" s="25">
        <v>51536</v>
      </c>
      <c r="G102" s="25">
        <v>51536</v>
      </c>
      <c r="H102" s="25">
        <v>229565</v>
      </c>
      <c r="I102" s="26">
        <v>0.224</v>
      </c>
      <c r="J102" s="26">
        <v>0.224</v>
      </c>
      <c r="K102" s="26">
        <v>0.224</v>
      </c>
      <c r="L102" s="26">
        <v>3.0000000000000001E-3</v>
      </c>
      <c r="M102" s="66">
        <f>Tabelle1[[#This Row],[Spalte12]]-Tabelle1[[#This Row],[Spalte11]]</f>
        <v>6.9999999999999993E-2</v>
      </c>
      <c r="N102" s="26">
        <v>7.2999999999999995E-2</v>
      </c>
      <c r="O102" s="26">
        <v>8.7999999999999995E-2</v>
      </c>
      <c r="P102" s="26">
        <v>0.108</v>
      </c>
      <c r="Q102" s="26">
        <v>0.06</v>
      </c>
      <c r="R102" s="25">
        <v>861666</v>
      </c>
      <c r="S102" s="24">
        <v>4.37</v>
      </c>
      <c r="T102" s="25">
        <v>111209</v>
      </c>
      <c r="U102" s="25">
        <v>25422</v>
      </c>
      <c r="V102" s="24">
        <v>4.43</v>
      </c>
      <c r="W102" s="25">
        <v>137471</v>
      </c>
      <c r="X102" s="25">
        <v>31044</v>
      </c>
      <c r="Y102" s="24">
        <v>3.98</v>
      </c>
      <c r="Z102" s="25">
        <v>131897</v>
      </c>
      <c r="AA102" s="25">
        <v>33167</v>
      </c>
      <c r="AB102" s="24">
        <v>3.76</v>
      </c>
      <c r="AC102" s="25">
        <v>164808</v>
      </c>
      <c r="AD102" s="25">
        <v>43863</v>
      </c>
      <c r="AE102" s="38">
        <v>1.53</v>
      </c>
      <c r="AF102" s="36">
        <v>318922</v>
      </c>
      <c r="AG102" s="36">
        <v>207890</v>
      </c>
      <c r="AH102" s="27"/>
    </row>
    <row r="103" spans="1:34" ht="10.5" customHeight="1" x14ac:dyDescent="0.15">
      <c r="A103" s="22" t="s">
        <v>115</v>
      </c>
      <c r="B103" s="44">
        <v>5</v>
      </c>
      <c r="C103" s="44">
        <f>_xlfn.XLOOKUP(Tabelle1[[#This Row],[Spalte1]],[1]KeyMetrics2021!$A:$A,[1]KeyMetrics2021!$B:$B,"Nicht vorhanden")</f>
        <v>5</v>
      </c>
      <c r="D103" s="45">
        <v>11705</v>
      </c>
      <c r="E103" s="45">
        <v>42658</v>
      </c>
      <c r="F103" s="45">
        <v>19158</v>
      </c>
      <c r="G103" s="45">
        <v>42658</v>
      </c>
      <c r="H103" s="45">
        <v>146310</v>
      </c>
      <c r="I103" s="46">
        <v>0.13100000000000001</v>
      </c>
      <c r="J103" s="46">
        <v>0.29199999999999998</v>
      </c>
      <c r="K103" s="46">
        <v>0.29199999999999998</v>
      </c>
      <c r="L103" s="46">
        <v>0</v>
      </c>
      <c r="M103" s="65">
        <f>Tabelle1[[#This Row],[Spalte12]]-Tabelle1[[#This Row],[Spalte11]]</f>
        <v>7.0000000000000007E-2</v>
      </c>
      <c r="N103" s="46">
        <v>7.0000000000000007E-2</v>
      </c>
      <c r="O103" s="46">
        <v>8.5000000000000006E-2</v>
      </c>
      <c r="P103" s="46">
        <v>0.105</v>
      </c>
      <c r="Q103" s="46">
        <v>0.161</v>
      </c>
      <c r="R103" s="45">
        <v>264756</v>
      </c>
      <c r="S103" s="39">
        <v>2.57</v>
      </c>
      <c r="T103" s="45">
        <v>36835</v>
      </c>
      <c r="U103" s="45">
        <v>14336</v>
      </c>
      <c r="V103" s="39">
        <v>2.08</v>
      </c>
      <c r="W103" s="45">
        <v>32346</v>
      </c>
      <c r="X103" s="45">
        <v>15523</v>
      </c>
      <c r="Y103" s="39">
        <v>2.57</v>
      </c>
      <c r="Z103" s="45">
        <v>38098</v>
      </c>
      <c r="AA103" s="45">
        <v>14831</v>
      </c>
      <c r="AB103" s="39">
        <v>2.46</v>
      </c>
      <c r="AC103" s="45">
        <v>42862</v>
      </c>
      <c r="AD103" s="45">
        <v>17434</v>
      </c>
      <c r="AE103" s="38">
        <v>1.45</v>
      </c>
      <c r="AF103" s="47">
        <v>154438</v>
      </c>
      <c r="AG103" s="47">
        <v>106662</v>
      </c>
      <c r="AH103" s="27"/>
    </row>
    <row r="104" spans="1:34" ht="10.5" customHeight="1" x14ac:dyDescent="0.15">
      <c r="A104" s="23" t="s">
        <v>96</v>
      </c>
      <c r="B104" s="48">
        <v>3</v>
      </c>
      <c r="C104" s="48">
        <f>_xlfn.XLOOKUP(Tabelle1[[#This Row],[Spalte1]],[1]KeyMetrics2021!$A:$A,[1]KeyMetrics2021!$B:$B,"Nicht vorhanden")</f>
        <v>3</v>
      </c>
      <c r="D104" s="25">
        <v>455011</v>
      </c>
      <c r="E104" s="25">
        <v>1392514</v>
      </c>
      <c r="F104" s="25">
        <v>1162040</v>
      </c>
      <c r="G104" s="25">
        <v>1162040</v>
      </c>
      <c r="H104" s="25">
        <v>5687642</v>
      </c>
      <c r="I104" s="26">
        <v>0.20399999999999999</v>
      </c>
      <c r="J104" s="26">
        <v>0.20399999999999999</v>
      </c>
      <c r="K104" s="26">
        <v>0.245</v>
      </c>
      <c r="L104" s="26">
        <v>0</v>
      </c>
      <c r="M104" s="66">
        <f>Tabelle1[[#This Row],[Spalte12]]-Tabelle1[[#This Row],[Spalte11]]</f>
        <v>7.8E-2</v>
      </c>
      <c r="N104" s="26">
        <v>7.8E-2</v>
      </c>
      <c r="O104" s="26">
        <v>9.6000000000000002E-2</v>
      </c>
      <c r="P104" s="26">
        <v>0.12</v>
      </c>
      <c r="Q104" s="26">
        <v>6.2E-2</v>
      </c>
      <c r="R104" s="25">
        <v>18665151</v>
      </c>
      <c r="S104" s="24">
        <v>2.09</v>
      </c>
      <c r="T104" s="25">
        <v>6713953</v>
      </c>
      <c r="U104" s="25">
        <v>3212723</v>
      </c>
      <c r="V104" s="24">
        <v>2.02</v>
      </c>
      <c r="W104" s="25">
        <v>6862189</v>
      </c>
      <c r="X104" s="25">
        <v>3399225</v>
      </c>
      <c r="Y104" s="24">
        <v>2.0299999999999998</v>
      </c>
      <c r="Z104" s="25">
        <v>6665839</v>
      </c>
      <c r="AA104" s="25">
        <v>3286970</v>
      </c>
      <c r="AB104" s="24">
        <v>1.76</v>
      </c>
      <c r="AC104" s="25">
        <v>5340204</v>
      </c>
      <c r="AD104" s="25">
        <v>3040351</v>
      </c>
      <c r="AE104" s="38">
        <v>1.52</v>
      </c>
      <c r="AF104" s="36">
        <v>9597557</v>
      </c>
      <c r="AG104" s="36">
        <v>6323054</v>
      </c>
      <c r="AH104" s="27"/>
    </row>
    <row r="105" spans="1:34" ht="10.5" customHeight="1" x14ac:dyDescent="0.15">
      <c r="A105" s="22" t="s">
        <v>73</v>
      </c>
      <c r="B105" s="44">
        <v>4</v>
      </c>
      <c r="C105" s="44">
        <f>_xlfn.XLOOKUP(Tabelle1[[#This Row],[Spalte1]],[1]KeyMetrics2021!$A:$A,[1]KeyMetrics2021!$B:$B,"Nicht vorhanden")</f>
        <v>4</v>
      </c>
      <c r="D105" s="45">
        <v>17417</v>
      </c>
      <c r="E105" s="45">
        <v>58571</v>
      </c>
      <c r="F105" s="45">
        <v>58571</v>
      </c>
      <c r="G105" s="45">
        <v>58571</v>
      </c>
      <c r="H105" s="45">
        <v>217709</v>
      </c>
      <c r="I105" s="46">
        <v>0.26900000000000002</v>
      </c>
      <c r="J105" s="46">
        <v>0.26900000000000002</v>
      </c>
      <c r="K105" s="46">
        <v>0.26900000000000002</v>
      </c>
      <c r="L105" s="46">
        <v>0</v>
      </c>
      <c r="M105" s="65">
        <f>Tabelle1[[#This Row],[Spalte12]]-Tabelle1[[#This Row],[Spalte11]]</f>
        <v>7.3999999999999996E-2</v>
      </c>
      <c r="N105" s="46">
        <v>7.3999999999999996E-2</v>
      </c>
      <c r="O105" s="46">
        <v>0.09</v>
      </c>
      <c r="P105" s="46">
        <v>0.112</v>
      </c>
      <c r="Q105" s="46">
        <v>5.0999999999999997E-2</v>
      </c>
      <c r="R105" s="45">
        <v>1141886</v>
      </c>
      <c r="S105" s="39">
        <v>2.81</v>
      </c>
      <c r="T105" s="45">
        <v>769767</v>
      </c>
      <c r="U105" s="45">
        <v>273456</v>
      </c>
      <c r="V105" s="39">
        <v>2.58</v>
      </c>
      <c r="W105" s="45">
        <v>781862</v>
      </c>
      <c r="X105" s="45">
        <v>303211</v>
      </c>
      <c r="Y105" s="39">
        <v>2.17</v>
      </c>
      <c r="Z105" s="45">
        <v>530532</v>
      </c>
      <c r="AA105" s="45">
        <v>244662</v>
      </c>
      <c r="AB105" s="39">
        <v>2.13</v>
      </c>
      <c r="AC105" s="45">
        <v>347542</v>
      </c>
      <c r="AD105" s="45">
        <v>163056</v>
      </c>
      <c r="AE105" s="38">
        <v>2.2400000000000002</v>
      </c>
      <c r="AF105" s="47">
        <v>733818</v>
      </c>
      <c r="AG105" s="47">
        <v>327548</v>
      </c>
      <c r="AH105" s="27"/>
    </row>
    <row r="106" spans="1:34" ht="10.5" customHeight="1" x14ac:dyDescent="0.15">
      <c r="A106" s="23" t="s">
        <v>21</v>
      </c>
      <c r="B106" s="48">
        <v>4</v>
      </c>
      <c r="C106" s="48">
        <f>_xlfn.XLOOKUP(Tabelle1[[#This Row],[Spalte1]],[1]KeyMetrics2021!$A:$A,[1]KeyMetrics2021!$B:$B,"Nicht vorhanden")</f>
        <v>4</v>
      </c>
      <c r="D106" s="25">
        <v>231933</v>
      </c>
      <c r="E106" s="25">
        <v>548789</v>
      </c>
      <c r="F106" s="25">
        <v>511192</v>
      </c>
      <c r="G106" s="25">
        <v>511192</v>
      </c>
      <c r="H106" s="25">
        <v>2899164</v>
      </c>
      <c r="I106" s="26">
        <v>0.17599999999999999</v>
      </c>
      <c r="J106" s="26">
        <v>0.17599999999999999</v>
      </c>
      <c r="K106" s="26">
        <v>0.189</v>
      </c>
      <c r="L106" s="26">
        <v>1.2E-2</v>
      </c>
      <c r="M106" s="66">
        <f>Tabelle1[[#This Row],[Spalte12]]-Tabelle1[[#This Row],[Spalte11]]</f>
        <v>7.3999999999999996E-2</v>
      </c>
      <c r="N106" s="26">
        <v>8.5999999999999993E-2</v>
      </c>
      <c r="O106" s="26">
        <v>0.10199999999999999</v>
      </c>
      <c r="P106" s="26">
        <v>0.124</v>
      </c>
      <c r="Q106" s="26">
        <v>7.4999999999999997E-2</v>
      </c>
      <c r="R106" s="25">
        <v>6832991</v>
      </c>
      <c r="S106" s="24">
        <v>1.96</v>
      </c>
      <c r="T106" s="25">
        <v>1425779</v>
      </c>
      <c r="U106" s="25">
        <v>727969</v>
      </c>
      <c r="V106" s="24">
        <v>1.97</v>
      </c>
      <c r="W106" s="25">
        <v>1527055</v>
      </c>
      <c r="X106" s="25">
        <v>776618</v>
      </c>
      <c r="Y106" s="24">
        <v>2.0499999999999998</v>
      </c>
      <c r="Z106" s="25">
        <v>1501822</v>
      </c>
      <c r="AA106" s="25">
        <v>732271</v>
      </c>
      <c r="AB106" s="24">
        <v>2</v>
      </c>
      <c r="AC106" s="25">
        <v>1447314</v>
      </c>
      <c r="AD106" s="25">
        <v>723636</v>
      </c>
      <c r="AE106" s="38">
        <v>1.53</v>
      </c>
      <c r="AF106" s="36">
        <v>5695130</v>
      </c>
      <c r="AG106" s="36">
        <v>3716301</v>
      </c>
      <c r="AH106" s="27"/>
    </row>
    <row r="107" spans="1:34" ht="10.5" customHeight="1" x14ac:dyDescent="0.15">
      <c r="A107" s="22" t="s">
        <v>187</v>
      </c>
      <c r="B107" s="44">
        <v>5</v>
      </c>
      <c r="C107" s="44">
        <f>_xlfn.XLOOKUP(Tabelle1[[#This Row],[Spalte1]],[1]KeyMetrics2021!$A:$A,[1]KeyMetrics2021!$B:$B,"Nicht vorhanden")</f>
        <v>5</v>
      </c>
      <c r="D107" s="45">
        <v>8335</v>
      </c>
      <c r="E107" s="45">
        <v>25841</v>
      </c>
      <c r="F107" s="45">
        <v>25841</v>
      </c>
      <c r="G107" s="45">
        <v>25841</v>
      </c>
      <c r="H107" s="45">
        <v>104188</v>
      </c>
      <c r="I107" s="46">
        <v>0.248</v>
      </c>
      <c r="J107" s="46">
        <v>0.248</v>
      </c>
      <c r="K107" s="46">
        <v>0.248</v>
      </c>
      <c r="L107" s="46">
        <v>0</v>
      </c>
      <c r="M107" s="65">
        <f>Tabelle1[[#This Row],[Spalte12]]-Tabelle1[[#This Row],[Spalte11]]</f>
        <v>7.0000000000000007E-2</v>
      </c>
      <c r="N107" s="46">
        <v>7.0000000000000007E-2</v>
      </c>
      <c r="O107" s="46">
        <v>8.5000000000000006E-2</v>
      </c>
      <c r="P107" s="46">
        <v>0.105</v>
      </c>
      <c r="Q107" s="46">
        <v>7.0000000000000007E-2</v>
      </c>
      <c r="R107" s="45">
        <v>366710</v>
      </c>
      <c r="S107" s="39">
        <v>1.3</v>
      </c>
      <c r="T107" s="45">
        <v>269617</v>
      </c>
      <c r="U107" s="45">
        <v>206955</v>
      </c>
      <c r="V107" s="39">
        <v>1.3</v>
      </c>
      <c r="W107" s="45">
        <v>261521</v>
      </c>
      <c r="X107" s="45">
        <v>200629</v>
      </c>
      <c r="Y107" s="39">
        <v>1.45</v>
      </c>
      <c r="Z107" s="45">
        <v>240926</v>
      </c>
      <c r="AA107" s="45">
        <v>165850</v>
      </c>
      <c r="AB107" s="39">
        <v>1.59</v>
      </c>
      <c r="AC107" s="45">
        <v>208855</v>
      </c>
      <c r="AD107" s="45">
        <v>131340</v>
      </c>
      <c r="AE107" s="38">
        <v>2.0099999999999998</v>
      </c>
      <c r="AF107" s="47">
        <v>82760</v>
      </c>
      <c r="AG107" s="47">
        <v>41182</v>
      </c>
      <c r="AH107" s="27"/>
    </row>
    <row r="108" spans="1:34" ht="10.5" customHeight="1" x14ac:dyDescent="0.15">
      <c r="A108" s="23" t="s">
        <v>225</v>
      </c>
      <c r="B108" s="48">
        <v>5</v>
      </c>
      <c r="C108" s="48" t="str">
        <f>_xlfn.XLOOKUP(Tabelle1[[#This Row],[Spalte1]],[1]KeyMetrics2021!$A:$A,[1]KeyMetrics2021!$B:$B,"Nicht vorhanden")</f>
        <v>Nicht vorhanden</v>
      </c>
      <c r="D108" s="25">
        <v>3542</v>
      </c>
      <c r="E108" s="25">
        <v>3487</v>
      </c>
      <c r="F108" s="25">
        <v>-1503</v>
      </c>
      <c r="G108" s="25">
        <v>3487</v>
      </c>
      <c r="H108" s="25">
        <v>44275</v>
      </c>
      <c r="I108" s="26">
        <v>-3.4000000000000002E-2</v>
      </c>
      <c r="J108" s="26">
        <v>7.9000000000000001E-2</v>
      </c>
      <c r="K108" s="26">
        <v>7.9000000000000001E-2</v>
      </c>
      <c r="L108" s="26">
        <v>0</v>
      </c>
      <c r="M108" s="66">
        <f>Tabelle1[[#This Row],[Spalte12]]-Tabelle1[[#This Row],[Spalte11]]</f>
        <v>7.0000000000000007E-2</v>
      </c>
      <c r="N108" s="26">
        <v>7.0000000000000007E-2</v>
      </c>
      <c r="O108" s="26">
        <v>8.5000000000000006E-2</v>
      </c>
      <c r="P108" s="26">
        <v>0.105</v>
      </c>
      <c r="Q108" s="26">
        <v>2.1999999999999999E-2</v>
      </c>
      <c r="R108" s="25">
        <v>158352</v>
      </c>
      <c r="S108" s="24">
        <v>1.1160000000000001</v>
      </c>
      <c r="T108" s="25">
        <v>106015</v>
      </c>
      <c r="U108" s="25">
        <v>95010</v>
      </c>
      <c r="V108" s="24">
        <v>1.111</v>
      </c>
      <c r="W108" s="25">
        <v>133929</v>
      </c>
      <c r="X108" s="25">
        <v>120595</v>
      </c>
      <c r="Y108" s="24">
        <v>1.089</v>
      </c>
      <c r="Z108" s="25">
        <v>139402</v>
      </c>
      <c r="AA108" s="25">
        <v>128011</v>
      </c>
      <c r="AB108" s="24">
        <v>1.0840000000000001</v>
      </c>
      <c r="AC108" s="25">
        <v>129850</v>
      </c>
      <c r="AD108" s="25">
        <v>119803</v>
      </c>
      <c r="AE108" s="38">
        <v>1.171</v>
      </c>
      <c r="AF108" s="36">
        <v>26706</v>
      </c>
      <c r="AG108" s="36">
        <v>22803</v>
      </c>
      <c r="AH108" s="27"/>
    </row>
    <row r="109" spans="1:34" ht="10.5" customHeight="1" x14ac:dyDescent="0.15">
      <c r="A109" s="22" t="s">
        <v>226</v>
      </c>
      <c r="B109" s="44">
        <v>5</v>
      </c>
      <c r="C109" s="44" t="str">
        <f>_xlfn.XLOOKUP(Tabelle1[[#This Row],[Spalte1]],[1]KeyMetrics2021!$A:$A,[1]KeyMetrics2021!$B:$B,"Nicht vorhanden")</f>
        <v>Nicht vorhanden</v>
      </c>
      <c r="D109" s="45">
        <v>3675</v>
      </c>
      <c r="E109" s="45">
        <v>3054</v>
      </c>
      <c r="F109" s="45">
        <v>3054</v>
      </c>
      <c r="G109" s="45">
        <v>3054</v>
      </c>
      <c r="H109" s="45">
        <v>45944</v>
      </c>
      <c r="I109" s="46">
        <v>6.6000000000000003E-2</v>
      </c>
      <c r="J109" s="46">
        <v>6.6000000000000003E-2</v>
      </c>
      <c r="K109" s="46">
        <v>6.6000000000000003E-2</v>
      </c>
      <c r="L109" s="46">
        <v>0</v>
      </c>
      <c r="M109" s="65">
        <f>Tabelle1[[#This Row],[Spalte12]]-Tabelle1[[#This Row],[Spalte11]]</f>
        <v>7.0000000000000007E-2</v>
      </c>
      <c r="N109" s="46">
        <v>7.0000000000000007E-2</v>
      </c>
      <c r="O109" s="46">
        <v>8.5000000000000006E-2</v>
      </c>
      <c r="P109" s="46">
        <v>0.105</v>
      </c>
      <c r="Q109" s="46">
        <v>0.02</v>
      </c>
      <c r="R109" s="45">
        <v>156523</v>
      </c>
      <c r="S109" s="39">
        <v>1.077</v>
      </c>
      <c r="T109" s="45">
        <v>106015</v>
      </c>
      <c r="U109" s="45">
        <v>98434</v>
      </c>
      <c r="V109" s="39">
        <v>1.0760000000000001</v>
      </c>
      <c r="W109" s="45">
        <v>133929</v>
      </c>
      <c r="X109" s="45">
        <v>124510</v>
      </c>
      <c r="Y109" s="39">
        <v>1.0669999999999999</v>
      </c>
      <c r="Z109" s="45">
        <v>139402</v>
      </c>
      <c r="AA109" s="45">
        <v>130656</v>
      </c>
      <c r="AB109" s="39">
        <v>1.0660000000000001</v>
      </c>
      <c r="AC109" s="45">
        <v>129850</v>
      </c>
      <c r="AD109" s="45">
        <v>121791</v>
      </c>
      <c r="AE109" s="38">
        <v>1.127</v>
      </c>
      <c r="AF109" s="47">
        <v>23251</v>
      </c>
      <c r="AG109" s="47">
        <v>20639</v>
      </c>
      <c r="AH109" s="27"/>
    </row>
    <row r="110" spans="1:34" ht="10.5" customHeight="1" x14ac:dyDescent="0.15">
      <c r="A110" s="23" t="s">
        <v>100</v>
      </c>
      <c r="B110" s="48">
        <v>3</v>
      </c>
      <c r="C110" s="48">
        <f>_xlfn.XLOOKUP(Tabelle1[[#This Row],[Spalte1]],[1]KeyMetrics2021!$A:$A,[1]KeyMetrics2021!$B:$B,"Nicht vorhanden")</f>
        <v>3</v>
      </c>
      <c r="D110" s="25">
        <v>1120800</v>
      </c>
      <c r="E110" s="25">
        <v>6267610</v>
      </c>
      <c r="F110" s="25">
        <v>6177643</v>
      </c>
      <c r="G110" s="25">
        <v>6177643</v>
      </c>
      <c r="H110" s="25">
        <v>14009994</v>
      </c>
      <c r="I110" s="26">
        <v>0.441</v>
      </c>
      <c r="J110" s="26">
        <v>0.441</v>
      </c>
      <c r="K110" s="26">
        <v>0.44700000000000001</v>
      </c>
      <c r="L110" s="26">
        <v>0</v>
      </c>
      <c r="M110" s="66">
        <f>Tabelle1[[#This Row],[Spalte12]]-Tabelle1[[#This Row],[Spalte11]]</f>
        <v>7.8E-2</v>
      </c>
      <c r="N110" s="26">
        <v>7.8E-2</v>
      </c>
      <c r="O110" s="26">
        <v>9.6000000000000002E-2</v>
      </c>
      <c r="P110" s="26">
        <v>0.12</v>
      </c>
      <c r="Q110" s="26">
        <v>0.127</v>
      </c>
      <c r="R110" s="25">
        <v>48558164</v>
      </c>
      <c r="S110" s="24">
        <v>1.46</v>
      </c>
      <c r="T110" s="25">
        <v>15293941</v>
      </c>
      <c r="U110" s="25">
        <v>10445534</v>
      </c>
      <c r="V110" s="24">
        <v>1.72</v>
      </c>
      <c r="W110" s="25">
        <v>18661888</v>
      </c>
      <c r="X110" s="25">
        <v>10842569</v>
      </c>
      <c r="Y110" s="24">
        <v>2</v>
      </c>
      <c r="Z110" s="25">
        <v>19644435</v>
      </c>
      <c r="AA110" s="25">
        <v>9807874</v>
      </c>
      <c r="AB110" s="24">
        <v>2.19</v>
      </c>
      <c r="AC110" s="25">
        <v>20619646</v>
      </c>
      <c r="AD110" s="25">
        <v>9426142</v>
      </c>
      <c r="AE110" s="38">
        <v>1.78</v>
      </c>
      <c r="AF110" s="36">
        <v>29057979</v>
      </c>
      <c r="AG110" s="36">
        <v>16350031</v>
      </c>
      <c r="AH110" s="27"/>
    </row>
    <row r="111" spans="1:34" ht="10.5" customHeight="1" x14ac:dyDescent="0.15">
      <c r="A111" s="22" t="s">
        <v>42</v>
      </c>
      <c r="B111" s="44">
        <v>4</v>
      </c>
      <c r="C111" s="44">
        <f>_xlfn.XLOOKUP(Tabelle1[[#This Row],[Spalte1]],[1]KeyMetrics2021!$A:$A,[1]KeyMetrics2021!$B:$B,"Nicht vorhanden")</f>
        <v>4</v>
      </c>
      <c r="D111" s="45">
        <v>347856</v>
      </c>
      <c r="E111" s="45">
        <v>1057916</v>
      </c>
      <c r="F111" s="45">
        <v>1057916</v>
      </c>
      <c r="G111" s="45">
        <v>1057916</v>
      </c>
      <c r="H111" s="45">
        <v>4348196</v>
      </c>
      <c r="I111" s="46">
        <v>0.24299999999999999</v>
      </c>
      <c r="J111" s="46">
        <v>0.24299999999999999</v>
      </c>
      <c r="K111" s="46">
        <v>0.24299999999999999</v>
      </c>
      <c r="L111" s="46">
        <v>0</v>
      </c>
      <c r="M111" s="65">
        <f>Tabelle1[[#This Row],[Spalte12]]-Tabelle1[[#This Row],[Spalte11]]</f>
        <v>7.3999999999999996E-2</v>
      </c>
      <c r="N111" s="46">
        <v>7.3999999999999996E-2</v>
      </c>
      <c r="O111" s="46">
        <v>0.09</v>
      </c>
      <c r="P111" s="46">
        <v>0.112</v>
      </c>
      <c r="Q111" s="46">
        <v>8.4000000000000005E-2</v>
      </c>
      <c r="R111" s="45">
        <v>12634714</v>
      </c>
      <c r="S111" s="39">
        <v>2.4</v>
      </c>
      <c r="T111" s="45">
        <v>1683628</v>
      </c>
      <c r="U111" s="45">
        <v>702938</v>
      </c>
      <c r="V111" s="39">
        <v>2.0299999999999998</v>
      </c>
      <c r="W111" s="45">
        <v>2270193</v>
      </c>
      <c r="X111" s="45">
        <v>1119626</v>
      </c>
      <c r="Y111" s="39">
        <v>2.06</v>
      </c>
      <c r="Z111" s="45">
        <v>2149467</v>
      </c>
      <c r="AA111" s="45">
        <v>1045732</v>
      </c>
      <c r="AB111" s="39">
        <v>2.5499999999999998</v>
      </c>
      <c r="AC111" s="45">
        <v>1612332</v>
      </c>
      <c r="AD111" s="45">
        <v>633388</v>
      </c>
      <c r="AE111" s="38">
        <v>1.21</v>
      </c>
      <c r="AF111" s="47">
        <v>5564141</v>
      </c>
      <c r="AG111" s="47">
        <v>4580982</v>
      </c>
      <c r="AH111" s="27"/>
    </row>
    <row r="112" spans="1:34" ht="10.5" customHeight="1" x14ac:dyDescent="0.15">
      <c r="A112" s="23" t="s">
        <v>122</v>
      </c>
      <c r="B112" s="48">
        <v>3</v>
      </c>
      <c r="C112" s="48">
        <f>_xlfn.XLOOKUP(Tabelle1[[#This Row],[Spalte1]],[1]KeyMetrics2021!$A:$A,[1]KeyMetrics2021!$B:$B,"Nicht vorhanden")</f>
        <v>3</v>
      </c>
      <c r="D112" s="25">
        <v>1736066</v>
      </c>
      <c r="E112" s="25">
        <v>4718961</v>
      </c>
      <c r="F112" s="25">
        <v>3046255</v>
      </c>
      <c r="G112" s="25">
        <v>4608863</v>
      </c>
      <c r="H112" s="25">
        <v>21700819</v>
      </c>
      <c r="I112" s="26">
        <v>0.14000000000000001</v>
      </c>
      <c r="J112" s="26">
        <v>0.21199999999999999</v>
      </c>
      <c r="K112" s="26">
        <v>0.217</v>
      </c>
      <c r="L112" s="26">
        <v>2E-3</v>
      </c>
      <c r="M112" s="66">
        <f>Tabelle1[[#This Row],[Spalte12]]-Tabelle1[[#This Row],[Spalte11]]</f>
        <v>7.8E-2</v>
      </c>
      <c r="N112" s="26">
        <v>0.08</v>
      </c>
      <c r="O112" s="26">
        <v>9.8000000000000004E-2</v>
      </c>
      <c r="P112" s="26">
        <v>0.122</v>
      </c>
      <c r="Q112" s="26">
        <v>4.2999999999999997E-2</v>
      </c>
      <c r="R112" s="25">
        <v>106496589</v>
      </c>
      <c r="S112" s="24">
        <v>2.1</v>
      </c>
      <c r="T112" s="25">
        <v>30418266</v>
      </c>
      <c r="U112" s="25">
        <v>14503512</v>
      </c>
      <c r="V112" s="24">
        <v>2.15</v>
      </c>
      <c r="W112" s="25">
        <v>28715862</v>
      </c>
      <c r="X112" s="25">
        <v>13327431</v>
      </c>
      <c r="Y112" s="24">
        <v>2.35</v>
      </c>
      <c r="Z112" s="25">
        <v>28195805</v>
      </c>
      <c r="AA112" s="25">
        <v>12013709</v>
      </c>
      <c r="AB112" s="24">
        <v>2.63</v>
      </c>
      <c r="AC112" s="25">
        <v>24268243</v>
      </c>
      <c r="AD112" s="25">
        <v>9242240</v>
      </c>
      <c r="AE112" s="38">
        <v>1.39</v>
      </c>
      <c r="AF112" s="36">
        <v>65624518</v>
      </c>
      <c r="AG112" s="36">
        <v>47063422</v>
      </c>
      <c r="AH112" s="27"/>
    </row>
    <row r="113" spans="1:34" ht="10.5" customHeight="1" x14ac:dyDescent="0.15">
      <c r="A113" s="22" t="s">
        <v>188</v>
      </c>
      <c r="B113" s="44">
        <v>5</v>
      </c>
      <c r="C113" s="44">
        <f>_xlfn.XLOOKUP(Tabelle1[[#This Row],[Spalte1]],[1]KeyMetrics2021!$A:$A,[1]KeyMetrics2021!$B:$B,"Nicht vorhanden")</f>
        <v>5</v>
      </c>
      <c r="D113" s="45">
        <v>4312</v>
      </c>
      <c r="E113" s="45">
        <v>10930</v>
      </c>
      <c r="F113" s="45">
        <v>10930</v>
      </c>
      <c r="G113" s="45">
        <v>10930</v>
      </c>
      <c r="H113" s="45">
        <v>53895</v>
      </c>
      <c r="I113" s="46">
        <v>0.20300000000000001</v>
      </c>
      <c r="J113" s="46">
        <v>0.20300000000000001</v>
      </c>
      <c r="K113" s="46">
        <v>0.20300000000000001</v>
      </c>
      <c r="L113" s="46">
        <v>1E-3</v>
      </c>
      <c r="M113" s="65">
        <f>Tabelle1[[#This Row],[Spalte12]]-Tabelle1[[#This Row],[Spalte11]]</f>
        <v>6.9999999999999993E-2</v>
      </c>
      <c r="N113" s="46">
        <v>7.0999999999999994E-2</v>
      </c>
      <c r="O113" s="46">
        <v>8.5999999999999993E-2</v>
      </c>
      <c r="P113" s="46">
        <v>0.106</v>
      </c>
      <c r="Q113" s="46">
        <v>6.5000000000000002E-2</v>
      </c>
      <c r="R113" s="45">
        <v>167785</v>
      </c>
      <c r="S113" s="39">
        <v>1.7</v>
      </c>
      <c r="T113" s="45">
        <v>59299</v>
      </c>
      <c r="U113" s="45">
        <v>34915</v>
      </c>
      <c r="V113" s="39">
        <v>1.96</v>
      </c>
      <c r="W113" s="45">
        <v>56857</v>
      </c>
      <c r="X113" s="45">
        <v>28949</v>
      </c>
      <c r="Y113" s="39">
        <v>2.38</v>
      </c>
      <c r="Z113" s="45">
        <v>55912</v>
      </c>
      <c r="AA113" s="45">
        <v>23512</v>
      </c>
      <c r="AB113" s="39">
        <v>2.19</v>
      </c>
      <c r="AC113" s="45">
        <v>52015</v>
      </c>
      <c r="AD113" s="45">
        <v>23784</v>
      </c>
      <c r="AE113" s="38">
        <v>1.9</v>
      </c>
      <c r="AF113" s="47">
        <v>97785</v>
      </c>
      <c r="AG113" s="47">
        <v>51510</v>
      </c>
      <c r="AH113" s="27"/>
    </row>
    <row r="114" spans="1:34" ht="10.5" customHeight="1" x14ac:dyDescent="0.15">
      <c r="A114" s="23" t="s">
        <v>105</v>
      </c>
      <c r="B114" s="48">
        <v>3</v>
      </c>
      <c r="C114" s="58">
        <f>_xlfn.XLOOKUP(Tabelle1[[#This Row],[Spalte1]],[1]KeyMetrics2021!$A:$A,[1]KeyMetrics2021!$B:$B,"Nicht vorhanden")</f>
        <v>4</v>
      </c>
      <c r="D114" s="25">
        <v>212146</v>
      </c>
      <c r="E114" s="25">
        <v>670992</v>
      </c>
      <c r="F114" s="25">
        <v>670992</v>
      </c>
      <c r="G114" s="25">
        <v>670992</v>
      </c>
      <c r="H114" s="25">
        <v>2651820</v>
      </c>
      <c r="I114" s="26">
        <v>0.253</v>
      </c>
      <c r="J114" s="26">
        <v>0.253</v>
      </c>
      <c r="K114" s="26">
        <v>0.253</v>
      </c>
      <c r="L114" s="26">
        <v>5.0000000000000001E-3</v>
      </c>
      <c r="M114" s="66">
        <f>Tabelle1[[#This Row],[Spalte12]]-Tabelle1[[#This Row],[Spalte11]]</f>
        <v>7.8E-2</v>
      </c>
      <c r="N114" s="26">
        <v>8.3000000000000004E-2</v>
      </c>
      <c r="O114" s="26">
        <v>0.10100000000000001</v>
      </c>
      <c r="P114" s="26">
        <v>0.125</v>
      </c>
      <c r="Q114" s="26">
        <v>7.4999999999999997E-2</v>
      </c>
      <c r="R114" s="25">
        <v>8910088</v>
      </c>
      <c r="S114" s="24">
        <v>1.95</v>
      </c>
      <c r="T114" s="25">
        <v>1314662</v>
      </c>
      <c r="U114" s="25">
        <v>674186</v>
      </c>
      <c r="V114" s="24">
        <v>2.16</v>
      </c>
      <c r="W114" s="25">
        <v>1313201</v>
      </c>
      <c r="X114" s="25">
        <v>607417</v>
      </c>
      <c r="Y114" s="24">
        <v>2.34</v>
      </c>
      <c r="Z114" s="25">
        <v>1265773</v>
      </c>
      <c r="AA114" s="25">
        <v>540940</v>
      </c>
      <c r="AB114" s="24">
        <v>2.5</v>
      </c>
      <c r="AC114" s="25">
        <v>1188415</v>
      </c>
      <c r="AD114" s="25">
        <v>475419</v>
      </c>
      <c r="AE114" s="38">
        <v>2.36</v>
      </c>
      <c r="AF114" s="36">
        <v>5863014</v>
      </c>
      <c r="AG114" s="36">
        <v>2481249</v>
      </c>
      <c r="AH114" s="27"/>
    </row>
    <row r="115" spans="1:34" ht="10.5" customHeight="1" x14ac:dyDescent="0.15">
      <c r="A115" s="22" t="s">
        <v>36</v>
      </c>
      <c r="B115" s="44">
        <v>4</v>
      </c>
      <c r="C115" s="44">
        <f>_xlfn.XLOOKUP(Tabelle1[[#This Row],[Spalte1]],[1]KeyMetrics2021!$A:$A,[1]KeyMetrics2021!$B:$B,"Nicht vorhanden")</f>
        <v>4</v>
      </c>
      <c r="D115" s="45">
        <v>53633</v>
      </c>
      <c r="E115" s="45">
        <v>154820</v>
      </c>
      <c r="F115" s="45">
        <v>154820</v>
      </c>
      <c r="G115" s="45">
        <v>154820</v>
      </c>
      <c r="H115" s="45">
        <v>670413</v>
      </c>
      <c r="I115" s="46">
        <v>0.23100000000000001</v>
      </c>
      <c r="J115" s="46">
        <v>0.23100000000000001</v>
      </c>
      <c r="K115" s="46">
        <v>0.23100000000000001</v>
      </c>
      <c r="L115" s="46">
        <v>8.9999999999999993E-3</v>
      </c>
      <c r="M115" s="65">
        <f>Tabelle1[[#This Row],[Spalte12]]-Tabelle1[[#This Row],[Spalte11]]</f>
        <v>7.400000000000001E-2</v>
      </c>
      <c r="N115" s="46">
        <v>8.3000000000000004E-2</v>
      </c>
      <c r="O115" s="46">
        <v>9.9000000000000005E-2</v>
      </c>
      <c r="P115" s="46">
        <v>0.121</v>
      </c>
      <c r="Q115" s="46">
        <v>0.106</v>
      </c>
      <c r="R115" s="45">
        <v>1466730</v>
      </c>
      <c r="S115" s="39">
        <v>1.77</v>
      </c>
      <c r="T115" s="45">
        <v>224912</v>
      </c>
      <c r="U115" s="45">
        <v>126888</v>
      </c>
      <c r="V115" s="39">
        <v>2.12</v>
      </c>
      <c r="W115" s="45">
        <v>250302</v>
      </c>
      <c r="X115" s="45">
        <v>117843</v>
      </c>
      <c r="Y115" s="39">
        <v>1.92</v>
      </c>
      <c r="Z115" s="45">
        <v>243806</v>
      </c>
      <c r="AA115" s="45">
        <v>127301</v>
      </c>
      <c r="AB115" s="39">
        <v>1.33</v>
      </c>
      <c r="AC115" s="45">
        <v>182959</v>
      </c>
      <c r="AD115" s="45">
        <v>137963</v>
      </c>
      <c r="AE115" s="38">
        <v>1.66</v>
      </c>
      <c r="AF115" s="47">
        <v>1193807</v>
      </c>
      <c r="AG115" s="47">
        <v>717636</v>
      </c>
      <c r="AH115" s="27"/>
    </row>
    <row r="116" spans="1:34" ht="10.5" customHeight="1" x14ac:dyDescent="0.15">
      <c r="A116" s="23" t="s">
        <v>14</v>
      </c>
      <c r="B116" s="48">
        <v>3</v>
      </c>
      <c r="C116" s="48">
        <f>_xlfn.XLOOKUP(Tabelle1[[#This Row],[Spalte1]],[1]KeyMetrics2021!$A:$A,[1]KeyMetrics2021!$B:$B,"Nicht vorhanden")</f>
        <v>3</v>
      </c>
      <c r="D116" s="25">
        <v>2044268</v>
      </c>
      <c r="E116" s="25">
        <v>4388652</v>
      </c>
      <c r="F116" s="25">
        <v>3107720</v>
      </c>
      <c r="G116" s="25">
        <v>3917720</v>
      </c>
      <c r="H116" s="25">
        <v>25553355</v>
      </c>
      <c r="I116" s="26">
        <v>0.122</v>
      </c>
      <c r="J116" s="26">
        <v>0.153</v>
      </c>
      <c r="K116" s="26">
        <v>0.17199999999999999</v>
      </c>
      <c r="L116" s="26">
        <v>0.01</v>
      </c>
      <c r="M116" s="66">
        <f>Tabelle1[[#This Row],[Spalte12]]-Tabelle1[[#This Row],[Spalte11]]</f>
        <v>7.8E-2</v>
      </c>
      <c r="N116" s="26">
        <v>8.7999999999999995E-2</v>
      </c>
      <c r="O116" s="26">
        <v>0.106</v>
      </c>
      <c r="P116" s="26">
        <v>0.13</v>
      </c>
      <c r="Q116" s="26">
        <v>6.7000000000000004E-2</v>
      </c>
      <c r="R116" s="25">
        <v>58841996</v>
      </c>
      <c r="S116" s="24">
        <v>1.76</v>
      </c>
      <c r="T116" s="25">
        <v>10320992</v>
      </c>
      <c r="U116" s="25">
        <v>5849765</v>
      </c>
      <c r="V116" s="24">
        <v>1.82</v>
      </c>
      <c r="W116" s="25">
        <v>10307963</v>
      </c>
      <c r="X116" s="25">
        <v>5678886</v>
      </c>
      <c r="Y116" s="24">
        <v>1.48</v>
      </c>
      <c r="Z116" s="25">
        <v>10230377</v>
      </c>
      <c r="AA116" s="25">
        <v>6903276</v>
      </c>
      <c r="AB116" s="24">
        <v>1.48</v>
      </c>
      <c r="AC116" s="25">
        <v>11104839</v>
      </c>
      <c r="AD116" s="25">
        <v>7494052</v>
      </c>
      <c r="AE116" s="38">
        <v>1.3</v>
      </c>
      <c r="AF116" s="36">
        <v>38174259</v>
      </c>
      <c r="AG116" s="36">
        <v>29296589</v>
      </c>
      <c r="AH116" s="27"/>
    </row>
    <row r="117" spans="1:34" ht="10.5" customHeight="1" x14ac:dyDescent="0.15">
      <c r="A117" s="22" t="s">
        <v>208</v>
      </c>
      <c r="B117" s="44">
        <v>4</v>
      </c>
      <c r="C117" s="44" t="str">
        <f>_xlfn.XLOOKUP(Tabelle1[[#This Row],[Spalte1]],[1]KeyMetrics2021!$A:$A,[1]KeyMetrics2021!$B:$B,"Nicht vorhanden")</f>
        <v>Nicht vorhanden</v>
      </c>
      <c r="D117" s="45">
        <v>23708</v>
      </c>
      <c r="E117" s="45">
        <v>89886</v>
      </c>
      <c r="F117" s="45">
        <v>62578</v>
      </c>
      <c r="G117" s="45">
        <v>80578</v>
      </c>
      <c r="H117" s="45">
        <v>296344</v>
      </c>
      <c r="I117" s="46">
        <v>0.21099999999999999</v>
      </c>
      <c r="J117" s="46">
        <v>0.27200000000000002</v>
      </c>
      <c r="K117" s="46">
        <v>0.30299999999999999</v>
      </c>
      <c r="L117" s="46">
        <v>4.0000000000000001E-3</v>
      </c>
      <c r="M117" s="65">
        <f>Tabelle1[[#This Row],[Spalte12]]-Tabelle1[[#This Row],[Spalte11]]</f>
        <v>7.3999999999999996E-2</v>
      </c>
      <c r="N117" s="46">
        <v>7.8E-2</v>
      </c>
      <c r="O117" s="46">
        <v>9.4E-2</v>
      </c>
      <c r="P117" s="46">
        <v>0.11600000000000001</v>
      </c>
      <c r="Q117" s="46">
        <v>6.8000000000000005E-2</v>
      </c>
      <c r="R117" s="45">
        <v>1128773</v>
      </c>
      <c r="S117" s="39">
        <v>3.32</v>
      </c>
      <c r="T117" s="45">
        <v>600284</v>
      </c>
      <c r="U117" s="45">
        <v>180945</v>
      </c>
      <c r="V117" s="39">
        <v>2.69</v>
      </c>
      <c r="W117" s="45">
        <v>717858</v>
      </c>
      <c r="X117" s="45">
        <v>266672</v>
      </c>
      <c r="Y117" s="39">
        <v>2.62</v>
      </c>
      <c r="Z117" s="45">
        <v>599480</v>
      </c>
      <c r="AA117" s="45">
        <v>228883</v>
      </c>
      <c r="AB117" s="39">
        <v>2.84</v>
      </c>
      <c r="AC117" s="45">
        <v>484384</v>
      </c>
      <c r="AD117" s="45">
        <v>170858</v>
      </c>
      <c r="AE117" s="38">
        <v>2.3450000000000002</v>
      </c>
      <c r="AF117" s="47">
        <v>735182</v>
      </c>
      <c r="AG117" s="47">
        <v>313530</v>
      </c>
      <c r="AH117" s="27"/>
    </row>
    <row r="118" spans="1:34" ht="10.5" customHeight="1" x14ac:dyDescent="0.15">
      <c r="A118" s="23" t="s">
        <v>59</v>
      </c>
      <c r="B118" s="48">
        <v>5</v>
      </c>
      <c r="C118" s="48">
        <f>_xlfn.XLOOKUP(Tabelle1[[#This Row],[Spalte1]],[1]KeyMetrics2021!$A:$A,[1]KeyMetrics2021!$B:$B,"Nicht vorhanden")</f>
        <v>5</v>
      </c>
      <c r="D118" s="25">
        <v>8244</v>
      </c>
      <c r="E118" s="25">
        <v>33627</v>
      </c>
      <c r="F118" s="25">
        <v>33627</v>
      </c>
      <c r="G118" s="25">
        <v>33627</v>
      </c>
      <c r="H118" s="25">
        <v>103049</v>
      </c>
      <c r="I118" s="26">
        <v>0.32600000000000001</v>
      </c>
      <c r="J118" s="26">
        <v>0.32600000000000001</v>
      </c>
      <c r="K118" s="26">
        <v>0.32600000000000001</v>
      </c>
      <c r="L118" s="26">
        <v>0</v>
      </c>
      <c r="M118" s="66">
        <f>Tabelle1[[#This Row],[Spalte12]]-Tabelle1[[#This Row],[Spalte11]]</f>
        <v>7.0000000000000007E-2</v>
      </c>
      <c r="N118" s="26">
        <v>7.0000000000000007E-2</v>
      </c>
      <c r="O118" s="26">
        <v>8.5000000000000006E-2</v>
      </c>
      <c r="P118" s="26">
        <v>0.105</v>
      </c>
      <c r="Q118" s="26">
        <v>0.17</v>
      </c>
      <c r="R118" s="25">
        <v>197305</v>
      </c>
      <c r="S118" s="24">
        <v>1.31</v>
      </c>
      <c r="T118" s="25">
        <v>22323</v>
      </c>
      <c r="U118" s="25">
        <v>17096</v>
      </c>
      <c r="V118" s="24">
        <v>1.26</v>
      </c>
      <c r="W118" s="25">
        <v>23532</v>
      </c>
      <c r="X118" s="25">
        <v>18731</v>
      </c>
      <c r="Y118" s="24">
        <v>1.1000000000000001</v>
      </c>
      <c r="Z118" s="25">
        <v>21647</v>
      </c>
      <c r="AA118" s="25">
        <v>19592</v>
      </c>
      <c r="AB118" s="24">
        <v>1.47</v>
      </c>
      <c r="AC118" s="25">
        <v>33057</v>
      </c>
      <c r="AD118" s="25">
        <v>22508</v>
      </c>
      <c r="AE118" s="38">
        <v>1.42</v>
      </c>
      <c r="AF118" s="36">
        <v>149657</v>
      </c>
      <c r="AG118" s="36">
        <v>105116</v>
      </c>
      <c r="AH118" s="27"/>
    </row>
    <row r="119" spans="1:34" ht="9" customHeight="1" x14ac:dyDescent="0.15">
      <c r="A119" s="22" t="s">
        <v>62</v>
      </c>
      <c r="B119" s="44">
        <v>3</v>
      </c>
      <c r="C119" s="44">
        <f>_xlfn.XLOOKUP(Tabelle1[[#This Row],[Spalte1]],[1]KeyMetrics2021!$A:$A,[1]KeyMetrics2021!$B:$B,"Nicht vorhanden")</f>
        <v>3</v>
      </c>
      <c r="D119" s="45">
        <v>1849598</v>
      </c>
      <c r="E119" s="45">
        <v>4571624</v>
      </c>
      <c r="F119" s="45">
        <v>4571624</v>
      </c>
      <c r="G119" s="45">
        <v>4571624</v>
      </c>
      <c r="H119" s="45">
        <v>23119971</v>
      </c>
      <c r="I119" s="46">
        <v>0.19800000000000001</v>
      </c>
      <c r="J119" s="46">
        <v>0.19800000000000001</v>
      </c>
      <c r="K119" s="46">
        <v>0.19800000000000001</v>
      </c>
      <c r="L119" s="46">
        <v>1.7000000000000001E-2</v>
      </c>
      <c r="M119" s="65">
        <f>Tabelle1[[#This Row],[Spalte12]]-Tabelle1[[#This Row],[Spalte11]]</f>
        <v>7.8E-2</v>
      </c>
      <c r="N119" s="46">
        <v>9.5000000000000001E-2</v>
      </c>
      <c r="O119" s="46">
        <v>0.113</v>
      </c>
      <c r="P119" s="46">
        <v>0.13700000000000001</v>
      </c>
      <c r="Q119" s="46">
        <v>7.8E-2</v>
      </c>
      <c r="R119" s="45">
        <v>58660693</v>
      </c>
      <c r="S119" s="39">
        <v>1.63</v>
      </c>
      <c r="T119" s="45">
        <v>8419917</v>
      </c>
      <c r="U119" s="45">
        <v>5170581</v>
      </c>
      <c r="V119" s="39">
        <v>1.59</v>
      </c>
      <c r="W119" s="45">
        <v>8839517</v>
      </c>
      <c r="X119" s="45">
        <v>5576079</v>
      </c>
      <c r="Y119" s="39">
        <v>1.41</v>
      </c>
      <c r="Z119" s="45">
        <v>7810082</v>
      </c>
      <c r="AA119" s="45">
        <v>5524788</v>
      </c>
      <c r="AB119" s="39">
        <v>1.41</v>
      </c>
      <c r="AC119" s="45">
        <v>7671959</v>
      </c>
      <c r="AD119" s="45">
        <v>5430706</v>
      </c>
      <c r="AE119" s="38">
        <v>1.42</v>
      </c>
      <c r="AF119" s="47">
        <v>43526047</v>
      </c>
      <c r="AG119" s="47">
        <v>30758586</v>
      </c>
      <c r="AH119" s="27"/>
    </row>
    <row r="120" spans="1:34" ht="10.5" customHeight="1" x14ac:dyDescent="0.15">
      <c r="A120" s="23" t="s">
        <v>177</v>
      </c>
      <c r="B120" s="48">
        <v>5</v>
      </c>
      <c r="C120" s="48">
        <f>_xlfn.XLOOKUP(Tabelle1[[#This Row],[Spalte1]],[1]KeyMetrics2021!$A:$A,[1]KeyMetrics2021!$B:$B,"Nicht vorhanden")</f>
        <v>5</v>
      </c>
      <c r="D120" s="25">
        <v>20565</v>
      </c>
      <c r="E120" s="25">
        <v>145065</v>
      </c>
      <c r="F120" s="25">
        <v>100065</v>
      </c>
      <c r="G120" s="25">
        <v>145065</v>
      </c>
      <c r="H120" s="25">
        <v>257058</v>
      </c>
      <c r="I120" s="26">
        <v>0.38900000000000001</v>
      </c>
      <c r="J120" s="26">
        <v>0.56399999999999995</v>
      </c>
      <c r="K120" s="26">
        <v>0.56399999999999995</v>
      </c>
      <c r="L120" s="26">
        <v>0</v>
      </c>
      <c r="M120" s="66">
        <f>Tabelle1[[#This Row],[Spalte12]]-Tabelle1[[#This Row],[Spalte11]]</f>
        <v>7.0000000000000007E-2</v>
      </c>
      <c r="N120" s="26">
        <v>7.0000000000000007E-2</v>
      </c>
      <c r="O120" s="26">
        <v>8.5000000000000006E-2</v>
      </c>
      <c r="P120" s="26">
        <v>0.105</v>
      </c>
      <c r="Q120" s="26">
        <v>0.155</v>
      </c>
      <c r="R120" s="25">
        <v>936284</v>
      </c>
      <c r="S120" s="24">
        <v>4.42</v>
      </c>
      <c r="T120" s="25">
        <v>218300</v>
      </c>
      <c r="U120" s="25">
        <v>49421</v>
      </c>
      <c r="V120" s="24">
        <v>4.2699999999999996</v>
      </c>
      <c r="W120" s="25">
        <v>190698</v>
      </c>
      <c r="X120" s="25">
        <v>44624</v>
      </c>
      <c r="Y120" s="24">
        <v>2.9</v>
      </c>
      <c r="Z120" s="25">
        <v>146330</v>
      </c>
      <c r="AA120" s="25">
        <v>50398</v>
      </c>
      <c r="AB120" s="24">
        <v>2.06</v>
      </c>
      <c r="AC120" s="25">
        <v>134506</v>
      </c>
      <c r="AD120" s="25">
        <v>65223</v>
      </c>
      <c r="AE120" s="38">
        <v>1.46</v>
      </c>
      <c r="AF120" s="36">
        <v>429229</v>
      </c>
      <c r="AG120" s="36">
        <v>293418</v>
      </c>
      <c r="AH120" s="27"/>
    </row>
    <row r="121" spans="1:34" ht="10.5" customHeight="1" x14ac:dyDescent="0.15">
      <c r="A121" s="22" t="s">
        <v>189</v>
      </c>
      <c r="B121" s="44">
        <v>5</v>
      </c>
      <c r="C121" s="44">
        <f>_xlfn.XLOOKUP(Tabelle1[[#This Row],[Spalte1]],[1]KeyMetrics2021!$A:$A,[1]KeyMetrics2021!$B:$B,"Nicht vorhanden")</f>
        <v>5</v>
      </c>
      <c r="D121" s="45">
        <v>19054</v>
      </c>
      <c r="E121" s="45">
        <v>72884</v>
      </c>
      <c r="F121" s="45">
        <v>72884</v>
      </c>
      <c r="G121" s="45">
        <v>72884</v>
      </c>
      <c r="H121" s="45">
        <v>238171</v>
      </c>
      <c r="I121" s="46">
        <v>0.30599999999999999</v>
      </c>
      <c r="J121" s="46">
        <v>0.30599999999999999</v>
      </c>
      <c r="K121" s="46">
        <v>0.30599999999999999</v>
      </c>
      <c r="L121" s="46">
        <v>0</v>
      </c>
      <c r="M121" s="65">
        <f>Tabelle1[[#This Row],[Spalte12]]-Tabelle1[[#This Row],[Spalte11]]</f>
        <v>7.0000000000000007E-2</v>
      </c>
      <c r="N121" s="46">
        <v>7.0000000000000007E-2</v>
      </c>
      <c r="O121" s="46">
        <v>8.5000000000000006E-2</v>
      </c>
      <c r="P121" s="46">
        <v>0.105</v>
      </c>
      <c r="Q121" s="46">
        <v>0.159</v>
      </c>
      <c r="R121" s="45">
        <v>457055</v>
      </c>
      <c r="S121" s="39">
        <v>1.56</v>
      </c>
      <c r="T121" s="45">
        <v>74628</v>
      </c>
      <c r="U121" s="45">
        <v>47887</v>
      </c>
      <c r="V121" s="39">
        <v>1.99</v>
      </c>
      <c r="W121" s="45">
        <v>80376</v>
      </c>
      <c r="X121" s="45">
        <v>40323</v>
      </c>
      <c r="Y121" s="39">
        <v>1.62</v>
      </c>
      <c r="Z121" s="45">
        <v>69847</v>
      </c>
      <c r="AA121" s="45">
        <v>43009</v>
      </c>
      <c r="AB121" s="39">
        <v>1.9</v>
      </c>
      <c r="AC121" s="45">
        <v>75834</v>
      </c>
      <c r="AD121" s="45">
        <v>39816</v>
      </c>
      <c r="AE121" s="38">
        <v>1.73</v>
      </c>
      <c r="AF121" s="47">
        <v>300262</v>
      </c>
      <c r="AG121" s="47">
        <v>173711</v>
      </c>
      <c r="AH121" s="27"/>
    </row>
    <row r="122" spans="1:34" ht="10.5" customHeight="1" x14ac:dyDescent="0.15">
      <c r="A122" s="23" t="s">
        <v>209</v>
      </c>
      <c r="B122" s="48">
        <v>4</v>
      </c>
      <c r="C122" s="48" t="str">
        <f>_xlfn.XLOOKUP(Tabelle1[[#This Row],[Spalte1]],[1]KeyMetrics2021!$A:$A,[1]KeyMetrics2021!$B:$B,"Nicht vorhanden")</f>
        <v>Nicht vorhanden</v>
      </c>
      <c r="D122" s="25">
        <v>221947</v>
      </c>
      <c r="E122" s="25">
        <v>501587</v>
      </c>
      <c r="F122" s="25">
        <v>501587</v>
      </c>
      <c r="G122" s="25">
        <v>501587</v>
      </c>
      <c r="H122" s="25">
        <v>2774337</v>
      </c>
      <c r="I122" s="26">
        <v>0.18099999999999999</v>
      </c>
      <c r="J122" s="26">
        <v>0.18099999999999999</v>
      </c>
      <c r="K122" s="26">
        <v>0.18099999999999999</v>
      </c>
      <c r="L122" s="26">
        <v>1.2999999999999999E-2</v>
      </c>
      <c r="M122" s="66">
        <f>Tabelle1[[#This Row],[Spalte12]]-Tabelle1[[#This Row],[Spalte11]]</f>
        <v>7.3999999999999996E-2</v>
      </c>
      <c r="N122" s="26">
        <v>8.6999999999999994E-2</v>
      </c>
      <c r="O122" s="26">
        <v>0.10299999999999999</v>
      </c>
      <c r="P122" s="26">
        <v>0.125</v>
      </c>
      <c r="Q122" s="26">
        <v>7.5999999999999998E-2</v>
      </c>
      <c r="R122" s="25">
        <v>6595093</v>
      </c>
      <c r="S122" s="24">
        <v>1.94</v>
      </c>
      <c r="T122" s="25">
        <v>944417</v>
      </c>
      <c r="U122" s="25">
        <v>486187</v>
      </c>
      <c r="V122" s="24">
        <v>2.11</v>
      </c>
      <c r="W122" s="25">
        <v>968057</v>
      </c>
      <c r="X122" s="25">
        <v>459269</v>
      </c>
      <c r="Y122" s="24">
        <v>1.83</v>
      </c>
      <c r="Z122" s="25">
        <v>899329</v>
      </c>
      <c r="AA122" s="25">
        <v>491803</v>
      </c>
      <c r="AB122" s="24">
        <v>1.87</v>
      </c>
      <c r="AC122" s="25">
        <v>984233</v>
      </c>
      <c r="AD122" s="25">
        <v>526815</v>
      </c>
      <c r="AE122" s="38">
        <v>1.36</v>
      </c>
      <c r="AF122" s="36">
        <v>5338652</v>
      </c>
      <c r="AG122" s="36">
        <v>3931908</v>
      </c>
      <c r="AH122" s="27"/>
    </row>
    <row r="123" spans="1:34" ht="10.5" customHeight="1" x14ac:dyDescent="0.15">
      <c r="A123" s="22" t="s">
        <v>104</v>
      </c>
      <c r="B123" s="44">
        <v>5</v>
      </c>
      <c r="C123" s="44">
        <f>_xlfn.XLOOKUP(Tabelle1[[#This Row],[Spalte1]],[1]KeyMetrics2021!$A:$A,[1]KeyMetrics2021!$B:$B,"Nicht vorhanden")</f>
        <v>5</v>
      </c>
      <c r="D123" s="45">
        <v>6405</v>
      </c>
      <c r="E123" s="45">
        <v>27021</v>
      </c>
      <c r="F123" s="45">
        <v>27021</v>
      </c>
      <c r="G123" s="45">
        <v>27021</v>
      </c>
      <c r="H123" s="45">
        <v>80067</v>
      </c>
      <c r="I123" s="46">
        <v>0.33700000000000002</v>
      </c>
      <c r="J123" s="46">
        <v>0.33700000000000002</v>
      </c>
      <c r="K123" s="46">
        <v>0.33700000000000002</v>
      </c>
      <c r="L123" s="46">
        <v>0</v>
      </c>
      <c r="M123" s="65">
        <f>Tabelle1[[#This Row],[Spalte12]]-Tabelle1[[#This Row],[Spalte11]]</f>
        <v>7.0000000000000007E-2</v>
      </c>
      <c r="N123" s="46">
        <v>7.0000000000000007E-2</v>
      </c>
      <c r="O123" s="46">
        <v>8.5000000000000006E-2</v>
      </c>
      <c r="P123" s="46">
        <v>0.105</v>
      </c>
      <c r="Q123" s="46">
        <v>0.13700000000000001</v>
      </c>
      <c r="R123" s="45">
        <v>197509</v>
      </c>
      <c r="S123" s="39">
        <v>2.87</v>
      </c>
      <c r="T123" s="45">
        <v>83219</v>
      </c>
      <c r="U123" s="45">
        <v>29043</v>
      </c>
      <c r="V123" s="39">
        <v>2.74</v>
      </c>
      <c r="W123" s="45">
        <v>80169</v>
      </c>
      <c r="X123" s="45">
        <v>29304</v>
      </c>
      <c r="Y123" s="39">
        <v>3.27</v>
      </c>
      <c r="Z123" s="45">
        <v>101634</v>
      </c>
      <c r="AA123" s="45">
        <v>31091</v>
      </c>
      <c r="AB123" s="39">
        <v>2.86</v>
      </c>
      <c r="AC123" s="45">
        <v>101166</v>
      </c>
      <c r="AD123" s="45">
        <v>35349</v>
      </c>
      <c r="AE123" s="38">
        <v>2.5099999999999998</v>
      </c>
      <c r="AF123" s="47">
        <v>138616</v>
      </c>
      <c r="AG123" s="47">
        <v>55278</v>
      </c>
      <c r="AH123" s="27"/>
    </row>
    <row r="124" spans="1:34" ht="10.5" customHeight="1" x14ac:dyDescent="0.15">
      <c r="A124" s="23" t="s">
        <v>190</v>
      </c>
      <c r="B124" s="48">
        <v>4</v>
      </c>
      <c r="C124" s="48">
        <f>_xlfn.XLOOKUP(Tabelle1[[#This Row],[Spalte1]],[1]KeyMetrics2021!$A:$A,[1]KeyMetrics2021!$B:$B,"Nicht vorhanden")</f>
        <v>4</v>
      </c>
      <c r="D124" s="25">
        <v>228425</v>
      </c>
      <c r="E124" s="25">
        <v>525982</v>
      </c>
      <c r="F124" s="25">
        <v>516689</v>
      </c>
      <c r="G124" s="25">
        <v>516689</v>
      </c>
      <c r="H124" s="25">
        <v>2855308</v>
      </c>
      <c r="I124" s="26">
        <v>0.18099999999999999</v>
      </c>
      <c r="J124" s="26">
        <v>0.18099999999999999</v>
      </c>
      <c r="K124" s="26">
        <v>0.184</v>
      </c>
      <c r="L124" s="26">
        <v>8.9999999999999993E-3</v>
      </c>
      <c r="M124" s="66">
        <f>Tabelle1[[#This Row],[Spalte12]]-Tabelle1[[#This Row],[Spalte11]]</f>
        <v>7.400000000000001E-2</v>
      </c>
      <c r="N124" s="26">
        <v>8.3000000000000004E-2</v>
      </c>
      <c r="O124" s="26">
        <v>9.9000000000000005E-2</v>
      </c>
      <c r="P124" s="26">
        <v>0.121</v>
      </c>
      <c r="Q124" s="26">
        <v>8.6999999999999994E-2</v>
      </c>
      <c r="R124" s="25">
        <v>5958160</v>
      </c>
      <c r="S124" s="24">
        <v>1.85</v>
      </c>
      <c r="T124" s="25">
        <v>1354216</v>
      </c>
      <c r="U124" s="25">
        <v>733782</v>
      </c>
      <c r="V124" s="24">
        <v>1.74</v>
      </c>
      <c r="W124" s="25">
        <v>1316725</v>
      </c>
      <c r="X124" s="25">
        <v>756153</v>
      </c>
      <c r="Y124" s="24">
        <v>1.51</v>
      </c>
      <c r="Z124" s="25">
        <v>1138485</v>
      </c>
      <c r="AA124" s="25">
        <v>751881</v>
      </c>
      <c r="AB124" s="24">
        <v>1.48</v>
      </c>
      <c r="AC124" s="25">
        <v>961834</v>
      </c>
      <c r="AD124" s="25">
        <v>649508</v>
      </c>
      <c r="AE124" s="38">
        <v>1.34</v>
      </c>
      <c r="AF124" s="36">
        <v>4831372</v>
      </c>
      <c r="AG124" s="36">
        <v>3599641</v>
      </c>
      <c r="AH124" s="27"/>
    </row>
    <row r="125" spans="1:34" ht="10.5" customHeight="1" x14ac:dyDescent="0.15">
      <c r="A125" s="22" t="s">
        <v>45</v>
      </c>
      <c r="B125" s="44">
        <v>5</v>
      </c>
      <c r="C125" s="44">
        <f>_xlfn.XLOOKUP(Tabelle1[[#This Row],[Spalte1]],[1]KeyMetrics2021!$A:$A,[1]KeyMetrics2021!$B:$B,"Nicht vorhanden")</f>
        <v>5</v>
      </c>
      <c r="D125" s="45">
        <v>24219</v>
      </c>
      <c r="E125" s="45">
        <v>61391</v>
      </c>
      <c r="F125" s="45">
        <v>61391</v>
      </c>
      <c r="G125" s="45">
        <v>61391</v>
      </c>
      <c r="H125" s="45">
        <v>302734</v>
      </c>
      <c r="I125" s="46">
        <v>0.20300000000000001</v>
      </c>
      <c r="J125" s="46">
        <v>0.20300000000000001</v>
      </c>
      <c r="K125" s="46">
        <v>0.20300000000000001</v>
      </c>
      <c r="L125" s="46">
        <v>0</v>
      </c>
      <c r="M125" s="65">
        <f>Tabelle1[[#This Row],[Spalte12]]-Tabelle1[[#This Row],[Spalte11]]</f>
        <v>7.0000000000000007E-2</v>
      </c>
      <c r="N125" s="46">
        <v>7.0000000000000007E-2</v>
      </c>
      <c r="O125" s="46">
        <v>8.5000000000000006E-2</v>
      </c>
      <c r="P125" s="46">
        <v>0.105</v>
      </c>
      <c r="Q125" s="46">
        <v>7.1999999999999995E-2</v>
      </c>
      <c r="R125" s="45">
        <v>854808</v>
      </c>
      <c r="S125" s="39">
        <v>1.8</v>
      </c>
      <c r="T125" s="45">
        <v>140009</v>
      </c>
      <c r="U125" s="45">
        <v>77699</v>
      </c>
      <c r="V125" s="39">
        <v>1.88</v>
      </c>
      <c r="W125" s="45">
        <v>147143</v>
      </c>
      <c r="X125" s="45">
        <v>78087</v>
      </c>
      <c r="Y125" s="39">
        <v>1.46</v>
      </c>
      <c r="Z125" s="45">
        <v>113090</v>
      </c>
      <c r="AA125" s="45">
        <v>77719</v>
      </c>
      <c r="AB125" s="39">
        <v>1.59</v>
      </c>
      <c r="AC125" s="45">
        <v>108362</v>
      </c>
      <c r="AD125" s="45">
        <v>68215</v>
      </c>
      <c r="AE125" s="38">
        <v>3.11</v>
      </c>
      <c r="AF125" s="47">
        <v>553705</v>
      </c>
      <c r="AG125" s="47">
        <v>177938</v>
      </c>
      <c r="AH125" s="27"/>
    </row>
    <row r="126" spans="1:34" ht="10.5" customHeight="1" x14ac:dyDescent="0.15">
      <c r="A126" s="23" t="s">
        <v>191</v>
      </c>
      <c r="B126" s="48">
        <v>5</v>
      </c>
      <c r="C126" s="48">
        <f>_xlfn.XLOOKUP(Tabelle1[[#This Row],[Spalte1]],[1]KeyMetrics2021!$A:$A,[1]KeyMetrics2021!$B:$B,"Nicht vorhanden")</f>
        <v>5</v>
      </c>
      <c r="D126" s="25">
        <v>15491</v>
      </c>
      <c r="E126" s="25">
        <v>35190</v>
      </c>
      <c r="F126" s="25">
        <v>33635</v>
      </c>
      <c r="G126" s="25">
        <v>33635</v>
      </c>
      <c r="H126" s="25">
        <v>193638</v>
      </c>
      <c r="I126" s="26">
        <v>0.17399999999999999</v>
      </c>
      <c r="J126" s="26">
        <v>0.17399999999999999</v>
      </c>
      <c r="K126" s="26">
        <v>0.182</v>
      </c>
      <c r="L126" s="26">
        <v>1E-3</v>
      </c>
      <c r="M126" s="66">
        <f>Tabelle1[[#This Row],[Spalte12]]-Tabelle1[[#This Row],[Spalte11]]</f>
        <v>6.9999999999999993E-2</v>
      </c>
      <c r="N126" s="26">
        <v>7.0999999999999994E-2</v>
      </c>
      <c r="O126" s="26">
        <v>8.5999999999999993E-2</v>
      </c>
      <c r="P126" s="26">
        <v>0.106</v>
      </c>
      <c r="Q126" s="26">
        <v>4.9000000000000002E-2</v>
      </c>
      <c r="R126" s="25">
        <v>685049</v>
      </c>
      <c r="S126" s="24">
        <v>4.6900000000000004</v>
      </c>
      <c r="T126" s="25">
        <v>312566</v>
      </c>
      <c r="U126" s="25">
        <v>66709</v>
      </c>
      <c r="V126" s="24">
        <v>4.46</v>
      </c>
      <c r="W126" s="25">
        <v>317928</v>
      </c>
      <c r="X126" s="25">
        <v>71297</v>
      </c>
      <c r="Y126" s="24">
        <v>4.47</v>
      </c>
      <c r="Z126" s="25">
        <v>292410</v>
      </c>
      <c r="AA126" s="25">
        <v>65363</v>
      </c>
      <c r="AB126" s="24">
        <v>3.5</v>
      </c>
      <c r="AC126" s="25">
        <v>205354</v>
      </c>
      <c r="AD126" s="25">
        <v>58596</v>
      </c>
      <c r="AE126" s="38">
        <v>2.4900000000000002</v>
      </c>
      <c r="AF126" s="36">
        <v>464304</v>
      </c>
      <c r="AG126" s="36">
        <v>186170</v>
      </c>
      <c r="AH126" s="27"/>
    </row>
    <row r="127" spans="1:34" ht="10.5" customHeight="1" x14ac:dyDescent="0.15">
      <c r="A127" s="22" t="s">
        <v>47</v>
      </c>
      <c r="B127" s="44">
        <v>4</v>
      </c>
      <c r="C127" s="44">
        <f>_xlfn.XLOOKUP(Tabelle1[[#This Row],[Spalte1]],[1]KeyMetrics2021!$A:$A,[1]KeyMetrics2021!$B:$B,"Nicht vorhanden")</f>
        <v>4</v>
      </c>
      <c r="D127" s="45">
        <v>36360</v>
      </c>
      <c r="E127" s="45">
        <v>72017</v>
      </c>
      <c r="F127" s="45">
        <v>72017</v>
      </c>
      <c r="G127" s="45">
        <v>72017</v>
      </c>
      <c r="H127" s="45">
        <v>454501</v>
      </c>
      <c r="I127" s="46">
        <v>0.158</v>
      </c>
      <c r="J127" s="46">
        <v>0.158</v>
      </c>
      <c r="K127" s="46">
        <v>0.158</v>
      </c>
      <c r="L127" s="46">
        <v>1.2E-2</v>
      </c>
      <c r="M127" s="65">
        <f>Tabelle1[[#This Row],[Spalte12]]-Tabelle1[[#This Row],[Spalte11]]</f>
        <v>7.3999999999999996E-2</v>
      </c>
      <c r="N127" s="46">
        <v>8.5999999999999993E-2</v>
      </c>
      <c r="O127" s="46">
        <v>0.10199999999999999</v>
      </c>
      <c r="P127" s="46">
        <v>0.124</v>
      </c>
      <c r="Q127" s="46">
        <v>5.6000000000000001E-2</v>
      </c>
      <c r="R127" s="45">
        <v>1288534</v>
      </c>
      <c r="S127" s="39">
        <v>1.6</v>
      </c>
      <c r="T127" s="45">
        <v>322783</v>
      </c>
      <c r="U127" s="45">
        <v>202210</v>
      </c>
      <c r="V127" s="39">
        <v>1.33</v>
      </c>
      <c r="W127" s="45">
        <v>325245</v>
      </c>
      <c r="X127" s="45">
        <v>245167</v>
      </c>
      <c r="Y127" s="39">
        <v>1.28</v>
      </c>
      <c r="Z127" s="45">
        <v>312662</v>
      </c>
      <c r="AA127" s="45">
        <v>244529</v>
      </c>
      <c r="AB127" s="39">
        <v>1.1499999999999999</v>
      </c>
      <c r="AC127" s="45">
        <v>277219</v>
      </c>
      <c r="AD127" s="45">
        <v>241285</v>
      </c>
      <c r="AE127" s="38">
        <v>1.41</v>
      </c>
      <c r="AF127" s="47">
        <v>806127</v>
      </c>
      <c r="AG127" s="47">
        <v>570590</v>
      </c>
      <c r="AH127" s="27"/>
    </row>
    <row r="128" spans="1:34" ht="10.5" customHeight="1" x14ac:dyDescent="0.15">
      <c r="A128" s="23" t="s">
        <v>210</v>
      </c>
      <c r="B128" s="48">
        <v>4</v>
      </c>
      <c r="C128" s="48" t="str">
        <f>_xlfn.XLOOKUP(Tabelle1[[#This Row],[Spalte1]],[1]KeyMetrics2021!$A:$A,[1]KeyMetrics2021!$B:$B,"Nicht vorhanden")</f>
        <v>Nicht vorhanden</v>
      </c>
      <c r="D128" s="25">
        <v>121753</v>
      </c>
      <c r="E128" s="25">
        <v>393637</v>
      </c>
      <c r="F128" s="25">
        <v>393637</v>
      </c>
      <c r="G128" s="25">
        <v>393637</v>
      </c>
      <c r="H128" s="25">
        <v>1521918</v>
      </c>
      <c r="I128" s="26">
        <v>0.25900000000000001</v>
      </c>
      <c r="J128" s="26">
        <v>0.25900000000000001</v>
      </c>
      <c r="K128" s="26">
        <v>0.25900000000000001</v>
      </c>
      <c r="L128" s="26">
        <v>3.0000000000000001E-3</v>
      </c>
      <c r="M128" s="66">
        <f>Tabelle1[[#This Row],[Spalte12]]-Tabelle1[[#This Row],[Spalte11]]</f>
        <v>7.3999999999999996E-2</v>
      </c>
      <c r="N128" s="26">
        <v>7.6999999999999999E-2</v>
      </c>
      <c r="O128" s="26">
        <v>9.2999999999999999E-2</v>
      </c>
      <c r="P128" s="26">
        <v>0.115</v>
      </c>
      <c r="Q128" s="26">
        <v>0.126</v>
      </c>
      <c r="R128" s="25">
        <v>3135311</v>
      </c>
      <c r="S128" s="24">
        <v>1.98</v>
      </c>
      <c r="T128" s="25">
        <v>958968</v>
      </c>
      <c r="U128" s="25">
        <v>484369</v>
      </c>
      <c r="V128" s="24">
        <v>2.04</v>
      </c>
      <c r="W128" s="25">
        <v>1066435</v>
      </c>
      <c r="X128" s="25">
        <v>523833</v>
      </c>
      <c r="Y128" s="24">
        <v>1.97</v>
      </c>
      <c r="Z128" s="25">
        <v>954885</v>
      </c>
      <c r="AA128" s="25">
        <v>485745</v>
      </c>
      <c r="AB128" s="24">
        <v>1.7</v>
      </c>
      <c r="AC128" s="25">
        <v>795229</v>
      </c>
      <c r="AD128" s="25">
        <v>468041</v>
      </c>
      <c r="AE128" s="38">
        <v>1.46</v>
      </c>
      <c r="AF128" s="36">
        <v>2244714</v>
      </c>
      <c r="AG128" s="36">
        <v>1537188</v>
      </c>
      <c r="AH128" s="27"/>
    </row>
    <row r="129" spans="1:34" ht="10.5" customHeight="1" x14ac:dyDescent="0.15">
      <c r="A129" s="22" t="s">
        <v>58</v>
      </c>
      <c r="B129" s="44">
        <v>5</v>
      </c>
      <c r="C129" s="44">
        <f>_xlfn.XLOOKUP(Tabelle1[[#This Row],[Spalte1]],[1]KeyMetrics2021!$A:$A,[1]KeyMetrics2021!$B:$B,"Nicht vorhanden")</f>
        <v>5</v>
      </c>
      <c r="D129" s="45">
        <v>10769</v>
      </c>
      <c r="E129" s="45">
        <v>54223</v>
      </c>
      <c r="F129" s="45">
        <v>54223</v>
      </c>
      <c r="G129" s="45">
        <v>54223</v>
      </c>
      <c r="H129" s="45">
        <v>134617</v>
      </c>
      <c r="I129" s="46">
        <v>0.40300000000000002</v>
      </c>
      <c r="J129" s="46">
        <v>0.40300000000000002</v>
      </c>
      <c r="K129" s="46">
        <v>0.40300000000000002</v>
      </c>
      <c r="L129" s="46">
        <v>0</v>
      </c>
      <c r="M129" s="65">
        <f>Tabelle1[[#This Row],[Spalte12]]-Tabelle1[[#This Row],[Spalte11]]</f>
        <v>7.0000000000000007E-2</v>
      </c>
      <c r="N129" s="46">
        <v>7.0000000000000007E-2</v>
      </c>
      <c r="O129" s="46">
        <v>8.5000000000000006E-2</v>
      </c>
      <c r="P129" s="46">
        <v>0.105</v>
      </c>
      <c r="Q129" s="46">
        <v>0.108</v>
      </c>
      <c r="R129" s="45">
        <v>501703</v>
      </c>
      <c r="S129" s="39">
        <v>7.53</v>
      </c>
      <c r="T129" s="45">
        <v>203604</v>
      </c>
      <c r="U129" s="45">
        <v>27040</v>
      </c>
      <c r="V129" s="39">
        <v>6.45</v>
      </c>
      <c r="W129" s="45">
        <v>214433</v>
      </c>
      <c r="X129" s="45">
        <v>33256</v>
      </c>
      <c r="Y129" s="39">
        <v>6.49</v>
      </c>
      <c r="Z129" s="45">
        <v>199672</v>
      </c>
      <c r="AA129" s="45">
        <v>30786</v>
      </c>
      <c r="AB129" s="39">
        <v>5.84</v>
      </c>
      <c r="AC129" s="45">
        <v>185438</v>
      </c>
      <c r="AD129" s="45">
        <v>31745</v>
      </c>
      <c r="AE129" s="38">
        <v>4.8099999999999996</v>
      </c>
      <c r="AF129" s="47">
        <v>376571</v>
      </c>
      <c r="AG129" s="47">
        <v>78336</v>
      </c>
      <c r="AH129" s="27"/>
    </row>
    <row r="130" spans="1:34" ht="10.5" customHeight="1" x14ac:dyDescent="0.15">
      <c r="A130" s="23" t="s">
        <v>35</v>
      </c>
      <c r="B130" s="48">
        <v>5</v>
      </c>
      <c r="C130" s="48">
        <f>_xlfn.XLOOKUP(Tabelle1[[#This Row],[Spalte1]],[1]KeyMetrics2021!$A:$A,[1]KeyMetrics2021!$B:$B,"Nicht vorhanden")</f>
        <v>5</v>
      </c>
      <c r="D130" s="25">
        <v>43400</v>
      </c>
      <c r="E130" s="25">
        <v>131685</v>
      </c>
      <c r="F130" s="25">
        <v>130733</v>
      </c>
      <c r="G130" s="25">
        <v>130733</v>
      </c>
      <c r="H130" s="25">
        <v>542503</v>
      </c>
      <c r="I130" s="26">
        <v>0.24099999999999999</v>
      </c>
      <c r="J130" s="26">
        <v>0.24099999999999999</v>
      </c>
      <c r="K130" s="26">
        <v>0.24299999999999999</v>
      </c>
      <c r="L130" s="26">
        <v>7.0000000000000001E-3</v>
      </c>
      <c r="M130" s="66">
        <f>Tabelle1[[#This Row],[Spalte12]]-Tabelle1[[#This Row],[Spalte11]]</f>
        <v>6.9999999999999993E-2</v>
      </c>
      <c r="N130" s="26">
        <v>7.6999999999999999E-2</v>
      </c>
      <c r="O130" s="26">
        <v>9.1999999999999998E-2</v>
      </c>
      <c r="P130" s="26">
        <v>0.112</v>
      </c>
      <c r="Q130" s="26">
        <v>8.6999999999999994E-2</v>
      </c>
      <c r="R130" s="25">
        <v>1505301</v>
      </c>
      <c r="S130" s="24">
        <v>1.49</v>
      </c>
      <c r="T130" s="25">
        <v>577063</v>
      </c>
      <c r="U130" s="25">
        <v>387833</v>
      </c>
      <c r="V130" s="24">
        <v>1.7</v>
      </c>
      <c r="W130" s="25">
        <v>565883</v>
      </c>
      <c r="X130" s="25">
        <v>333832</v>
      </c>
      <c r="Y130" s="24">
        <v>1.46</v>
      </c>
      <c r="Z130" s="25">
        <v>546507</v>
      </c>
      <c r="AA130" s="25">
        <v>374981</v>
      </c>
      <c r="AB130" s="24">
        <v>1.28</v>
      </c>
      <c r="AC130" s="25">
        <v>465159</v>
      </c>
      <c r="AD130" s="25">
        <v>364768</v>
      </c>
      <c r="AE130" s="38">
        <v>1.37</v>
      </c>
      <c r="AF130" s="36">
        <v>862883</v>
      </c>
      <c r="AG130" s="36">
        <v>629504</v>
      </c>
      <c r="AH130" s="27"/>
    </row>
    <row r="131" spans="1:34" ht="10.5" customHeight="1" x14ac:dyDescent="0.15">
      <c r="A131" s="22" t="s">
        <v>118</v>
      </c>
      <c r="B131" s="44">
        <v>5</v>
      </c>
      <c r="C131" s="44">
        <f>_xlfn.XLOOKUP(Tabelle1[[#This Row],[Spalte1]],[1]KeyMetrics2021!$A:$A,[1]KeyMetrics2021!$B:$B,"Nicht vorhanden")</f>
        <v>5</v>
      </c>
      <c r="D131" s="45">
        <v>36326</v>
      </c>
      <c r="E131" s="45">
        <v>173090</v>
      </c>
      <c r="F131" s="45">
        <v>148090</v>
      </c>
      <c r="G131" s="45">
        <v>148090</v>
      </c>
      <c r="H131" s="45">
        <v>454074</v>
      </c>
      <c r="I131" s="46">
        <v>0.32600000000000001</v>
      </c>
      <c r="J131" s="46">
        <v>0.32600000000000001</v>
      </c>
      <c r="K131" s="46">
        <v>0.38100000000000001</v>
      </c>
      <c r="L131" s="46">
        <v>0</v>
      </c>
      <c r="M131" s="65">
        <f>Tabelle1[[#This Row],[Spalte12]]-Tabelle1[[#This Row],[Spalte11]]</f>
        <v>7.0000000000000007E-2</v>
      </c>
      <c r="N131" s="46">
        <v>7.0000000000000007E-2</v>
      </c>
      <c r="O131" s="46">
        <v>8.5000000000000006E-2</v>
      </c>
      <c r="P131" s="46">
        <v>0.105</v>
      </c>
      <c r="Q131" s="46">
        <v>0.158</v>
      </c>
      <c r="R131" s="45">
        <v>938347</v>
      </c>
      <c r="S131" s="39">
        <v>4.17</v>
      </c>
      <c r="T131" s="45">
        <v>63784</v>
      </c>
      <c r="U131" s="45">
        <v>15284</v>
      </c>
      <c r="V131" s="39">
        <v>4.74</v>
      </c>
      <c r="W131" s="45">
        <v>60077</v>
      </c>
      <c r="X131" s="45">
        <v>12672</v>
      </c>
      <c r="Y131" s="39">
        <v>5.34</v>
      </c>
      <c r="Z131" s="45">
        <v>51857</v>
      </c>
      <c r="AA131" s="45">
        <v>9706</v>
      </c>
      <c r="AB131" s="39">
        <v>5.55</v>
      </c>
      <c r="AC131" s="45">
        <v>46005</v>
      </c>
      <c r="AD131" s="45">
        <v>8288</v>
      </c>
      <c r="AE131" s="38">
        <v>1.43</v>
      </c>
      <c r="AF131" s="47">
        <v>810526</v>
      </c>
      <c r="AG131" s="47">
        <v>565028</v>
      </c>
      <c r="AH131" s="27"/>
    </row>
    <row r="132" spans="1:34" ht="10.5" customHeight="1" x14ac:dyDescent="0.15">
      <c r="A132" s="23" t="s">
        <v>88</v>
      </c>
      <c r="B132" s="48">
        <v>5</v>
      </c>
      <c r="C132" s="48">
        <f>_xlfn.XLOOKUP(Tabelle1[[#This Row],[Spalte1]],[1]KeyMetrics2021!$A:$A,[1]KeyMetrics2021!$B:$B,"Nicht vorhanden")</f>
        <v>5</v>
      </c>
      <c r="D132" s="25">
        <v>1096</v>
      </c>
      <c r="E132" s="25">
        <v>3090</v>
      </c>
      <c r="F132" s="25">
        <v>3090</v>
      </c>
      <c r="G132" s="25">
        <v>3090</v>
      </c>
      <c r="H132" s="25">
        <v>13701</v>
      </c>
      <c r="I132" s="26">
        <v>0.22600000000000001</v>
      </c>
      <c r="J132" s="26">
        <v>0.22600000000000001</v>
      </c>
      <c r="K132" s="26">
        <v>0.22600000000000001</v>
      </c>
      <c r="L132" s="26">
        <v>0</v>
      </c>
      <c r="M132" s="66">
        <f>Tabelle1[[#This Row],[Spalte12]]-Tabelle1[[#This Row],[Spalte11]]</f>
        <v>7.0000000000000007E-2</v>
      </c>
      <c r="N132" s="26">
        <v>7.0000000000000007E-2</v>
      </c>
      <c r="O132" s="26">
        <v>8.5000000000000006E-2</v>
      </c>
      <c r="P132" s="26">
        <v>0.105</v>
      </c>
      <c r="Q132" s="26">
        <v>0.64500000000000002</v>
      </c>
      <c r="R132" s="25">
        <v>4794</v>
      </c>
      <c r="S132" s="24">
        <v>12.51</v>
      </c>
      <c r="T132" s="25">
        <v>602</v>
      </c>
      <c r="U132" s="25">
        <v>48</v>
      </c>
      <c r="V132" s="24">
        <v>10.96</v>
      </c>
      <c r="W132" s="25">
        <v>602</v>
      </c>
      <c r="X132" s="25">
        <v>55</v>
      </c>
      <c r="Y132" s="24">
        <v>5.24</v>
      </c>
      <c r="Z132" s="25">
        <v>302</v>
      </c>
      <c r="AA132" s="25">
        <v>58</v>
      </c>
      <c r="AB132" s="24">
        <v>17.41</v>
      </c>
      <c r="AC132" s="25">
        <v>303</v>
      </c>
      <c r="AD132" s="25">
        <v>17</v>
      </c>
      <c r="AE132" s="38">
        <v>1.23</v>
      </c>
      <c r="AF132" s="36">
        <v>3601</v>
      </c>
      <c r="AG132" s="36">
        <v>2931</v>
      </c>
      <c r="AH132" s="27"/>
    </row>
    <row r="133" spans="1:34" ht="10.5" customHeight="1" x14ac:dyDescent="0.15">
      <c r="A133" s="22" t="s">
        <v>91</v>
      </c>
      <c r="B133" s="44">
        <v>5</v>
      </c>
      <c r="C133" s="44">
        <f>_xlfn.XLOOKUP(Tabelle1[[#This Row],[Spalte1]],[1]KeyMetrics2021!$A:$A,[1]KeyMetrics2021!$B:$B,"Nicht vorhanden")</f>
        <v>5</v>
      </c>
      <c r="D133" s="45">
        <v>7401</v>
      </c>
      <c r="E133" s="45">
        <v>58672</v>
      </c>
      <c r="F133" s="45">
        <v>58672</v>
      </c>
      <c r="G133" s="45">
        <v>58672</v>
      </c>
      <c r="H133" s="45">
        <v>92516</v>
      </c>
      <c r="I133" s="46">
        <v>0.63400000000000001</v>
      </c>
      <c r="J133" s="46">
        <v>0.63400000000000001</v>
      </c>
      <c r="K133" s="46">
        <v>0.63400000000000001</v>
      </c>
      <c r="L133" s="46">
        <v>0</v>
      </c>
      <c r="M133" s="65">
        <f>Tabelle1[[#This Row],[Spalte12]]-Tabelle1[[#This Row],[Spalte11]]</f>
        <v>7.0000000000000007E-2</v>
      </c>
      <c r="N133" s="46">
        <v>7.0000000000000007E-2</v>
      </c>
      <c r="O133" s="46">
        <v>8.5000000000000006E-2</v>
      </c>
      <c r="P133" s="46">
        <v>0.105</v>
      </c>
      <c r="Q133" s="46">
        <v>0.20200000000000001</v>
      </c>
      <c r="R133" s="45">
        <v>290912</v>
      </c>
      <c r="S133" s="39">
        <v>2.38</v>
      </c>
      <c r="T133" s="45">
        <v>95506</v>
      </c>
      <c r="U133" s="45">
        <v>40183</v>
      </c>
      <c r="V133" s="39">
        <v>1.68</v>
      </c>
      <c r="W133" s="45">
        <v>96204</v>
      </c>
      <c r="X133" s="45">
        <v>57111</v>
      </c>
      <c r="Y133" s="39">
        <v>2.92</v>
      </c>
      <c r="Z133" s="45">
        <v>132413</v>
      </c>
      <c r="AA133" s="45">
        <v>45424</v>
      </c>
      <c r="AB133" s="39">
        <v>2.35</v>
      </c>
      <c r="AC133" s="45">
        <v>118577</v>
      </c>
      <c r="AD133" s="45">
        <v>50434</v>
      </c>
      <c r="AE133" s="38">
        <v>1.59</v>
      </c>
      <c r="AF133" s="47">
        <v>163306</v>
      </c>
      <c r="AG133" s="47">
        <v>102750</v>
      </c>
      <c r="AH133" s="27"/>
    </row>
    <row r="134" spans="1:34" ht="10.5" customHeight="1" x14ac:dyDescent="0.15">
      <c r="A134" s="23" t="s">
        <v>211</v>
      </c>
      <c r="B134" s="48">
        <v>5</v>
      </c>
      <c r="C134" s="48" t="str">
        <f>_xlfn.XLOOKUP(Tabelle1[[#This Row],[Spalte1]],[1]KeyMetrics2021!$A:$A,[1]KeyMetrics2021!$B:$B,"Nicht vorhanden")</f>
        <v>Nicht vorhanden</v>
      </c>
      <c r="D134" s="25">
        <v>1670</v>
      </c>
      <c r="E134" s="25">
        <v>41167</v>
      </c>
      <c r="F134" s="25">
        <v>41167</v>
      </c>
      <c r="G134" s="25">
        <v>41167</v>
      </c>
      <c r="H134" s="25">
        <v>20871</v>
      </c>
      <c r="I134" s="26">
        <v>1.972</v>
      </c>
      <c r="J134" s="26">
        <v>1.972</v>
      </c>
      <c r="K134" s="26">
        <v>1.972</v>
      </c>
      <c r="L134" s="26">
        <v>0</v>
      </c>
      <c r="M134" s="66">
        <f>Tabelle1[[#This Row],[Spalte12]]-Tabelle1[[#This Row],[Spalte11]]</f>
        <v>7.0000000000000007E-2</v>
      </c>
      <c r="N134" s="26">
        <v>7.0000000000000007E-2</v>
      </c>
      <c r="O134" s="26">
        <v>8.5000000000000006E-2</v>
      </c>
      <c r="P134" s="26">
        <v>0.105</v>
      </c>
      <c r="Q134" s="26">
        <v>0.91800000000000004</v>
      </c>
      <c r="R134" s="25">
        <v>44844</v>
      </c>
      <c r="S134" s="49" t="s">
        <v>220</v>
      </c>
      <c r="T134" s="49" t="s">
        <v>220</v>
      </c>
      <c r="U134" s="49" t="s">
        <v>220</v>
      </c>
      <c r="V134" s="49" t="s">
        <v>220</v>
      </c>
      <c r="W134" s="49" t="s">
        <v>220</v>
      </c>
      <c r="X134" s="49" t="s">
        <v>220</v>
      </c>
      <c r="Y134" s="49" t="s">
        <v>220</v>
      </c>
      <c r="Z134" s="49" t="s">
        <v>220</v>
      </c>
      <c r="AA134" s="49" t="s">
        <v>220</v>
      </c>
      <c r="AB134" s="49" t="s">
        <v>220</v>
      </c>
      <c r="AC134" s="49" t="s">
        <v>220</v>
      </c>
      <c r="AD134" s="49" t="s">
        <v>220</v>
      </c>
      <c r="AE134" s="49" t="s">
        <v>220</v>
      </c>
      <c r="AF134" s="49" t="s">
        <v>220</v>
      </c>
      <c r="AG134" s="49" t="s">
        <v>220</v>
      </c>
      <c r="AH134" s="27"/>
    </row>
    <row r="135" spans="1:34" ht="10.5" customHeight="1" x14ac:dyDescent="0.15">
      <c r="A135" s="22" t="s">
        <v>31</v>
      </c>
      <c r="B135" s="44">
        <v>4</v>
      </c>
      <c r="C135" s="44">
        <f>_xlfn.XLOOKUP(Tabelle1[[#This Row],[Spalte1]],[1]KeyMetrics2021!$A:$A,[1]KeyMetrics2021!$B:$B,"Nicht vorhanden")</f>
        <v>4</v>
      </c>
      <c r="D135" s="45">
        <v>131807</v>
      </c>
      <c r="E135" s="45">
        <v>273598</v>
      </c>
      <c r="F135" s="45">
        <v>260980</v>
      </c>
      <c r="G135" s="45">
        <v>260980</v>
      </c>
      <c r="H135" s="45">
        <v>1647583</v>
      </c>
      <c r="I135" s="46">
        <v>0.158</v>
      </c>
      <c r="J135" s="46">
        <v>0.158</v>
      </c>
      <c r="K135" s="46">
        <v>0.16600000000000001</v>
      </c>
      <c r="L135" s="46">
        <v>1.2E-2</v>
      </c>
      <c r="M135" s="65">
        <f>Tabelle1[[#This Row],[Spalte12]]-Tabelle1[[#This Row],[Spalte11]]</f>
        <v>7.3999999999999996E-2</v>
      </c>
      <c r="N135" s="46">
        <v>8.5999999999999993E-2</v>
      </c>
      <c r="O135" s="46">
        <v>0.10199999999999999</v>
      </c>
      <c r="P135" s="46">
        <v>0.124</v>
      </c>
      <c r="Q135" s="46">
        <v>7.5999999999999998E-2</v>
      </c>
      <c r="R135" s="45">
        <v>3450370</v>
      </c>
      <c r="S135" s="39">
        <v>1.5</v>
      </c>
      <c r="T135" s="45">
        <v>497401</v>
      </c>
      <c r="U135" s="45">
        <v>331371</v>
      </c>
      <c r="V135" s="39">
        <v>1.5</v>
      </c>
      <c r="W135" s="45">
        <v>515498</v>
      </c>
      <c r="X135" s="45">
        <v>343654</v>
      </c>
      <c r="Y135" s="39">
        <v>1.57</v>
      </c>
      <c r="Z135" s="45">
        <v>503087</v>
      </c>
      <c r="AA135" s="45">
        <v>320087</v>
      </c>
      <c r="AB135" s="39">
        <v>1.59</v>
      </c>
      <c r="AC135" s="45">
        <v>522276</v>
      </c>
      <c r="AD135" s="45">
        <v>328273</v>
      </c>
      <c r="AE135" s="38">
        <v>1.28</v>
      </c>
      <c r="AF135" s="47">
        <v>2762169</v>
      </c>
      <c r="AG135" s="47">
        <v>2160961</v>
      </c>
      <c r="AH135" s="27"/>
    </row>
    <row r="136" spans="1:34" ht="10.5" customHeight="1" x14ac:dyDescent="0.15">
      <c r="A136" s="23" t="s">
        <v>130</v>
      </c>
      <c r="B136" s="48">
        <v>5</v>
      </c>
      <c r="C136" s="48">
        <f>_xlfn.XLOOKUP(Tabelle1[[#This Row],[Spalte1]],[1]KeyMetrics2021!$A:$A,[1]KeyMetrics2021!$B:$B,"Nicht vorhanden")</f>
        <v>5</v>
      </c>
      <c r="D136" s="25">
        <v>1270</v>
      </c>
      <c r="E136" s="25">
        <v>3160</v>
      </c>
      <c r="F136" s="25">
        <v>3160</v>
      </c>
      <c r="G136" s="25">
        <v>3160</v>
      </c>
      <c r="H136" s="25">
        <v>15871</v>
      </c>
      <c r="I136" s="26">
        <v>0.19900000000000001</v>
      </c>
      <c r="J136" s="26">
        <v>0.19900000000000001</v>
      </c>
      <c r="K136" s="26">
        <v>0.19900000000000001</v>
      </c>
      <c r="L136" s="26">
        <v>0</v>
      </c>
      <c r="M136" s="66">
        <f>Tabelle1[[#This Row],[Spalte12]]-Tabelle1[[#This Row],[Spalte11]]</f>
        <v>7.0000000000000007E-2</v>
      </c>
      <c r="N136" s="26">
        <v>7.0000000000000007E-2</v>
      </c>
      <c r="O136" s="26">
        <v>8.5000000000000006E-2</v>
      </c>
      <c r="P136" s="26">
        <v>0.105</v>
      </c>
      <c r="Q136" s="26">
        <v>0.125</v>
      </c>
      <c r="R136" s="25">
        <v>25349</v>
      </c>
      <c r="S136" s="24">
        <v>1.8</v>
      </c>
      <c r="T136" s="25">
        <v>14427</v>
      </c>
      <c r="U136" s="25">
        <v>8022</v>
      </c>
      <c r="V136" s="24">
        <v>1.62</v>
      </c>
      <c r="W136" s="25">
        <v>22616</v>
      </c>
      <c r="X136" s="25">
        <v>13959</v>
      </c>
      <c r="Y136" s="24">
        <v>1.48</v>
      </c>
      <c r="Z136" s="25">
        <v>19189</v>
      </c>
      <c r="AA136" s="25">
        <v>13003</v>
      </c>
      <c r="AB136" s="24">
        <v>1.43</v>
      </c>
      <c r="AC136" s="25">
        <v>15216</v>
      </c>
      <c r="AD136" s="25">
        <v>10665</v>
      </c>
      <c r="AE136" s="38">
        <v>1.4</v>
      </c>
      <c r="AF136" s="36">
        <v>10514</v>
      </c>
      <c r="AG136" s="36">
        <v>7514</v>
      </c>
      <c r="AH136" s="27"/>
    </row>
    <row r="137" spans="1:34" ht="10.5" customHeight="1" x14ac:dyDescent="0.15">
      <c r="A137" s="22" t="s">
        <v>53</v>
      </c>
      <c r="B137" s="44">
        <v>4</v>
      </c>
      <c r="C137" s="44">
        <f>_xlfn.XLOOKUP(Tabelle1[[#This Row],[Spalte1]],[1]KeyMetrics2021!$A:$A,[1]KeyMetrics2021!$B:$B,"Nicht vorhanden")</f>
        <v>4</v>
      </c>
      <c r="D137" s="45">
        <v>81456</v>
      </c>
      <c r="E137" s="45">
        <v>154221</v>
      </c>
      <c r="F137" s="45">
        <v>129111</v>
      </c>
      <c r="G137" s="45">
        <v>154221</v>
      </c>
      <c r="H137" s="45">
        <v>1018205</v>
      </c>
      <c r="I137" s="46">
        <v>0.127</v>
      </c>
      <c r="J137" s="46">
        <v>0.151</v>
      </c>
      <c r="K137" s="46">
        <v>0.151</v>
      </c>
      <c r="L137" s="46">
        <v>0</v>
      </c>
      <c r="M137" s="65">
        <f>Tabelle1[[#This Row],[Spalte12]]-Tabelle1[[#This Row],[Spalte11]]</f>
        <v>7.3999999999999996E-2</v>
      </c>
      <c r="N137" s="46">
        <v>7.3999999999999996E-2</v>
      </c>
      <c r="O137" s="46">
        <v>0.09</v>
      </c>
      <c r="P137" s="46">
        <v>0.112</v>
      </c>
      <c r="Q137" s="46">
        <v>5.5E-2</v>
      </c>
      <c r="R137" s="45">
        <v>2921060</v>
      </c>
      <c r="S137" s="39">
        <v>2.37</v>
      </c>
      <c r="T137" s="45">
        <v>653195</v>
      </c>
      <c r="U137" s="45">
        <v>275767</v>
      </c>
      <c r="V137" s="39">
        <v>2.0299999999999998</v>
      </c>
      <c r="W137" s="45">
        <v>664110</v>
      </c>
      <c r="X137" s="45">
        <v>326349</v>
      </c>
      <c r="Y137" s="39">
        <v>2.62</v>
      </c>
      <c r="Z137" s="45">
        <v>720312</v>
      </c>
      <c r="AA137" s="45">
        <v>274640</v>
      </c>
      <c r="AB137" s="39">
        <v>1.89</v>
      </c>
      <c r="AC137" s="45">
        <v>463484</v>
      </c>
      <c r="AD137" s="45">
        <v>245179</v>
      </c>
      <c r="AE137" s="38">
        <v>1.5</v>
      </c>
      <c r="AF137" s="47">
        <v>1454771</v>
      </c>
      <c r="AG137" s="47">
        <v>971121</v>
      </c>
      <c r="AH137" s="27"/>
    </row>
    <row r="138" spans="1:34" ht="10.5" customHeight="1" x14ac:dyDescent="0.15">
      <c r="A138" s="23" t="s">
        <v>48</v>
      </c>
      <c r="B138" s="48">
        <v>4</v>
      </c>
      <c r="C138" s="48">
        <f>_xlfn.XLOOKUP(Tabelle1[[#This Row],[Spalte1]],[1]KeyMetrics2021!$A:$A,[1]KeyMetrics2021!$B:$B,"Nicht vorhanden")</f>
        <v>4</v>
      </c>
      <c r="D138" s="25">
        <v>84369</v>
      </c>
      <c r="E138" s="25">
        <v>254617</v>
      </c>
      <c r="F138" s="25">
        <v>254617</v>
      </c>
      <c r="G138" s="25">
        <v>254617</v>
      </c>
      <c r="H138" s="25">
        <v>1054617</v>
      </c>
      <c r="I138" s="26">
        <v>0.24099999999999999</v>
      </c>
      <c r="J138" s="26">
        <v>0.24099999999999999</v>
      </c>
      <c r="K138" s="26">
        <v>0.24099999999999999</v>
      </c>
      <c r="L138" s="26">
        <v>1E-3</v>
      </c>
      <c r="M138" s="66">
        <f>Tabelle1[[#This Row],[Spalte12]]-Tabelle1[[#This Row],[Spalte11]]</f>
        <v>7.3999999999999996E-2</v>
      </c>
      <c r="N138" s="26">
        <v>7.4999999999999997E-2</v>
      </c>
      <c r="O138" s="26">
        <v>9.0999999999999998E-2</v>
      </c>
      <c r="P138" s="26">
        <v>0.113</v>
      </c>
      <c r="Q138" s="26">
        <v>4.8000000000000001E-2</v>
      </c>
      <c r="R138" s="25">
        <v>5337663</v>
      </c>
      <c r="S138" s="24">
        <v>1.27</v>
      </c>
      <c r="T138" s="25">
        <v>3430614</v>
      </c>
      <c r="U138" s="25">
        <v>2696194</v>
      </c>
      <c r="V138" s="24">
        <v>1.28</v>
      </c>
      <c r="W138" s="25">
        <v>3096394</v>
      </c>
      <c r="X138" s="25">
        <v>2427463</v>
      </c>
      <c r="Y138" s="24">
        <v>1.25</v>
      </c>
      <c r="Z138" s="25">
        <v>2434977</v>
      </c>
      <c r="AA138" s="25">
        <v>1952485</v>
      </c>
      <c r="AB138" s="24">
        <v>1.3</v>
      </c>
      <c r="AC138" s="25">
        <v>2560840</v>
      </c>
      <c r="AD138" s="25">
        <v>1970713</v>
      </c>
      <c r="AE138" s="38">
        <v>1.66</v>
      </c>
      <c r="AF138" s="36">
        <v>2079676</v>
      </c>
      <c r="AG138" s="36">
        <v>1253897</v>
      </c>
      <c r="AH138" s="27"/>
    </row>
    <row r="139" spans="1:34" ht="10.5" customHeight="1" x14ac:dyDescent="0.15">
      <c r="A139" s="22" t="s">
        <v>178</v>
      </c>
      <c r="B139" s="44">
        <v>5</v>
      </c>
      <c r="C139" s="44">
        <f>_xlfn.XLOOKUP(Tabelle1[[#This Row],[Spalte1]],[1]KeyMetrics2021!$A:$A,[1]KeyMetrics2021!$B:$B,"Nicht vorhanden")</f>
        <v>5</v>
      </c>
      <c r="D139" s="45">
        <v>14943</v>
      </c>
      <c r="E139" s="45">
        <v>65459</v>
      </c>
      <c r="F139" s="45">
        <v>65459</v>
      </c>
      <c r="G139" s="45">
        <v>65459</v>
      </c>
      <c r="H139" s="45">
        <v>186792</v>
      </c>
      <c r="I139" s="46">
        <v>0.35</v>
      </c>
      <c r="J139" s="46">
        <v>0.35</v>
      </c>
      <c r="K139" s="46">
        <v>0.35</v>
      </c>
      <c r="L139" s="46">
        <v>0</v>
      </c>
      <c r="M139" s="65">
        <f>Tabelle1[[#This Row],[Spalte12]]-Tabelle1[[#This Row],[Spalte11]]</f>
        <v>7.0000000000000007E-2</v>
      </c>
      <c r="N139" s="46">
        <v>7.0000000000000007E-2</v>
      </c>
      <c r="O139" s="46">
        <v>8.5000000000000006E-2</v>
      </c>
      <c r="P139" s="46">
        <v>0.105</v>
      </c>
      <c r="Q139" s="46">
        <v>0.247</v>
      </c>
      <c r="R139" s="45">
        <v>264823</v>
      </c>
      <c r="S139" s="53" t="s">
        <v>220</v>
      </c>
      <c r="T139" s="53" t="s">
        <v>220</v>
      </c>
      <c r="U139" s="53" t="s">
        <v>220</v>
      </c>
      <c r="V139" s="53" t="s">
        <v>220</v>
      </c>
      <c r="W139" s="53" t="s">
        <v>220</v>
      </c>
      <c r="X139" s="53" t="s">
        <v>220</v>
      </c>
      <c r="Y139" s="53" t="s">
        <v>220</v>
      </c>
      <c r="Z139" s="53" t="s">
        <v>220</v>
      </c>
      <c r="AA139" s="53" t="s">
        <v>220</v>
      </c>
      <c r="AB139" s="53" t="s">
        <v>220</v>
      </c>
      <c r="AC139" s="53" t="s">
        <v>220</v>
      </c>
      <c r="AD139" s="53" t="s">
        <v>220</v>
      </c>
      <c r="AE139" s="53" t="s">
        <v>220</v>
      </c>
      <c r="AF139" s="53" t="s">
        <v>220</v>
      </c>
      <c r="AG139" s="53" t="s">
        <v>220</v>
      </c>
      <c r="AH139" s="27"/>
    </row>
    <row r="140" spans="1:34" ht="10.5" customHeight="1" x14ac:dyDescent="0.15">
      <c r="A140" s="23" t="s">
        <v>75</v>
      </c>
      <c r="B140" s="48">
        <v>5</v>
      </c>
      <c r="C140" s="48">
        <f>_xlfn.XLOOKUP(Tabelle1[[#This Row],[Spalte1]],[1]KeyMetrics2021!$A:$A,[1]KeyMetrics2021!$B:$B,"Nicht vorhanden")</f>
        <v>5</v>
      </c>
      <c r="D140" s="25">
        <v>12591</v>
      </c>
      <c r="E140" s="25">
        <v>51574</v>
      </c>
      <c r="F140" s="25">
        <v>51574</v>
      </c>
      <c r="G140" s="25">
        <v>51574</v>
      </c>
      <c r="H140" s="25">
        <v>157383</v>
      </c>
      <c r="I140" s="26">
        <v>0.32800000000000001</v>
      </c>
      <c r="J140" s="26">
        <v>0.32800000000000001</v>
      </c>
      <c r="K140" s="26">
        <v>0.32800000000000001</v>
      </c>
      <c r="L140" s="26">
        <v>0</v>
      </c>
      <c r="M140" s="66">
        <f>Tabelle1[[#This Row],[Spalte12]]-Tabelle1[[#This Row],[Spalte11]]</f>
        <v>7.0000000000000007E-2</v>
      </c>
      <c r="N140" s="26">
        <v>7.0000000000000007E-2</v>
      </c>
      <c r="O140" s="26">
        <v>8.5000000000000006E-2</v>
      </c>
      <c r="P140" s="26">
        <v>0.105</v>
      </c>
      <c r="Q140" s="26">
        <v>6.7000000000000004E-2</v>
      </c>
      <c r="R140" s="25">
        <v>772975</v>
      </c>
      <c r="S140" s="24">
        <v>1.44</v>
      </c>
      <c r="T140" s="25">
        <v>672269</v>
      </c>
      <c r="U140" s="25">
        <v>467153</v>
      </c>
      <c r="V140" s="24">
        <v>1.37</v>
      </c>
      <c r="W140" s="25">
        <v>674710</v>
      </c>
      <c r="X140" s="25">
        <v>492407</v>
      </c>
      <c r="Y140" s="24">
        <v>1.43</v>
      </c>
      <c r="Z140" s="25">
        <v>630154</v>
      </c>
      <c r="AA140" s="25">
        <v>439457</v>
      </c>
      <c r="AB140" s="24">
        <v>1.83</v>
      </c>
      <c r="AC140" s="25">
        <v>471226</v>
      </c>
      <c r="AD140" s="25">
        <v>257730</v>
      </c>
      <c r="AE140" s="38">
        <v>3.48</v>
      </c>
      <c r="AF140" s="36">
        <v>278210</v>
      </c>
      <c r="AG140" s="36">
        <v>79952</v>
      </c>
      <c r="AH140" s="27"/>
    </row>
    <row r="141" spans="1:34" ht="10.5" customHeight="1" x14ac:dyDescent="0.15">
      <c r="A141" s="22" t="s">
        <v>50</v>
      </c>
      <c r="B141" s="44">
        <v>4</v>
      </c>
      <c r="C141" s="59">
        <f>_xlfn.XLOOKUP(Tabelle1[[#This Row],[Spalte1]],[1]KeyMetrics2021!$A:$A,[1]KeyMetrics2021!$B:$B,"Nicht vorhanden")</f>
        <v>5</v>
      </c>
      <c r="D141" s="45">
        <v>55122</v>
      </c>
      <c r="E141" s="45">
        <v>136455</v>
      </c>
      <c r="F141" s="45">
        <v>136455</v>
      </c>
      <c r="G141" s="45">
        <v>136455</v>
      </c>
      <c r="H141" s="45">
        <v>689030</v>
      </c>
      <c r="I141" s="46">
        <v>0.19800000000000001</v>
      </c>
      <c r="J141" s="46">
        <v>0.19800000000000001</v>
      </c>
      <c r="K141" s="46">
        <v>0.19800000000000001</v>
      </c>
      <c r="L141" s="46">
        <v>1.4999999999999999E-2</v>
      </c>
      <c r="M141" s="65">
        <f>Tabelle1[[#This Row],[Spalte12]]-Tabelle1[[#This Row],[Spalte11]]</f>
        <v>7.3999999999999996E-2</v>
      </c>
      <c r="N141" s="46">
        <v>8.8999999999999996E-2</v>
      </c>
      <c r="O141" s="46">
        <v>0.105</v>
      </c>
      <c r="P141" s="46">
        <v>0.127</v>
      </c>
      <c r="Q141" s="46">
        <v>7.5999999999999998E-2</v>
      </c>
      <c r="R141" s="45">
        <v>1803441</v>
      </c>
      <c r="S141" s="39">
        <v>1.68</v>
      </c>
      <c r="T141" s="45">
        <v>374493</v>
      </c>
      <c r="U141" s="45">
        <v>223318</v>
      </c>
      <c r="V141" s="39">
        <v>1.66</v>
      </c>
      <c r="W141" s="45">
        <v>379081</v>
      </c>
      <c r="X141" s="45">
        <v>228832</v>
      </c>
      <c r="Y141" s="39">
        <v>1.42</v>
      </c>
      <c r="Z141" s="45">
        <v>300886</v>
      </c>
      <c r="AA141" s="45">
        <v>211158</v>
      </c>
      <c r="AB141" s="39">
        <v>1.42</v>
      </c>
      <c r="AC141" s="45">
        <v>311778</v>
      </c>
      <c r="AD141" s="45">
        <v>219555</v>
      </c>
      <c r="AE141" s="38">
        <v>1.47</v>
      </c>
      <c r="AF141" s="47">
        <v>1502726</v>
      </c>
      <c r="AG141" s="47">
        <v>1020566</v>
      </c>
      <c r="AH141" s="27"/>
    </row>
    <row r="142" spans="1:34" ht="10.5" customHeight="1" x14ac:dyDescent="0.15">
      <c r="A142" s="23" t="s">
        <v>27</v>
      </c>
      <c r="B142" s="48">
        <v>4</v>
      </c>
      <c r="C142" s="48">
        <f>_xlfn.XLOOKUP(Tabelle1[[#This Row],[Spalte1]],[1]KeyMetrics2021!$A:$A,[1]KeyMetrics2021!$B:$B,"Nicht vorhanden")</f>
        <v>4</v>
      </c>
      <c r="D142" s="25">
        <v>342076</v>
      </c>
      <c r="E142" s="25">
        <v>1119539</v>
      </c>
      <c r="F142" s="25">
        <v>1103040</v>
      </c>
      <c r="G142" s="25">
        <v>1103040</v>
      </c>
      <c r="H142" s="25">
        <v>4275951</v>
      </c>
      <c r="I142" s="26">
        <v>0.25800000000000001</v>
      </c>
      <c r="J142" s="26">
        <v>0.25800000000000001</v>
      </c>
      <c r="K142" s="26">
        <v>0.26200000000000001</v>
      </c>
      <c r="L142" s="26">
        <v>1.4E-2</v>
      </c>
      <c r="M142" s="66">
        <f>Tabelle1[[#This Row],[Spalte12]]-Tabelle1[[#This Row],[Spalte11]]</f>
        <v>7.3999999999999996E-2</v>
      </c>
      <c r="N142" s="26">
        <v>8.7999999999999995E-2</v>
      </c>
      <c r="O142" s="26">
        <v>0.104</v>
      </c>
      <c r="P142" s="26">
        <v>0.126</v>
      </c>
      <c r="Q142" s="26">
        <v>0.11700000000000001</v>
      </c>
      <c r="R142" s="25">
        <v>9419913</v>
      </c>
      <c r="S142" s="24">
        <v>1.53</v>
      </c>
      <c r="T142" s="25">
        <v>1682264</v>
      </c>
      <c r="U142" s="25">
        <v>1096381</v>
      </c>
      <c r="V142" s="24">
        <v>1.49</v>
      </c>
      <c r="W142" s="25">
        <v>1640080</v>
      </c>
      <c r="X142" s="25">
        <v>1102705</v>
      </c>
      <c r="Y142" s="24">
        <v>1.24</v>
      </c>
      <c r="Z142" s="25">
        <v>1371025</v>
      </c>
      <c r="AA142" s="25">
        <v>1106671</v>
      </c>
      <c r="AB142" s="24">
        <v>1.29</v>
      </c>
      <c r="AC142" s="25">
        <v>1327512</v>
      </c>
      <c r="AD142" s="25">
        <v>1033075</v>
      </c>
      <c r="AE142" s="38">
        <v>1.27</v>
      </c>
      <c r="AF142" s="36">
        <v>7012307</v>
      </c>
      <c r="AG142" s="36">
        <v>5524112</v>
      </c>
      <c r="AH142" s="27"/>
    </row>
    <row r="143" spans="1:34" ht="10.5" customHeight="1" x14ac:dyDescent="0.15">
      <c r="A143" s="22" t="s">
        <v>71</v>
      </c>
      <c r="B143" s="44">
        <v>4</v>
      </c>
      <c r="C143" s="44">
        <f>_xlfn.XLOOKUP(Tabelle1[[#This Row],[Spalte1]],[1]KeyMetrics2021!$A:$A,[1]KeyMetrics2021!$B:$B,"Nicht vorhanden")</f>
        <v>4</v>
      </c>
      <c r="D143" s="45">
        <v>31659</v>
      </c>
      <c r="E143" s="45">
        <v>152821</v>
      </c>
      <c r="F143" s="45">
        <v>152821</v>
      </c>
      <c r="G143" s="45">
        <v>152821</v>
      </c>
      <c r="H143" s="45">
        <v>395743</v>
      </c>
      <c r="I143" s="46">
        <v>0.38600000000000001</v>
      </c>
      <c r="J143" s="46">
        <v>0.38600000000000001</v>
      </c>
      <c r="K143" s="46">
        <v>0.38600000000000001</v>
      </c>
      <c r="L143" s="46">
        <v>0</v>
      </c>
      <c r="M143" s="65">
        <f>Tabelle1[[#This Row],[Spalte12]]-Tabelle1[[#This Row],[Spalte11]]</f>
        <v>7.3999999999999996E-2</v>
      </c>
      <c r="N143" s="46">
        <v>7.3999999999999996E-2</v>
      </c>
      <c r="O143" s="46">
        <v>0.09</v>
      </c>
      <c r="P143" s="46">
        <v>0.112</v>
      </c>
      <c r="Q143" s="46">
        <v>0.16500000000000001</v>
      </c>
      <c r="R143" s="45">
        <v>925294</v>
      </c>
      <c r="S143" s="39">
        <v>4.46</v>
      </c>
      <c r="T143" s="45">
        <v>231955</v>
      </c>
      <c r="U143" s="45">
        <v>52066</v>
      </c>
      <c r="V143" s="39">
        <v>5.13</v>
      </c>
      <c r="W143" s="45">
        <v>341063</v>
      </c>
      <c r="X143" s="45">
        <v>66447</v>
      </c>
      <c r="Y143" s="39">
        <v>6.34</v>
      </c>
      <c r="Z143" s="45">
        <v>366431</v>
      </c>
      <c r="AA143" s="45">
        <v>57794</v>
      </c>
      <c r="AB143" s="39">
        <v>8.86</v>
      </c>
      <c r="AC143" s="45">
        <v>452531</v>
      </c>
      <c r="AD143" s="45">
        <v>51059</v>
      </c>
      <c r="AE143" s="38">
        <v>2.4500000000000002</v>
      </c>
      <c r="AF143" s="47">
        <v>703468</v>
      </c>
      <c r="AG143" s="47">
        <v>286985</v>
      </c>
      <c r="AH143" s="27"/>
    </row>
    <row r="144" spans="1:34" ht="10.5" customHeight="1" x14ac:dyDescent="0.15">
      <c r="A144" s="23" t="s">
        <v>28</v>
      </c>
      <c r="B144" s="48">
        <v>3</v>
      </c>
      <c r="C144" s="48">
        <f>_xlfn.XLOOKUP(Tabelle1[[#This Row],[Spalte1]],[1]KeyMetrics2021!$A:$A,[1]KeyMetrics2021!$B:$B,"Nicht vorhanden")</f>
        <v>3</v>
      </c>
      <c r="D144" s="25">
        <v>753531</v>
      </c>
      <c r="E144" s="25">
        <v>2188030</v>
      </c>
      <c r="F144" s="25">
        <v>2078666</v>
      </c>
      <c r="G144" s="25">
        <v>2078666</v>
      </c>
      <c r="H144" s="25">
        <v>9419140</v>
      </c>
      <c r="I144" s="26">
        <v>0.221</v>
      </c>
      <c r="J144" s="26">
        <v>0.221</v>
      </c>
      <c r="K144" s="26">
        <v>0.23200000000000001</v>
      </c>
      <c r="L144" s="26">
        <v>1.2999999999999999E-2</v>
      </c>
      <c r="M144" s="66">
        <f>Tabelle1[[#This Row],[Spalte12]]-Tabelle1[[#This Row],[Spalte11]]</f>
        <v>7.8E-2</v>
      </c>
      <c r="N144" s="26">
        <v>9.0999999999999998E-2</v>
      </c>
      <c r="O144" s="26">
        <v>0.109</v>
      </c>
      <c r="P144" s="26">
        <v>0.13300000000000001</v>
      </c>
      <c r="Q144" s="26">
        <v>8.5000000000000006E-2</v>
      </c>
      <c r="R144" s="25">
        <v>24394650</v>
      </c>
      <c r="S144" s="24">
        <v>1.59</v>
      </c>
      <c r="T144" s="25">
        <v>4431961</v>
      </c>
      <c r="U144" s="25">
        <v>2780987</v>
      </c>
      <c r="V144" s="24">
        <v>1.59</v>
      </c>
      <c r="W144" s="25">
        <v>4524081</v>
      </c>
      <c r="X144" s="25">
        <v>2845376</v>
      </c>
      <c r="Y144" s="24">
        <v>1.34</v>
      </c>
      <c r="Z144" s="25">
        <v>4474287</v>
      </c>
      <c r="AA144" s="25">
        <v>3347603</v>
      </c>
      <c r="AB144" s="24">
        <v>1.49</v>
      </c>
      <c r="AC144" s="25">
        <v>4990411</v>
      </c>
      <c r="AD144" s="25">
        <v>3343189</v>
      </c>
      <c r="AE144" s="38">
        <v>1.52</v>
      </c>
      <c r="AF144" s="36">
        <v>17280873</v>
      </c>
      <c r="AG144" s="36">
        <v>11389578</v>
      </c>
      <c r="AH144" s="27"/>
    </row>
    <row r="145" spans="1:34" ht="10.5" customHeight="1" x14ac:dyDescent="0.15">
      <c r="A145" s="22" t="s">
        <v>82</v>
      </c>
      <c r="B145" s="44">
        <v>5</v>
      </c>
      <c r="C145" s="44">
        <f>_xlfn.XLOOKUP(Tabelle1[[#This Row],[Spalte1]],[1]KeyMetrics2021!$A:$A,[1]KeyMetrics2021!$B:$B,"Nicht vorhanden")</f>
        <v>5</v>
      </c>
      <c r="D145" s="45">
        <v>11366</v>
      </c>
      <c r="E145" s="45">
        <v>104952</v>
      </c>
      <c r="F145" s="45">
        <v>96602</v>
      </c>
      <c r="G145" s="45">
        <v>96602</v>
      </c>
      <c r="H145" s="45">
        <v>142071</v>
      </c>
      <c r="I145" s="46">
        <v>0.68</v>
      </c>
      <c r="J145" s="46">
        <v>0.68</v>
      </c>
      <c r="K145" s="46">
        <v>0.73899999999999999</v>
      </c>
      <c r="L145" s="46">
        <v>0</v>
      </c>
      <c r="M145" s="65">
        <f>Tabelle1[[#This Row],[Spalte12]]-Tabelle1[[#This Row],[Spalte11]]</f>
        <v>7.0000000000000007E-2</v>
      </c>
      <c r="N145" s="46">
        <v>7.0000000000000007E-2</v>
      </c>
      <c r="O145" s="46">
        <v>8.5000000000000006E-2</v>
      </c>
      <c r="P145" s="46">
        <v>0.105</v>
      </c>
      <c r="Q145" s="46">
        <v>0.105</v>
      </c>
      <c r="R145" s="45">
        <v>921991</v>
      </c>
      <c r="S145" s="39">
        <v>14.92</v>
      </c>
      <c r="T145" s="45">
        <v>663456</v>
      </c>
      <c r="U145" s="45">
        <v>44480</v>
      </c>
      <c r="V145" s="39">
        <v>12</v>
      </c>
      <c r="W145" s="45">
        <v>719396</v>
      </c>
      <c r="X145" s="45">
        <v>59964</v>
      </c>
      <c r="Y145" s="39">
        <v>10.119999999999999</v>
      </c>
      <c r="Z145" s="45">
        <v>634137</v>
      </c>
      <c r="AA145" s="45">
        <v>62688</v>
      </c>
      <c r="AB145" s="39">
        <v>13.88</v>
      </c>
      <c r="AC145" s="45">
        <v>567810</v>
      </c>
      <c r="AD145" s="45">
        <v>40922</v>
      </c>
      <c r="AE145" s="38">
        <v>7.28</v>
      </c>
      <c r="AF145" s="47">
        <v>759416</v>
      </c>
      <c r="AG145" s="47">
        <v>104316</v>
      </c>
      <c r="AH145" s="27"/>
    </row>
    <row r="146" spans="1:34" ht="10.5" customHeight="1" x14ac:dyDescent="0.15">
      <c r="A146" s="23" t="s">
        <v>131</v>
      </c>
      <c r="B146" s="48">
        <v>5</v>
      </c>
      <c r="C146" s="48">
        <f>_xlfn.XLOOKUP(Tabelle1[[#This Row],[Spalte1]],[1]KeyMetrics2021!$A:$A,[1]KeyMetrics2021!$B:$B,"Nicht vorhanden")</f>
        <v>5</v>
      </c>
      <c r="D146" s="25">
        <v>16342</v>
      </c>
      <c r="E146" s="25">
        <v>119290</v>
      </c>
      <c r="F146" s="25">
        <v>119290</v>
      </c>
      <c r="G146" s="25">
        <v>119290</v>
      </c>
      <c r="H146" s="25">
        <v>204280</v>
      </c>
      <c r="I146" s="26">
        <v>0.58399999999999996</v>
      </c>
      <c r="J146" s="26">
        <v>0.58399999999999996</v>
      </c>
      <c r="K146" s="26">
        <v>0.58399999999999996</v>
      </c>
      <c r="L146" s="26">
        <v>0</v>
      </c>
      <c r="M146" s="66">
        <f>Tabelle1[[#This Row],[Spalte12]]-Tabelle1[[#This Row],[Spalte11]]</f>
        <v>7.0000000000000007E-2</v>
      </c>
      <c r="N146" s="26">
        <v>7.0000000000000007E-2</v>
      </c>
      <c r="O146" s="26">
        <v>8.5000000000000006E-2</v>
      </c>
      <c r="P146" s="26">
        <v>0.105</v>
      </c>
      <c r="Q146" s="26">
        <v>0.28399999999999997</v>
      </c>
      <c r="R146" s="25">
        <v>420440</v>
      </c>
      <c r="S146" s="24">
        <v>2.85</v>
      </c>
      <c r="T146" s="25">
        <v>258050</v>
      </c>
      <c r="U146" s="25">
        <v>90547</v>
      </c>
      <c r="V146" s="24">
        <v>2.145</v>
      </c>
      <c r="W146" s="25">
        <v>287603</v>
      </c>
      <c r="X146" s="25">
        <v>134111</v>
      </c>
      <c r="Y146" s="24">
        <v>2.7429999999999999</v>
      </c>
      <c r="Z146" s="25">
        <v>284566</v>
      </c>
      <c r="AA146" s="25">
        <v>103720</v>
      </c>
      <c r="AB146" s="24">
        <v>2.68</v>
      </c>
      <c r="AC146" s="25">
        <v>194354</v>
      </c>
      <c r="AD146" s="25">
        <v>72533</v>
      </c>
      <c r="AE146" s="38">
        <v>2.5</v>
      </c>
      <c r="AF146" s="36">
        <v>278362</v>
      </c>
      <c r="AG146" s="36">
        <v>111439</v>
      </c>
      <c r="AH146" s="27"/>
    </row>
    <row r="147" spans="1:34" ht="10.5" customHeight="1" x14ac:dyDescent="0.15">
      <c r="A147" s="22" t="s">
        <v>102</v>
      </c>
      <c r="B147" s="44">
        <v>5</v>
      </c>
      <c r="C147" s="44">
        <f>_xlfn.XLOOKUP(Tabelle1[[#This Row],[Spalte1]],[1]KeyMetrics2021!$A:$A,[1]KeyMetrics2021!$B:$B,"Nicht vorhanden")</f>
        <v>5</v>
      </c>
      <c r="D147" s="45">
        <v>48352</v>
      </c>
      <c r="E147" s="45">
        <v>100104</v>
      </c>
      <c r="F147" s="45">
        <v>98946</v>
      </c>
      <c r="G147" s="45">
        <v>98946</v>
      </c>
      <c r="H147" s="45">
        <v>604403</v>
      </c>
      <c r="I147" s="46">
        <v>0.16400000000000001</v>
      </c>
      <c r="J147" s="46">
        <v>0.16400000000000001</v>
      </c>
      <c r="K147" s="46">
        <v>0.16600000000000001</v>
      </c>
      <c r="L147" s="46">
        <v>1.7000000000000001E-2</v>
      </c>
      <c r="M147" s="65">
        <f>Tabelle1[[#This Row],[Spalte12]]-Tabelle1[[#This Row],[Spalte11]]</f>
        <v>6.9999999999999993E-2</v>
      </c>
      <c r="N147" s="46">
        <v>8.6999999999999994E-2</v>
      </c>
      <c r="O147" s="46">
        <v>0.10199999999999999</v>
      </c>
      <c r="P147" s="46">
        <v>0.122</v>
      </c>
      <c r="Q147" s="46">
        <v>6.5000000000000002E-2</v>
      </c>
      <c r="R147" s="45">
        <v>1512294</v>
      </c>
      <c r="S147" s="53" t="s">
        <v>220</v>
      </c>
      <c r="T147" s="53" t="s">
        <v>220</v>
      </c>
      <c r="U147" s="53" t="s">
        <v>220</v>
      </c>
      <c r="V147" s="53" t="s">
        <v>220</v>
      </c>
      <c r="W147" s="53" t="s">
        <v>220</v>
      </c>
      <c r="X147" s="53" t="s">
        <v>220</v>
      </c>
      <c r="Y147" s="53" t="s">
        <v>220</v>
      </c>
      <c r="Z147" s="53" t="s">
        <v>220</v>
      </c>
      <c r="AA147" s="53" t="s">
        <v>220</v>
      </c>
      <c r="AB147" s="53" t="s">
        <v>220</v>
      </c>
      <c r="AC147" s="53" t="s">
        <v>220</v>
      </c>
      <c r="AD147" s="53" t="s">
        <v>220</v>
      </c>
      <c r="AE147" s="53" t="s">
        <v>220</v>
      </c>
      <c r="AF147" s="53" t="s">
        <v>220</v>
      </c>
      <c r="AG147" s="53" t="s">
        <v>220</v>
      </c>
      <c r="AH147" s="27"/>
    </row>
    <row r="148" spans="1:34" ht="10.5" customHeight="1" x14ac:dyDescent="0.15">
      <c r="A148" s="23" t="s">
        <v>52</v>
      </c>
      <c r="B148" s="48">
        <v>5</v>
      </c>
      <c r="C148" s="48">
        <f>_xlfn.XLOOKUP(Tabelle1[[#This Row],[Spalte1]],[1]KeyMetrics2021!$A:$A,[1]KeyMetrics2021!$B:$B,"Nicht vorhanden")</f>
        <v>5</v>
      </c>
      <c r="D148" s="25">
        <v>807</v>
      </c>
      <c r="E148" s="25">
        <v>2621</v>
      </c>
      <c r="F148" s="25">
        <v>2621</v>
      </c>
      <c r="G148" s="25">
        <v>2621</v>
      </c>
      <c r="H148" s="25">
        <v>10084</v>
      </c>
      <c r="I148" s="26">
        <v>0.26</v>
      </c>
      <c r="J148" s="26">
        <v>0.26</v>
      </c>
      <c r="K148" s="26">
        <v>0.26</v>
      </c>
      <c r="L148" s="26">
        <v>0</v>
      </c>
      <c r="M148" s="66">
        <f>Tabelle1[[#This Row],[Spalte12]]-Tabelle1[[#This Row],[Spalte11]]</f>
        <v>7.0000000000000007E-2</v>
      </c>
      <c r="N148" s="26">
        <v>7.0000000000000007E-2</v>
      </c>
      <c r="O148" s="26">
        <v>8.5000000000000006E-2</v>
      </c>
      <c r="P148" s="26">
        <v>0.105</v>
      </c>
      <c r="Q148" s="26">
        <v>6.4000000000000001E-2</v>
      </c>
      <c r="R148" s="25">
        <v>41076</v>
      </c>
      <c r="S148" s="24">
        <v>3.08</v>
      </c>
      <c r="T148" s="25">
        <v>21688</v>
      </c>
      <c r="U148" s="25">
        <v>7053</v>
      </c>
      <c r="V148" s="24">
        <v>3.19</v>
      </c>
      <c r="W148" s="25">
        <v>12666</v>
      </c>
      <c r="X148" s="25">
        <v>3971</v>
      </c>
      <c r="Y148" s="24">
        <v>1.84</v>
      </c>
      <c r="Z148" s="25">
        <v>17283</v>
      </c>
      <c r="AA148" s="25">
        <v>9385</v>
      </c>
      <c r="AB148" s="24">
        <v>1.72</v>
      </c>
      <c r="AC148" s="25">
        <v>9949</v>
      </c>
      <c r="AD148" s="25">
        <v>5771</v>
      </c>
      <c r="AE148" s="38">
        <v>2.12</v>
      </c>
      <c r="AF148" s="36">
        <v>18715</v>
      </c>
      <c r="AG148" s="36">
        <v>8820</v>
      </c>
      <c r="AH148" s="27"/>
    </row>
    <row r="149" spans="1:34" ht="10.5" customHeight="1" x14ac:dyDescent="0.15">
      <c r="A149" s="22" t="s">
        <v>192</v>
      </c>
      <c r="B149" s="44">
        <v>5</v>
      </c>
      <c r="C149" s="44">
        <f>_xlfn.XLOOKUP(Tabelle1[[#This Row],[Spalte1]],[1]KeyMetrics2021!$A:$A,[1]KeyMetrics2021!$B:$B,"Nicht vorhanden")</f>
        <v>5</v>
      </c>
      <c r="D149" s="45">
        <v>9361</v>
      </c>
      <c r="E149" s="45">
        <v>21724</v>
      </c>
      <c r="F149" s="45">
        <v>21724</v>
      </c>
      <c r="G149" s="45">
        <v>21724</v>
      </c>
      <c r="H149" s="45">
        <v>117012</v>
      </c>
      <c r="I149" s="46">
        <v>0.186</v>
      </c>
      <c r="J149" s="46">
        <v>0.186</v>
      </c>
      <c r="K149" s="46">
        <v>0.186</v>
      </c>
      <c r="L149" s="46">
        <v>0</v>
      </c>
      <c r="M149" s="65">
        <f>Tabelle1[[#This Row],[Spalte12]]-Tabelle1[[#This Row],[Spalte11]]</f>
        <v>7.0000000000000007E-2</v>
      </c>
      <c r="N149" s="46">
        <v>7.0000000000000007E-2</v>
      </c>
      <c r="O149" s="46">
        <v>8.5000000000000006E-2</v>
      </c>
      <c r="P149" s="46">
        <v>0.105</v>
      </c>
      <c r="Q149" s="46">
        <v>5.8999999999999997E-2</v>
      </c>
      <c r="R149" s="45">
        <v>371315</v>
      </c>
      <c r="S149" s="53" t="s">
        <v>220</v>
      </c>
      <c r="T149" s="53" t="s">
        <v>220</v>
      </c>
      <c r="U149" s="53" t="s">
        <v>220</v>
      </c>
      <c r="V149" s="53" t="s">
        <v>220</v>
      </c>
      <c r="W149" s="53" t="s">
        <v>220</v>
      </c>
      <c r="X149" s="53" t="s">
        <v>220</v>
      </c>
      <c r="Y149" s="53" t="s">
        <v>220</v>
      </c>
      <c r="Z149" s="53" t="s">
        <v>220</v>
      </c>
      <c r="AA149" s="53" t="s">
        <v>220</v>
      </c>
      <c r="AB149" s="53" t="s">
        <v>220</v>
      </c>
      <c r="AC149" s="53" t="s">
        <v>220</v>
      </c>
      <c r="AD149" s="53" t="s">
        <v>220</v>
      </c>
      <c r="AE149" s="53" t="s">
        <v>220</v>
      </c>
      <c r="AF149" s="53" t="s">
        <v>220</v>
      </c>
      <c r="AG149" s="53" t="s">
        <v>220</v>
      </c>
      <c r="AH149" s="27"/>
    </row>
    <row r="150" spans="1:34" ht="10.5" customHeight="1" x14ac:dyDescent="0.15">
      <c r="A150" s="23" t="s">
        <v>83</v>
      </c>
      <c r="B150" s="48">
        <v>4</v>
      </c>
      <c r="C150" s="48">
        <f>_xlfn.XLOOKUP(Tabelle1[[#This Row],[Spalte1]],[1]KeyMetrics2021!$A:$A,[1]KeyMetrics2021!$B:$B,"Nicht vorhanden")</f>
        <v>4</v>
      </c>
      <c r="D150" s="25">
        <v>127703</v>
      </c>
      <c r="E150" s="25">
        <v>446413</v>
      </c>
      <c r="F150" s="25">
        <v>446413</v>
      </c>
      <c r="G150" s="25">
        <v>446413</v>
      </c>
      <c r="H150" s="25">
        <v>1596288</v>
      </c>
      <c r="I150" s="26">
        <v>0.28000000000000003</v>
      </c>
      <c r="J150" s="26">
        <v>0.28000000000000003</v>
      </c>
      <c r="K150" s="26">
        <v>0.28000000000000003</v>
      </c>
      <c r="L150" s="26">
        <v>2E-3</v>
      </c>
      <c r="M150" s="66">
        <f>Tabelle1[[#This Row],[Spalte12]]-Tabelle1[[#This Row],[Spalte11]]</f>
        <v>7.3999999999999996E-2</v>
      </c>
      <c r="N150" s="26">
        <v>7.5999999999999998E-2</v>
      </c>
      <c r="O150" s="26">
        <v>9.1999999999999998E-2</v>
      </c>
      <c r="P150" s="26">
        <v>0.114</v>
      </c>
      <c r="Q150" s="26">
        <v>8.5000000000000006E-2</v>
      </c>
      <c r="R150" s="25">
        <v>5260100</v>
      </c>
      <c r="S150" s="24">
        <v>1.51</v>
      </c>
      <c r="T150" s="25">
        <v>967770</v>
      </c>
      <c r="U150" s="25">
        <v>641237</v>
      </c>
      <c r="V150" s="24">
        <v>1.53</v>
      </c>
      <c r="W150" s="25">
        <v>1000490</v>
      </c>
      <c r="X150" s="25">
        <v>652326</v>
      </c>
      <c r="Y150" s="24">
        <v>1.42</v>
      </c>
      <c r="Z150" s="25">
        <v>821619</v>
      </c>
      <c r="AA150" s="25">
        <v>580098</v>
      </c>
      <c r="AB150" s="24">
        <v>1.41</v>
      </c>
      <c r="AC150" s="25">
        <v>701062</v>
      </c>
      <c r="AD150" s="25">
        <v>497814</v>
      </c>
      <c r="AE150" s="38">
        <v>1.26</v>
      </c>
      <c r="AF150" s="36">
        <v>2486155</v>
      </c>
      <c r="AG150" s="36">
        <v>1974680</v>
      </c>
      <c r="AH150" s="27"/>
    </row>
    <row r="151" spans="1:34" ht="10.5" customHeight="1" x14ac:dyDescent="0.15">
      <c r="A151" s="22" t="s">
        <v>20</v>
      </c>
      <c r="B151" s="44">
        <v>5</v>
      </c>
      <c r="C151" s="44">
        <f>_xlfn.XLOOKUP(Tabelle1[[#This Row],[Spalte1]],[1]KeyMetrics2021!$A:$A,[1]KeyMetrics2021!$B:$B,"Nicht vorhanden")</f>
        <v>5</v>
      </c>
      <c r="D151" s="45">
        <v>24412</v>
      </c>
      <c r="E151" s="45">
        <v>69344</v>
      </c>
      <c r="F151" s="45">
        <v>69344</v>
      </c>
      <c r="G151" s="45">
        <v>69344</v>
      </c>
      <c r="H151" s="45">
        <v>305145</v>
      </c>
      <c r="I151" s="46">
        <v>0.22700000000000001</v>
      </c>
      <c r="J151" s="46">
        <v>0.22700000000000001</v>
      </c>
      <c r="K151" s="46">
        <v>0.22700000000000001</v>
      </c>
      <c r="L151" s="46">
        <v>1.2999999999999999E-2</v>
      </c>
      <c r="M151" s="65">
        <f>Tabelle1[[#This Row],[Spalte12]]-Tabelle1[[#This Row],[Spalte11]]</f>
        <v>7.0000000000000007E-2</v>
      </c>
      <c r="N151" s="46">
        <v>8.3000000000000004E-2</v>
      </c>
      <c r="O151" s="46">
        <v>9.8000000000000004E-2</v>
      </c>
      <c r="P151" s="46">
        <v>0.11799999999999999</v>
      </c>
      <c r="Q151" s="46">
        <v>0.107</v>
      </c>
      <c r="R151" s="45">
        <v>645152</v>
      </c>
      <c r="S151" s="39">
        <v>2.11</v>
      </c>
      <c r="T151" s="45">
        <v>76167</v>
      </c>
      <c r="U151" s="45">
        <v>36116</v>
      </c>
      <c r="V151" s="39">
        <v>2.27</v>
      </c>
      <c r="W151" s="45">
        <v>79478</v>
      </c>
      <c r="X151" s="45">
        <v>35082</v>
      </c>
      <c r="Y151" s="39">
        <v>2.3199999999999998</v>
      </c>
      <c r="Z151" s="45">
        <v>79492</v>
      </c>
      <c r="AA151" s="45">
        <v>34318</v>
      </c>
      <c r="AB151" s="39">
        <v>1.95</v>
      </c>
      <c r="AC151" s="45">
        <v>75543</v>
      </c>
      <c r="AD151" s="45">
        <v>38794</v>
      </c>
      <c r="AE151" s="38">
        <v>1.31</v>
      </c>
      <c r="AF151" s="47">
        <v>555066</v>
      </c>
      <c r="AG151" s="47">
        <v>424568</v>
      </c>
      <c r="AH151" s="27"/>
    </row>
    <row r="152" spans="1:34" ht="10.5" customHeight="1" x14ac:dyDescent="0.15">
      <c r="A152" s="23" t="s">
        <v>212</v>
      </c>
      <c r="B152" s="48">
        <v>5</v>
      </c>
      <c r="C152" s="48" t="str">
        <f>_xlfn.XLOOKUP(Tabelle1[[#This Row],[Spalte1]],[1]KeyMetrics2021!$A:$A,[1]KeyMetrics2021!$B:$B,"Nicht vorhanden")</f>
        <v>Nicht vorhanden</v>
      </c>
      <c r="D152" s="25">
        <v>25039</v>
      </c>
      <c r="E152" s="25">
        <v>52035</v>
      </c>
      <c r="F152" s="25">
        <v>46613</v>
      </c>
      <c r="G152" s="25">
        <v>46613</v>
      </c>
      <c r="H152" s="25">
        <v>312988</v>
      </c>
      <c r="I152" s="26">
        <v>0.14899999999999999</v>
      </c>
      <c r="J152" s="26">
        <v>0.14899999999999999</v>
      </c>
      <c r="K152" s="26">
        <v>0.16600000000000001</v>
      </c>
      <c r="L152" s="26">
        <v>1.6E-2</v>
      </c>
      <c r="M152" s="66">
        <f>Tabelle1[[#This Row],[Spalte12]]-Tabelle1[[#This Row],[Spalte11]]</f>
        <v>6.9999999999999993E-2</v>
      </c>
      <c r="N152" s="26">
        <v>8.5999999999999993E-2</v>
      </c>
      <c r="O152" s="26">
        <v>0.10100000000000001</v>
      </c>
      <c r="P152" s="26">
        <v>0.121</v>
      </c>
      <c r="Q152" s="26">
        <v>6.5000000000000002E-2</v>
      </c>
      <c r="R152" s="25">
        <v>718349</v>
      </c>
      <c r="S152" s="24">
        <v>1.57</v>
      </c>
      <c r="T152" s="25">
        <v>91138</v>
      </c>
      <c r="U152" s="25">
        <v>58055</v>
      </c>
      <c r="V152" s="24">
        <v>1.88</v>
      </c>
      <c r="W152" s="25">
        <v>117541</v>
      </c>
      <c r="X152" s="25">
        <v>62441</v>
      </c>
      <c r="Y152" s="24">
        <v>1.23</v>
      </c>
      <c r="Z152" s="25">
        <v>75845</v>
      </c>
      <c r="AA152" s="25">
        <v>61790</v>
      </c>
      <c r="AB152" s="24">
        <v>1.26</v>
      </c>
      <c r="AC152" s="25">
        <v>65718</v>
      </c>
      <c r="AD152" s="25">
        <v>51990</v>
      </c>
      <c r="AE152" s="38">
        <v>1.31</v>
      </c>
      <c r="AF152" s="36">
        <v>614198</v>
      </c>
      <c r="AG152" s="36">
        <v>467132</v>
      </c>
      <c r="AH152" s="27"/>
    </row>
    <row r="153" spans="1:34" ht="10.5" customHeight="1" x14ac:dyDescent="0.15">
      <c r="A153" s="22" t="s">
        <v>213</v>
      </c>
      <c r="B153" s="44">
        <v>5</v>
      </c>
      <c r="C153" s="44" t="str">
        <f>_xlfn.XLOOKUP(Tabelle1[[#This Row],[Spalte1]],[1]KeyMetrics2021!$A:$A,[1]KeyMetrics2021!$B:$B,"Nicht vorhanden")</f>
        <v>Nicht vorhanden</v>
      </c>
      <c r="D153" s="45">
        <v>34450</v>
      </c>
      <c r="E153" s="45">
        <v>71989</v>
      </c>
      <c r="F153" s="45">
        <v>71989</v>
      </c>
      <c r="G153" s="45">
        <v>71989</v>
      </c>
      <c r="H153" s="45">
        <v>430621</v>
      </c>
      <c r="I153" s="46">
        <v>0.16700000000000001</v>
      </c>
      <c r="J153" s="46">
        <v>0.16700000000000001</v>
      </c>
      <c r="K153" s="46">
        <v>0.16700000000000001</v>
      </c>
      <c r="L153" s="46">
        <v>1.2E-2</v>
      </c>
      <c r="M153" s="65">
        <f>Tabelle1[[#This Row],[Spalte12]]-Tabelle1[[#This Row],[Spalte11]]</f>
        <v>7.0000000000000007E-2</v>
      </c>
      <c r="N153" s="46">
        <v>8.2000000000000003E-2</v>
      </c>
      <c r="O153" s="46">
        <v>9.7000000000000003E-2</v>
      </c>
      <c r="P153" s="46">
        <v>0.11700000000000001</v>
      </c>
      <c r="Q153" s="46">
        <v>8.6999999999999994E-2</v>
      </c>
      <c r="R153" s="45">
        <v>826855</v>
      </c>
      <c r="S153" s="53" t="s">
        <v>220</v>
      </c>
      <c r="T153" s="54" t="s">
        <v>220</v>
      </c>
      <c r="U153" s="54" t="s">
        <v>220</v>
      </c>
      <c r="V153" s="53" t="s">
        <v>220</v>
      </c>
      <c r="W153" s="54" t="s">
        <v>220</v>
      </c>
      <c r="X153" s="54" t="s">
        <v>220</v>
      </c>
      <c r="Y153" s="53" t="s">
        <v>220</v>
      </c>
      <c r="Z153" s="54" t="s">
        <v>220</v>
      </c>
      <c r="AA153" s="54" t="s">
        <v>220</v>
      </c>
      <c r="AB153" s="53" t="s">
        <v>220</v>
      </c>
      <c r="AC153" s="54" t="s">
        <v>220</v>
      </c>
      <c r="AD153" s="54" t="s">
        <v>220</v>
      </c>
      <c r="AE153" s="51" t="s">
        <v>220</v>
      </c>
      <c r="AF153" s="55" t="s">
        <v>220</v>
      </c>
      <c r="AG153" s="55" t="s">
        <v>220</v>
      </c>
      <c r="AH153" s="27"/>
    </row>
    <row r="154" spans="1:34" ht="10.5" customHeight="1" x14ac:dyDescent="0.15">
      <c r="A154" s="23" t="s">
        <v>26</v>
      </c>
      <c r="B154" s="48">
        <v>3</v>
      </c>
      <c r="C154" s="48">
        <f>_xlfn.XLOOKUP(Tabelle1[[#This Row],[Spalte1]],[1]KeyMetrics2021!$A:$A,[1]KeyMetrics2021!$B:$B,"Nicht vorhanden")</f>
        <v>3</v>
      </c>
      <c r="D154" s="25">
        <v>1358132</v>
      </c>
      <c r="E154" s="25">
        <v>2887775</v>
      </c>
      <c r="F154" s="25">
        <v>2668479</v>
      </c>
      <c r="G154" s="25">
        <v>2768479</v>
      </c>
      <c r="H154" s="25">
        <v>16976649</v>
      </c>
      <c r="I154" s="26">
        <v>0.157</v>
      </c>
      <c r="J154" s="26">
        <v>0.16300000000000001</v>
      </c>
      <c r="K154" s="26">
        <v>0.17</v>
      </c>
      <c r="L154" s="26">
        <v>1.2E-2</v>
      </c>
      <c r="M154" s="66">
        <f>Tabelle1[[#This Row],[Spalte12]]-Tabelle1[[#This Row],[Spalte11]]</f>
        <v>7.8E-2</v>
      </c>
      <c r="N154" s="26">
        <v>0.09</v>
      </c>
      <c r="O154" s="26">
        <v>0.108</v>
      </c>
      <c r="P154" s="26">
        <v>0.13200000000000001</v>
      </c>
      <c r="Q154" s="26">
        <v>6.6000000000000003E-2</v>
      </c>
      <c r="R154" s="25">
        <v>41948123</v>
      </c>
      <c r="S154" s="24">
        <v>1.43</v>
      </c>
      <c r="T154" s="25">
        <v>7939619</v>
      </c>
      <c r="U154" s="25">
        <v>5546119</v>
      </c>
      <c r="V154" s="24">
        <v>1.38</v>
      </c>
      <c r="W154" s="25">
        <v>7778738</v>
      </c>
      <c r="X154" s="25">
        <v>5616500</v>
      </c>
      <c r="Y154" s="24">
        <v>1.3</v>
      </c>
      <c r="Z154" s="25">
        <v>7712743</v>
      </c>
      <c r="AA154" s="25">
        <v>5931009</v>
      </c>
      <c r="AB154" s="24">
        <v>1.3</v>
      </c>
      <c r="AC154" s="25">
        <v>7832922</v>
      </c>
      <c r="AD154" s="25">
        <v>6033021</v>
      </c>
      <c r="AE154" s="38">
        <v>1.32</v>
      </c>
      <c r="AF154" s="36">
        <v>30176515</v>
      </c>
      <c r="AG154" s="36">
        <v>22898001</v>
      </c>
      <c r="AH154" s="27"/>
    </row>
    <row r="155" spans="1:34" ht="10.5" customHeight="1" x14ac:dyDescent="0.15">
      <c r="A155" s="22" t="s">
        <v>121</v>
      </c>
      <c r="B155" s="44">
        <v>5</v>
      </c>
      <c r="C155" s="44">
        <f>_xlfn.XLOOKUP(Tabelle1[[#This Row],[Spalte1]],[1]KeyMetrics2021!$A:$A,[1]KeyMetrics2021!$B:$B,"Nicht vorhanden")</f>
        <v>5</v>
      </c>
      <c r="D155" s="45">
        <v>16216</v>
      </c>
      <c r="E155" s="45">
        <v>33935</v>
      </c>
      <c r="F155" s="45">
        <v>33935</v>
      </c>
      <c r="G155" s="45">
        <v>33935</v>
      </c>
      <c r="H155" s="45">
        <v>202696</v>
      </c>
      <c r="I155" s="46">
        <v>0.16700000000000001</v>
      </c>
      <c r="J155" s="46">
        <v>0.16700000000000001</v>
      </c>
      <c r="K155" s="46">
        <v>0.16700000000000001</v>
      </c>
      <c r="L155" s="46">
        <v>0</v>
      </c>
      <c r="M155" s="65">
        <f>Tabelle1[[#This Row],[Spalte12]]-Tabelle1[[#This Row],[Spalte11]]</f>
        <v>7.0000000000000007E-2</v>
      </c>
      <c r="N155" s="46">
        <v>7.0000000000000007E-2</v>
      </c>
      <c r="O155" s="46">
        <v>8.5000000000000006E-2</v>
      </c>
      <c r="P155" s="46">
        <v>0.105</v>
      </c>
      <c r="Q155" s="46">
        <v>8.8999999999999996E-2</v>
      </c>
      <c r="R155" s="45">
        <v>382422</v>
      </c>
      <c r="S155" s="39">
        <v>2.13</v>
      </c>
      <c r="T155" s="45">
        <v>88539</v>
      </c>
      <c r="U155" s="45">
        <v>41492</v>
      </c>
      <c r="V155" s="39">
        <v>2.08</v>
      </c>
      <c r="W155" s="45">
        <v>92440</v>
      </c>
      <c r="X155" s="45">
        <v>44418</v>
      </c>
      <c r="Y155" s="39">
        <v>2.38</v>
      </c>
      <c r="Z155" s="45">
        <v>100552</v>
      </c>
      <c r="AA155" s="45">
        <v>42334</v>
      </c>
      <c r="AB155" s="39">
        <v>2.86</v>
      </c>
      <c r="AC155" s="45">
        <v>100667</v>
      </c>
      <c r="AD155" s="45">
        <v>35162</v>
      </c>
      <c r="AE155" s="38">
        <v>1.61</v>
      </c>
      <c r="AF155" s="47">
        <v>337239</v>
      </c>
      <c r="AG155" s="47">
        <v>209966</v>
      </c>
      <c r="AH155" s="27"/>
    </row>
    <row r="156" spans="1:34" ht="10.5" customHeight="1" x14ac:dyDescent="0.15">
      <c r="A156" s="23" t="s">
        <v>98</v>
      </c>
      <c r="B156" s="48">
        <v>4</v>
      </c>
      <c r="C156" s="48">
        <f>_xlfn.XLOOKUP(Tabelle1[[#This Row],[Spalte1]],[1]KeyMetrics2021!$A:$A,[1]KeyMetrics2021!$B:$B,"Nicht vorhanden")</f>
        <v>4</v>
      </c>
      <c r="D156" s="25">
        <v>185812</v>
      </c>
      <c r="E156" s="25">
        <v>544755</v>
      </c>
      <c r="F156" s="25">
        <v>544459</v>
      </c>
      <c r="G156" s="25">
        <v>544459</v>
      </c>
      <c r="H156" s="25">
        <v>2322644</v>
      </c>
      <c r="I156" s="26">
        <v>0.23400000000000001</v>
      </c>
      <c r="J156" s="26">
        <v>0.23400000000000001</v>
      </c>
      <c r="K156" s="26">
        <v>0.23499999999999999</v>
      </c>
      <c r="L156" s="26">
        <v>0</v>
      </c>
      <c r="M156" s="66">
        <f>Tabelle1[[#This Row],[Spalte12]]-Tabelle1[[#This Row],[Spalte11]]</f>
        <v>7.3999999999999996E-2</v>
      </c>
      <c r="N156" s="26">
        <v>7.3999999999999996E-2</v>
      </c>
      <c r="O156" s="26">
        <v>0.09</v>
      </c>
      <c r="P156" s="26">
        <v>0.112</v>
      </c>
      <c r="Q156" s="26">
        <v>5.7000000000000002E-2</v>
      </c>
      <c r="R156" s="25">
        <v>9596049</v>
      </c>
      <c r="S156" s="24">
        <v>3.28</v>
      </c>
      <c r="T156" s="25">
        <v>5633975</v>
      </c>
      <c r="U156" s="25">
        <v>1716893</v>
      </c>
      <c r="V156" s="24">
        <v>2.95</v>
      </c>
      <c r="W156" s="25">
        <v>5253190</v>
      </c>
      <c r="X156" s="25">
        <v>1780372</v>
      </c>
      <c r="Y156" s="24">
        <v>3.33</v>
      </c>
      <c r="Z156" s="25">
        <v>5075465</v>
      </c>
      <c r="AA156" s="25">
        <v>1524077</v>
      </c>
      <c r="AB156" s="24">
        <v>3.68</v>
      </c>
      <c r="AC156" s="25">
        <v>5429802</v>
      </c>
      <c r="AD156" s="25">
        <v>1475398</v>
      </c>
      <c r="AE156" s="38">
        <v>2.68</v>
      </c>
      <c r="AF156" s="36">
        <v>7070778</v>
      </c>
      <c r="AG156" s="36">
        <v>2637844</v>
      </c>
      <c r="AH156" s="27"/>
    </row>
    <row r="157" spans="1:34" ht="10.5" customHeight="1" x14ac:dyDescent="0.15">
      <c r="A157" s="22" t="s">
        <v>101</v>
      </c>
      <c r="B157" s="44">
        <v>4</v>
      </c>
      <c r="C157" s="44">
        <f>_xlfn.XLOOKUP(Tabelle1[[#This Row],[Spalte1]],[1]KeyMetrics2021!$A:$A,[1]KeyMetrics2021!$B:$B,"Nicht vorhanden")</f>
        <v>4</v>
      </c>
      <c r="D157" s="45">
        <v>209325</v>
      </c>
      <c r="E157" s="45">
        <v>649737</v>
      </c>
      <c r="F157" s="45">
        <v>649317</v>
      </c>
      <c r="G157" s="45">
        <v>649317</v>
      </c>
      <c r="H157" s="45">
        <v>2616565</v>
      </c>
      <c r="I157" s="46">
        <v>0.248</v>
      </c>
      <c r="J157" s="46">
        <v>0.248</v>
      </c>
      <c r="K157" s="46">
        <v>0.248</v>
      </c>
      <c r="L157" s="46">
        <v>0</v>
      </c>
      <c r="M157" s="65">
        <f>Tabelle1[[#This Row],[Spalte12]]-Tabelle1[[#This Row],[Spalte11]]</f>
        <v>7.3999999999999996E-2</v>
      </c>
      <c r="N157" s="46">
        <v>7.3999999999999996E-2</v>
      </c>
      <c r="O157" s="46">
        <v>0.09</v>
      </c>
      <c r="P157" s="46">
        <v>0.112</v>
      </c>
      <c r="Q157" s="46">
        <v>6.3E-2</v>
      </c>
      <c r="R157" s="45">
        <v>10363511</v>
      </c>
      <c r="S157" s="39">
        <v>3.37</v>
      </c>
      <c r="T157" s="45">
        <v>5755862</v>
      </c>
      <c r="U157" s="45">
        <v>1710128</v>
      </c>
      <c r="V157" s="39">
        <v>3.33</v>
      </c>
      <c r="W157" s="45">
        <v>5419422</v>
      </c>
      <c r="X157" s="45">
        <v>1627255</v>
      </c>
      <c r="Y157" s="39">
        <v>3.79</v>
      </c>
      <c r="Z157" s="45">
        <v>5183936</v>
      </c>
      <c r="AA157" s="45">
        <v>1366194</v>
      </c>
      <c r="AB157" s="39">
        <v>4.33</v>
      </c>
      <c r="AC157" s="45">
        <v>5542174</v>
      </c>
      <c r="AD157" s="45">
        <v>1280414</v>
      </c>
      <c r="AE157" s="51" t="s">
        <v>220</v>
      </c>
      <c r="AF157" s="55" t="s">
        <v>220</v>
      </c>
      <c r="AG157" s="55" t="s">
        <v>220</v>
      </c>
      <c r="AH157" s="27"/>
    </row>
    <row r="158" spans="1:34" ht="10.5" customHeight="1" x14ac:dyDescent="0.15">
      <c r="A158" s="23" t="s">
        <v>132</v>
      </c>
      <c r="B158" s="48">
        <v>5</v>
      </c>
      <c r="C158" s="48">
        <f>_xlfn.XLOOKUP(Tabelle1[[#This Row],[Spalte1]],[1]KeyMetrics2021!$A:$A,[1]KeyMetrics2021!$B:$B,"Nicht vorhanden")</f>
        <v>5</v>
      </c>
      <c r="D158" s="25">
        <v>22471</v>
      </c>
      <c r="E158" s="25">
        <v>92873</v>
      </c>
      <c r="F158" s="25">
        <v>92873</v>
      </c>
      <c r="G158" s="25">
        <v>92873</v>
      </c>
      <c r="H158" s="25">
        <v>280893</v>
      </c>
      <c r="I158" s="26">
        <v>0.33100000000000002</v>
      </c>
      <c r="J158" s="26">
        <v>0.33100000000000002</v>
      </c>
      <c r="K158" s="26">
        <v>0.33100000000000002</v>
      </c>
      <c r="L158" s="26">
        <v>0</v>
      </c>
      <c r="M158" s="66">
        <f>Tabelle1[[#This Row],[Spalte12]]-Tabelle1[[#This Row],[Spalte11]]</f>
        <v>7.0000000000000007E-2</v>
      </c>
      <c r="N158" s="26">
        <v>7.0000000000000007E-2</v>
      </c>
      <c r="O158" s="26">
        <v>8.5000000000000006E-2</v>
      </c>
      <c r="P158" s="26">
        <v>0.105</v>
      </c>
      <c r="Q158" s="26">
        <v>0.113</v>
      </c>
      <c r="R158" s="25">
        <v>822509</v>
      </c>
      <c r="S158" s="24">
        <v>2.31</v>
      </c>
      <c r="T158" s="25">
        <v>305357</v>
      </c>
      <c r="U158" s="25">
        <v>132398</v>
      </c>
      <c r="V158" s="24">
        <v>2.02</v>
      </c>
      <c r="W158" s="25">
        <v>295655</v>
      </c>
      <c r="X158" s="25">
        <v>146381</v>
      </c>
      <c r="Y158" s="24">
        <v>3.12</v>
      </c>
      <c r="Z158" s="25">
        <v>272782</v>
      </c>
      <c r="AA158" s="25">
        <v>87563</v>
      </c>
      <c r="AB158" s="24">
        <v>4.07</v>
      </c>
      <c r="AC158" s="25">
        <v>272819</v>
      </c>
      <c r="AD158" s="25">
        <v>67049</v>
      </c>
      <c r="AE158" s="38">
        <v>3.01</v>
      </c>
      <c r="AF158" s="36">
        <v>515588</v>
      </c>
      <c r="AG158" s="36">
        <v>171346</v>
      </c>
      <c r="AH158" s="27"/>
    </row>
    <row r="159" spans="1:34" ht="10.5" customHeight="1" x14ac:dyDescent="0.15">
      <c r="A159" s="22" t="s">
        <v>193</v>
      </c>
      <c r="B159" s="44">
        <v>5</v>
      </c>
      <c r="C159" s="44">
        <f>_xlfn.XLOOKUP(Tabelle1[[#This Row],[Spalte1]],[1]KeyMetrics2021!$A:$A,[1]KeyMetrics2021!$B:$B,"Nicht vorhanden")</f>
        <v>5</v>
      </c>
      <c r="D159" s="45">
        <v>1616</v>
      </c>
      <c r="E159" s="45">
        <v>12447</v>
      </c>
      <c r="F159" s="45">
        <v>12447</v>
      </c>
      <c r="G159" s="45">
        <v>12447</v>
      </c>
      <c r="H159" s="45">
        <v>20196</v>
      </c>
      <c r="I159" s="46">
        <v>0.61599999999999999</v>
      </c>
      <c r="J159" s="46">
        <v>0.61599999999999999</v>
      </c>
      <c r="K159" s="46">
        <v>0.61599999999999999</v>
      </c>
      <c r="L159" s="46">
        <v>0</v>
      </c>
      <c r="M159" s="65">
        <f>Tabelle1[[#This Row],[Spalte12]]-Tabelle1[[#This Row],[Spalte11]]</f>
        <v>7.0000000000000007E-2</v>
      </c>
      <c r="N159" s="46">
        <v>7.0000000000000007E-2</v>
      </c>
      <c r="O159" s="46">
        <v>8.5000000000000006E-2</v>
      </c>
      <c r="P159" s="46">
        <v>0.105</v>
      </c>
      <c r="Q159" s="46">
        <v>0.89200000000000002</v>
      </c>
      <c r="R159" s="45">
        <v>13957</v>
      </c>
      <c r="S159" s="39">
        <v>2</v>
      </c>
      <c r="T159" s="45">
        <v>1005</v>
      </c>
      <c r="U159" s="45">
        <v>502</v>
      </c>
      <c r="V159" s="39">
        <v>2.8</v>
      </c>
      <c r="W159" s="45">
        <v>1854</v>
      </c>
      <c r="X159" s="45">
        <v>661</v>
      </c>
      <c r="Y159" s="39">
        <v>4.84</v>
      </c>
      <c r="Z159" s="45">
        <v>2911</v>
      </c>
      <c r="AA159" s="45">
        <v>602</v>
      </c>
      <c r="AB159" s="39">
        <v>8.9</v>
      </c>
      <c r="AC159" s="45">
        <v>4724</v>
      </c>
      <c r="AD159" s="45">
        <v>531</v>
      </c>
      <c r="AE159" s="38">
        <v>4.96</v>
      </c>
      <c r="AF159" s="47">
        <v>12577</v>
      </c>
      <c r="AG159" s="47">
        <v>2534</v>
      </c>
      <c r="AH159" s="27"/>
    </row>
    <row r="160" spans="1:34" ht="10.5" customHeight="1" x14ac:dyDescent="0.15">
      <c r="A160" s="23" t="s">
        <v>90</v>
      </c>
      <c r="B160" s="48">
        <v>5</v>
      </c>
      <c r="C160" s="48">
        <f>_xlfn.XLOOKUP(Tabelle1[[#This Row],[Spalte1]],[1]KeyMetrics2021!$A:$A,[1]KeyMetrics2021!$B:$B,"Nicht vorhanden")</f>
        <v>5</v>
      </c>
      <c r="D160" s="25">
        <v>13228</v>
      </c>
      <c r="E160" s="25">
        <v>30995</v>
      </c>
      <c r="F160" s="25">
        <v>30995</v>
      </c>
      <c r="G160" s="25">
        <v>30995</v>
      </c>
      <c r="H160" s="25">
        <v>165355</v>
      </c>
      <c r="I160" s="26">
        <v>0.187</v>
      </c>
      <c r="J160" s="26">
        <v>0.187</v>
      </c>
      <c r="K160" s="26">
        <v>0.187</v>
      </c>
      <c r="L160" s="26">
        <v>4.0000000000000001E-3</v>
      </c>
      <c r="M160" s="66">
        <f>Tabelle1[[#This Row],[Spalte12]]-Tabelle1[[#This Row],[Spalte11]]</f>
        <v>6.9999999999999993E-2</v>
      </c>
      <c r="N160" s="26">
        <v>7.3999999999999996E-2</v>
      </c>
      <c r="O160" s="26">
        <v>8.8999999999999996E-2</v>
      </c>
      <c r="P160" s="26">
        <v>0.109</v>
      </c>
      <c r="Q160" s="26">
        <v>0.13200000000000001</v>
      </c>
      <c r="R160" s="25">
        <v>234007</v>
      </c>
      <c r="S160" s="24">
        <v>3.37</v>
      </c>
      <c r="T160" s="25">
        <v>37241</v>
      </c>
      <c r="U160" s="25">
        <v>11055</v>
      </c>
      <c r="V160" s="24">
        <v>2.5299999999999998</v>
      </c>
      <c r="W160" s="25">
        <v>35914</v>
      </c>
      <c r="X160" s="25">
        <v>14205</v>
      </c>
      <c r="Y160" s="24">
        <v>5.6</v>
      </c>
      <c r="Z160" s="25">
        <v>84885</v>
      </c>
      <c r="AA160" s="25">
        <v>15156</v>
      </c>
      <c r="AB160" s="24">
        <v>3.86</v>
      </c>
      <c r="AC160" s="25">
        <v>78068</v>
      </c>
      <c r="AD160" s="25">
        <v>20250</v>
      </c>
      <c r="AE160" s="38">
        <v>1.62</v>
      </c>
      <c r="AF160" s="36">
        <v>145578</v>
      </c>
      <c r="AG160" s="36">
        <v>90047</v>
      </c>
      <c r="AH160" s="27"/>
    </row>
    <row r="161" spans="1:34" ht="10.5" customHeight="1" x14ac:dyDescent="0.15">
      <c r="A161" s="22" t="s">
        <v>17</v>
      </c>
      <c r="B161" s="44">
        <v>3</v>
      </c>
      <c r="C161" s="44">
        <f>_xlfn.XLOOKUP(Tabelle1[[#This Row],[Spalte1]],[1]KeyMetrics2021!$A:$A,[1]KeyMetrics2021!$B:$B,"Nicht vorhanden")</f>
        <v>3</v>
      </c>
      <c r="D161" s="45">
        <v>1099418</v>
      </c>
      <c r="E161" s="45">
        <v>2540721</v>
      </c>
      <c r="F161" s="45">
        <v>2488665</v>
      </c>
      <c r="G161" s="45">
        <v>2488665</v>
      </c>
      <c r="H161" s="45">
        <v>13742722</v>
      </c>
      <c r="I161" s="46">
        <v>0.18099999999999999</v>
      </c>
      <c r="J161" s="46">
        <v>0.18099999999999999</v>
      </c>
      <c r="K161" s="46">
        <v>0.185</v>
      </c>
      <c r="L161" s="46">
        <v>1.2999999999999999E-2</v>
      </c>
      <c r="M161" s="65">
        <f>Tabelle1[[#This Row],[Spalte12]]-Tabelle1[[#This Row],[Spalte11]]</f>
        <v>7.8E-2</v>
      </c>
      <c r="N161" s="46">
        <v>9.0999999999999998E-2</v>
      </c>
      <c r="O161" s="46">
        <v>0.109</v>
      </c>
      <c r="P161" s="46">
        <v>0.13300000000000001</v>
      </c>
      <c r="Q161" s="46">
        <v>7.2999999999999995E-2</v>
      </c>
      <c r="R161" s="45">
        <v>34075582</v>
      </c>
      <c r="S161" s="39">
        <v>1.38</v>
      </c>
      <c r="T161" s="45">
        <v>6500582</v>
      </c>
      <c r="U161" s="45">
        <v>4696722</v>
      </c>
      <c r="V161" s="39">
        <v>1.51</v>
      </c>
      <c r="W161" s="45">
        <v>6675837</v>
      </c>
      <c r="X161" s="45">
        <v>4417146</v>
      </c>
      <c r="Y161" s="39">
        <v>1.31</v>
      </c>
      <c r="Z161" s="45">
        <v>6158120</v>
      </c>
      <c r="AA161" s="45">
        <v>4716365</v>
      </c>
      <c r="AB161" s="39">
        <v>1.37</v>
      </c>
      <c r="AC161" s="45">
        <v>6168829</v>
      </c>
      <c r="AD161" s="45">
        <v>4513024</v>
      </c>
      <c r="AE161" s="38">
        <v>1.36</v>
      </c>
      <c r="AF161" s="47">
        <v>25481039</v>
      </c>
      <c r="AG161" s="47">
        <v>18667681</v>
      </c>
      <c r="AH161" s="27"/>
    </row>
    <row r="162" spans="1:34" ht="10.5" customHeight="1" x14ac:dyDescent="0.15">
      <c r="A162" s="23" t="s">
        <v>214</v>
      </c>
      <c r="B162" s="48">
        <v>5</v>
      </c>
      <c r="C162" s="48" t="str">
        <f>_xlfn.XLOOKUP(Tabelle1[[#This Row],[Spalte1]],[1]KeyMetrics2021!$A:$A,[1]KeyMetrics2021!$B:$B,"Nicht vorhanden")</f>
        <v>Nicht vorhanden</v>
      </c>
      <c r="D162" s="25">
        <v>45396</v>
      </c>
      <c r="E162" s="25">
        <v>503195</v>
      </c>
      <c r="F162" s="25">
        <v>503195</v>
      </c>
      <c r="G162" s="25">
        <v>503195</v>
      </c>
      <c r="H162" s="25">
        <v>567449</v>
      </c>
      <c r="I162" s="26">
        <v>0.88700000000000001</v>
      </c>
      <c r="J162" s="26">
        <v>0.88700000000000001</v>
      </c>
      <c r="K162" s="26">
        <v>0.88700000000000001</v>
      </c>
      <c r="L162" s="26">
        <v>0</v>
      </c>
      <c r="M162" s="66">
        <f>Tabelle1[[#This Row],[Spalte12]]-Tabelle1[[#This Row],[Spalte11]]</f>
        <v>7.0000000000000007E-2</v>
      </c>
      <c r="N162" s="26">
        <v>7.0000000000000007E-2</v>
      </c>
      <c r="O162" s="26">
        <v>8.5000000000000006E-2</v>
      </c>
      <c r="P162" s="26">
        <v>0.105</v>
      </c>
      <c r="Q162" s="26">
        <v>0.65800000000000003</v>
      </c>
      <c r="R162" s="25">
        <v>764511</v>
      </c>
      <c r="S162" s="24">
        <v>1.98</v>
      </c>
      <c r="T162" s="25">
        <v>940075</v>
      </c>
      <c r="U162" s="25">
        <v>474002</v>
      </c>
      <c r="V162" s="24">
        <v>2.15</v>
      </c>
      <c r="W162" s="25">
        <v>1726151</v>
      </c>
      <c r="X162" s="25">
        <v>801130</v>
      </c>
      <c r="Y162" s="24">
        <v>2.09</v>
      </c>
      <c r="Z162" s="25">
        <v>710824</v>
      </c>
      <c r="AA162" s="25">
        <v>339812</v>
      </c>
      <c r="AB162" s="24">
        <v>2.86</v>
      </c>
      <c r="AC162" s="25">
        <v>542050</v>
      </c>
      <c r="AD162" s="25">
        <v>189666</v>
      </c>
      <c r="AE162" s="38">
        <v>2.52</v>
      </c>
      <c r="AF162" s="36">
        <v>699662</v>
      </c>
      <c r="AG162" s="36">
        <v>277494</v>
      </c>
      <c r="AH162" s="27"/>
    </row>
    <row r="163" spans="1:34" ht="10.5" customHeight="1" x14ac:dyDescent="0.15">
      <c r="A163" s="22" t="s">
        <v>77</v>
      </c>
      <c r="B163" s="44">
        <v>3</v>
      </c>
      <c r="C163" s="44">
        <f>_xlfn.XLOOKUP(Tabelle1[[#This Row],[Spalte1]],[1]KeyMetrics2021!$A:$A,[1]KeyMetrics2021!$B:$B,"Nicht vorhanden")</f>
        <v>3</v>
      </c>
      <c r="D163" s="45">
        <v>660404</v>
      </c>
      <c r="E163" s="45">
        <v>2206278</v>
      </c>
      <c r="F163" s="45">
        <v>2202278</v>
      </c>
      <c r="G163" s="45">
        <v>2202278</v>
      </c>
      <c r="H163" s="45">
        <v>8255048</v>
      </c>
      <c r="I163" s="46">
        <v>0.26700000000000002</v>
      </c>
      <c r="J163" s="46">
        <v>0.26700000000000002</v>
      </c>
      <c r="K163" s="46">
        <v>0.26700000000000002</v>
      </c>
      <c r="L163" s="46">
        <v>0</v>
      </c>
      <c r="M163" s="65">
        <f>Tabelle1[[#This Row],[Spalte12]]-Tabelle1[[#This Row],[Spalte11]]</f>
        <v>7.8E-2</v>
      </c>
      <c r="N163" s="46">
        <v>7.8E-2</v>
      </c>
      <c r="O163" s="46">
        <v>9.6000000000000002E-2</v>
      </c>
      <c r="P163" s="46">
        <v>0.12</v>
      </c>
      <c r="Q163" s="46">
        <v>5.6000000000000001E-2</v>
      </c>
      <c r="R163" s="45">
        <v>39614690</v>
      </c>
      <c r="S163" s="39">
        <v>2.4</v>
      </c>
      <c r="T163" s="45">
        <v>11420655</v>
      </c>
      <c r="U163" s="45">
        <v>4749180</v>
      </c>
      <c r="V163" s="39">
        <v>2.52</v>
      </c>
      <c r="W163" s="45">
        <v>11496571</v>
      </c>
      <c r="X163" s="45">
        <v>4566193</v>
      </c>
      <c r="Y163" s="39">
        <v>2.66</v>
      </c>
      <c r="Z163" s="45">
        <v>11236957</v>
      </c>
      <c r="AA163" s="45">
        <v>4219815</v>
      </c>
      <c r="AB163" s="39">
        <v>3.35</v>
      </c>
      <c r="AC163" s="45">
        <v>13273443</v>
      </c>
      <c r="AD163" s="45">
        <v>3957807</v>
      </c>
      <c r="AE163" s="38">
        <v>1.94</v>
      </c>
      <c r="AF163" s="47">
        <v>22249071</v>
      </c>
      <c r="AG163" s="47">
        <v>11454921</v>
      </c>
      <c r="AH163" s="27"/>
    </row>
    <row r="164" spans="1:34" ht="10.5" customHeight="1" x14ac:dyDescent="0.15">
      <c r="A164" s="23" t="s">
        <v>7</v>
      </c>
      <c r="B164" s="48">
        <v>4</v>
      </c>
      <c r="C164" s="48">
        <f>_xlfn.XLOOKUP(Tabelle1[[#This Row],[Spalte1]],[1]KeyMetrics2021!$A:$A,[1]KeyMetrics2021!$B:$B,"Nicht vorhanden")</f>
        <v>4</v>
      </c>
      <c r="D164" s="25">
        <v>135556</v>
      </c>
      <c r="E164" s="25">
        <v>336096</v>
      </c>
      <c r="F164" s="25">
        <v>328197</v>
      </c>
      <c r="G164" s="25">
        <v>328197</v>
      </c>
      <c r="H164" s="25">
        <v>1694456</v>
      </c>
      <c r="I164" s="26">
        <v>0.19400000000000001</v>
      </c>
      <c r="J164" s="26">
        <v>0.19400000000000001</v>
      </c>
      <c r="K164" s="26">
        <v>0.19800000000000001</v>
      </c>
      <c r="L164" s="26">
        <v>1.2E-2</v>
      </c>
      <c r="M164" s="66">
        <f>Tabelle1[[#This Row],[Spalte12]]-Tabelle1[[#This Row],[Spalte11]]</f>
        <v>7.3999999999999996E-2</v>
      </c>
      <c r="N164" s="26">
        <v>8.5999999999999993E-2</v>
      </c>
      <c r="O164" s="26">
        <v>0.10199999999999999</v>
      </c>
      <c r="P164" s="26">
        <v>0.124</v>
      </c>
      <c r="Q164" s="26">
        <v>8.7999999999999995E-2</v>
      </c>
      <c r="R164" s="25">
        <v>3715275</v>
      </c>
      <c r="S164" s="24">
        <v>1.52</v>
      </c>
      <c r="T164" s="25">
        <v>585177</v>
      </c>
      <c r="U164" s="25">
        <v>384583</v>
      </c>
      <c r="V164" s="24">
        <v>1.6</v>
      </c>
      <c r="W164" s="25">
        <v>548617</v>
      </c>
      <c r="X164" s="25">
        <v>343641</v>
      </c>
      <c r="Y164" s="24">
        <v>1.36</v>
      </c>
      <c r="Z164" s="25">
        <v>448445</v>
      </c>
      <c r="AA164" s="25">
        <v>330619</v>
      </c>
      <c r="AB164" s="24">
        <v>1.51</v>
      </c>
      <c r="AC164" s="25">
        <v>513476</v>
      </c>
      <c r="AD164" s="25">
        <v>339498</v>
      </c>
      <c r="AE164" s="38">
        <v>1.26</v>
      </c>
      <c r="AF164" s="36">
        <v>3039798</v>
      </c>
      <c r="AG164" s="36">
        <v>2421925</v>
      </c>
      <c r="AH164" s="27"/>
    </row>
    <row r="165" spans="1:34" ht="10.5" customHeight="1" x14ac:dyDescent="0.15">
      <c r="A165" s="22" t="s">
        <v>2</v>
      </c>
      <c r="B165" s="44">
        <v>3</v>
      </c>
      <c r="C165" s="44">
        <f>_xlfn.XLOOKUP(Tabelle1[[#This Row],[Spalte1]],[1]KeyMetrics2021!$A:$A,[1]KeyMetrics2021!$B:$B,"Nicht vorhanden")</f>
        <v>3</v>
      </c>
      <c r="D165" s="45">
        <v>1191468</v>
      </c>
      <c r="E165" s="45">
        <v>2384894</v>
      </c>
      <c r="F165" s="45">
        <v>2383014</v>
      </c>
      <c r="G165" s="45">
        <v>2383014</v>
      </c>
      <c r="H165" s="45">
        <v>14893355</v>
      </c>
      <c r="I165" s="46">
        <v>0.16</v>
      </c>
      <c r="J165" s="46">
        <v>0.16</v>
      </c>
      <c r="K165" s="46">
        <v>0.16</v>
      </c>
      <c r="L165" s="46">
        <v>1.4999999999999999E-2</v>
      </c>
      <c r="M165" s="65">
        <f>Tabelle1[[#This Row],[Spalte12]]-Tabelle1[[#This Row],[Spalte11]]</f>
        <v>7.8E-2</v>
      </c>
      <c r="N165" s="46">
        <v>9.2999999999999999E-2</v>
      </c>
      <c r="O165" s="46">
        <v>0.111</v>
      </c>
      <c r="P165" s="46">
        <v>0.13500000000000001</v>
      </c>
      <c r="Q165" s="46">
        <v>6.6000000000000003E-2</v>
      </c>
      <c r="R165" s="45">
        <v>36184560</v>
      </c>
      <c r="S165" s="39">
        <v>1.52</v>
      </c>
      <c r="T165" s="45">
        <v>7713206</v>
      </c>
      <c r="U165" s="45">
        <v>5090309</v>
      </c>
      <c r="V165" s="39">
        <v>1.44</v>
      </c>
      <c r="W165" s="45">
        <v>7654379</v>
      </c>
      <c r="X165" s="45">
        <v>5327935</v>
      </c>
      <c r="Y165" s="39">
        <v>1.27</v>
      </c>
      <c r="Z165" s="45">
        <v>6664431</v>
      </c>
      <c r="AA165" s="45">
        <v>5249529</v>
      </c>
      <c r="AB165" s="39">
        <v>1.24</v>
      </c>
      <c r="AC165" s="45">
        <v>6304240</v>
      </c>
      <c r="AD165" s="45">
        <v>5102878</v>
      </c>
      <c r="AE165" s="38">
        <v>1.1499999999999999</v>
      </c>
      <c r="AF165" s="47">
        <v>28147899</v>
      </c>
      <c r="AG165" s="47">
        <v>24449808</v>
      </c>
      <c r="AH165" s="27"/>
    </row>
    <row r="166" spans="1:34" ht="10.5" customHeight="1" x14ac:dyDescent="0.15">
      <c r="A166" s="23" t="s">
        <v>94</v>
      </c>
      <c r="B166" s="48">
        <v>3</v>
      </c>
      <c r="C166" s="48">
        <f>_xlfn.XLOOKUP(Tabelle1[[#This Row],[Spalte1]],[1]KeyMetrics2021!$A:$A,[1]KeyMetrics2021!$B:$B,"Nicht vorhanden")</f>
        <v>3</v>
      </c>
      <c r="D166" s="25">
        <v>1203629</v>
      </c>
      <c r="E166" s="25">
        <v>2377563</v>
      </c>
      <c r="F166" s="25">
        <v>2375683</v>
      </c>
      <c r="G166" s="25">
        <v>2375683</v>
      </c>
      <c r="H166" s="25">
        <v>15045365</v>
      </c>
      <c r="I166" s="26">
        <v>0.158</v>
      </c>
      <c r="J166" s="26">
        <v>0.158</v>
      </c>
      <c r="K166" s="26">
        <v>0.158</v>
      </c>
      <c r="L166" s="26">
        <v>1.4999999999999999E-2</v>
      </c>
      <c r="M166" s="66">
        <f>Tabelle1[[#This Row],[Spalte12]]-Tabelle1[[#This Row],[Spalte11]]</f>
        <v>7.8E-2</v>
      </c>
      <c r="N166" s="26">
        <v>9.2999999999999999E-2</v>
      </c>
      <c r="O166" s="26">
        <v>0.111</v>
      </c>
      <c r="P166" s="26">
        <v>0.13500000000000001</v>
      </c>
      <c r="Q166" s="26">
        <v>6.3E-2</v>
      </c>
      <c r="R166" s="25">
        <v>37837324</v>
      </c>
      <c r="S166" s="49" t="s">
        <v>220</v>
      </c>
      <c r="T166" s="50" t="s">
        <v>220</v>
      </c>
      <c r="U166" s="50" t="s">
        <v>220</v>
      </c>
      <c r="V166" s="49" t="s">
        <v>220</v>
      </c>
      <c r="W166" s="50" t="s">
        <v>220</v>
      </c>
      <c r="X166" s="50" t="s">
        <v>220</v>
      </c>
      <c r="Y166" s="49" t="s">
        <v>220</v>
      </c>
      <c r="Z166" s="50" t="s">
        <v>220</v>
      </c>
      <c r="AA166" s="50" t="s">
        <v>220</v>
      </c>
      <c r="AB166" s="49" t="s">
        <v>220</v>
      </c>
      <c r="AC166" s="50" t="s">
        <v>220</v>
      </c>
      <c r="AD166" s="50" t="s">
        <v>220</v>
      </c>
      <c r="AE166" s="51" t="s">
        <v>220</v>
      </c>
      <c r="AF166" s="52" t="s">
        <v>220</v>
      </c>
      <c r="AG166" s="52" t="s">
        <v>220</v>
      </c>
      <c r="AH166" s="27"/>
    </row>
    <row r="167" spans="1:34" ht="10.5" customHeight="1" x14ac:dyDescent="0.15">
      <c r="A167" s="22" t="s">
        <v>93</v>
      </c>
      <c r="B167" s="44">
        <v>3</v>
      </c>
      <c r="C167" s="44">
        <f>_xlfn.XLOOKUP(Tabelle1[[#This Row],[Spalte1]],[1]KeyMetrics2021!$A:$A,[1]KeyMetrics2021!$B:$B,"Nicht vorhanden")</f>
        <v>3</v>
      </c>
      <c r="D167" s="45">
        <v>504325</v>
      </c>
      <c r="E167" s="45">
        <v>1502279</v>
      </c>
      <c r="F167" s="45">
        <v>1052691</v>
      </c>
      <c r="G167" s="45">
        <v>1502279</v>
      </c>
      <c r="H167" s="45">
        <v>6304060</v>
      </c>
      <c r="I167" s="46">
        <v>0.16700000000000001</v>
      </c>
      <c r="J167" s="46">
        <v>0.23799999999999999</v>
      </c>
      <c r="K167" s="46">
        <v>0.23799999999999999</v>
      </c>
      <c r="L167" s="46">
        <v>2E-3</v>
      </c>
      <c r="M167" s="65">
        <f>Tabelle1[[#This Row],[Spalte12]]-Tabelle1[[#This Row],[Spalte11]]</f>
        <v>7.8E-2</v>
      </c>
      <c r="N167" s="46">
        <v>0.08</v>
      </c>
      <c r="O167" s="46">
        <v>9.8000000000000004E-2</v>
      </c>
      <c r="P167" s="46">
        <v>0.122</v>
      </c>
      <c r="Q167" s="46">
        <v>0.05</v>
      </c>
      <c r="R167" s="45">
        <v>30025805</v>
      </c>
      <c r="S167" s="39">
        <v>1.69</v>
      </c>
      <c r="T167" s="45">
        <v>11180044</v>
      </c>
      <c r="U167" s="45">
        <v>6595935</v>
      </c>
      <c r="V167" s="39">
        <v>1.7</v>
      </c>
      <c r="W167" s="45">
        <v>12339764</v>
      </c>
      <c r="X167" s="45">
        <v>7237597</v>
      </c>
      <c r="Y167" s="39">
        <v>1.71</v>
      </c>
      <c r="Z167" s="45">
        <v>11777414</v>
      </c>
      <c r="AA167" s="45">
        <v>6868191</v>
      </c>
      <c r="AB167" s="39">
        <v>1.64</v>
      </c>
      <c r="AC167" s="45">
        <v>10180394</v>
      </c>
      <c r="AD167" s="45">
        <v>6202652</v>
      </c>
      <c r="AE167" s="38">
        <v>1.21</v>
      </c>
      <c r="AF167" s="47">
        <v>15009139</v>
      </c>
      <c r="AG167" s="47">
        <v>12390046</v>
      </c>
      <c r="AH167" s="27"/>
    </row>
    <row r="168" spans="1:34" ht="10.5" customHeight="1" x14ac:dyDescent="0.15">
      <c r="A168" s="23" t="s">
        <v>39</v>
      </c>
      <c r="B168" s="48">
        <v>4</v>
      </c>
      <c r="C168" s="48">
        <f>_xlfn.XLOOKUP(Tabelle1[[#This Row],[Spalte1]],[1]KeyMetrics2021!$A:$A,[1]KeyMetrics2021!$B:$B,"Nicht vorhanden")</f>
        <v>4</v>
      </c>
      <c r="D168" s="25">
        <v>39734</v>
      </c>
      <c r="E168" s="25">
        <v>115586</v>
      </c>
      <c r="F168" s="25">
        <v>115586</v>
      </c>
      <c r="G168" s="25">
        <v>115586</v>
      </c>
      <c r="H168" s="25">
        <v>496673</v>
      </c>
      <c r="I168" s="26">
        <v>0.23300000000000001</v>
      </c>
      <c r="J168" s="26">
        <v>0.23300000000000001</v>
      </c>
      <c r="K168" s="26">
        <v>0.23300000000000001</v>
      </c>
      <c r="L168" s="26">
        <v>0</v>
      </c>
      <c r="M168" s="66">
        <f>Tabelle1[[#This Row],[Spalte12]]-Tabelle1[[#This Row],[Spalte11]]</f>
        <v>7.3999999999999996E-2</v>
      </c>
      <c r="N168" s="26">
        <v>7.3999999999999996E-2</v>
      </c>
      <c r="O168" s="26">
        <v>0.09</v>
      </c>
      <c r="P168" s="26">
        <v>0.112</v>
      </c>
      <c r="Q168" s="26">
        <v>0.06</v>
      </c>
      <c r="R168" s="25">
        <v>1911416</v>
      </c>
      <c r="S168" s="24">
        <v>1.43</v>
      </c>
      <c r="T168" s="25">
        <v>323765</v>
      </c>
      <c r="U168" s="25">
        <v>226335</v>
      </c>
      <c r="V168" s="24">
        <v>1.47</v>
      </c>
      <c r="W168" s="25">
        <v>318466</v>
      </c>
      <c r="X168" s="25">
        <v>216925</v>
      </c>
      <c r="Y168" s="24">
        <v>1.58</v>
      </c>
      <c r="Z168" s="25">
        <v>308224</v>
      </c>
      <c r="AA168" s="25">
        <v>194794</v>
      </c>
      <c r="AB168" s="24">
        <v>2.0499999999999998</v>
      </c>
      <c r="AC168" s="25">
        <v>328913</v>
      </c>
      <c r="AD168" s="25">
        <v>160290</v>
      </c>
      <c r="AE168" s="38">
        <v>2.84</v>
      </c>
      <c r="AF168" s="36">
        <v>1248045</v>
      </c>
      <c r="AG168" s="36">
        <v>439770</v>
      </c>
      <c r="AH168" s="27"/>
    </row>
    <row r="169" spans="1:34" ht="10.5" customHeight="1" x14ac:dyDescent="0.15">
      <c r="A169" s="22" t="s">
        <v>113</v>
      </c>
      <c r="B169" s="44">
        <v>4</v>
      </c>
      <c r="C169" s="44">
        <f>_xlfn.XLOOKUP(Tabelle1[[#This Row],[Spalte1]],[1]KeyMetrics2021!$A:$A,[1]KeyMetrics2021!$B:$B,"Nicht vorhanden")</f>
        <v>4</v>
      </c>
      <c r="D169" s="45">
        <v>173696</v>
      </c>
      <c r="E169" s="45">
        <v>504749</v>
      </c>
      <c r="F169" s="45">
        <v>504749</v>
      </c>
      <c r="G169" s="45">
        <v>504749</v>
      </c>
      <c r="H169" s="45">
        <v>2171202</v>
      </c>
      <c r="I169" s="46">
        <v>0.23200000000000001</v>
      </c>
      <c r="J169" s="46">
        <v>0.23200000000000001</v>
      </c>
      <c r="K169" s="46">
        <v>0.23200000000000001</v>
      </c>
      <c r="L169" s="46">
        <v>1.4E-2</v>
      </c>
      <c r="M169" s="65">
        <f>Tabelle1[[#This Row],[Spalte12]]-Tabelle1[[#This Row],[Spalte11]]</f>
        <v>7.3999999999999996E-2</v>
      </c>
      <c r="N169" s="46">
        <v>8.7999999999999995E-2</v>
      </c>
      <c r="O169" s="46">
        <v>0.104</v>
      </c>
      <c r="P169" s="46">
        <v>0.126</v>
      </c>
      <c r="Q169" s="46">
        <v>8.7999999999999995E-2</v>
      </c>
      <c r="R169" s="45">
        <v>5717312</v>
      </c>
      <c r="S169" s="39">
        <v>1.81</v>
      </c>
      <c r="T169" s="45">
        <v>1655279</v>
      </c>
      <c r="U169" s="45">
        <v>916940</v>
      </c>
      <c r="V169" s="39">
        <v>1.85</v>
      </c>
      <c r="W169" s="45">
        <v>1622693</v>
      </c>
      <c r="X169" s="45">
        <v>879368</v>
      </c>
      <c r="Y169" s="39">
        <v>1.56</v>
      </c>
      <c r="Z169" s="45">
        <v>1172632</v>
      </c>
      <c r="AA169" s="45">
        <v>753493</v>
      </c>
      <c r="AB169" s="39">
        <v>1.68</v>
      </c>
      <c r="AC169" s="45">
        <v>1207748</v>
      </c>
      <c r="AD169" s="45">
        <v>720764</v>
      </c>
      <c r="AE169" s="38">
        <v>1.55</v>
      </c>
      <c r="AF169" s="47">
        <v>4521185</v>
      </c>
      <c r="AG169" s="47">
        <v>2918729</v>
      </c>
      <c r="AH169" s="27"/>
    </row>
    <row r="170" spans="1:34" ht="10.5" customHeight="1" x14ac:dyDescent="0.15">
      <c r="A170" s="23" t="s">
        <v>116</v>
      </c>
      <c r="B170" s="48">
        <v>4</v>
      </c>
      <c r="C170" s="48">
        <f>_xlfn.XLOOKUP(Tabelle1[[#This Row],[Spalte1]],[1]KeyMetrics2021!$A:$A,[1]KeyMetrics2021!$B:$B,"Nicht vorhanden")</f>
        <v>4</v>
      </c>
      <c r="D170" s="25">
        <v>218343</v>
      </c>
      <c r="E170" s="25">
        <v>614045</v>
      </c>
      <c r="F170" s="25">
        <v>614045</v>
      </c>
      <c r="G170" s="25">
        <v>614045</v>
      </c>
      <c r="H170" s="25">
        <v>2729289</v>
      </c>
      <c r="I170" s="26">
        <v>0.22500000000000001</v>
      </c>
      <c r="J170" s="26">
        <v>0.22500000000000001</v>
      </c>
      <c r="K170" s="26">
        <v>0.22500000000000001</v>
      </c>
      <c r="L170" s="26">
        <v>1.0999999999999999E-2</v>
      </c>
      <c r="M170" s="66">
        <f>Tabelle1[[#This Row],[Spalte12]]-Tabelle1[[#This Row],[Spalte11]]</f>
        <v>7.400000000000001E-2</v>
      </c>
      <c r="N170" s="26">
        <v>8.5000000000000006E-2</v>
      </c>
      <c r="O170" s="26">
        <v>0.10100000000000001</v>
      </c>
      <c r="P170" s="26">
        <v>0.123</v>
      </c>
      <c r="Q170" s="26">
        <v>0.104</v>
      </c>
      <c r="R170" s="25">
        <v>5901770</v>
      </c>
      <c r="S170" s="49" t="s">
        <v>220</v>
      </c>
      <c r="T170" s="50" t="s">
        <v>220</v>
      </c>
      <c r="U170" s="50" t="s">
        <v>220</v>
      </c>
      <c r="V170" s="49" t="s">
        <v>220</v>
      </c>
      <c r="W170" s="50" t="s">
        <v>220</v>
      </c>
      <c r="X170" s="50" t="s">
        <v>220</v>
      </c>
      <c r="Y170" s="49" t="s">
        <v>220</v>
      </c>
      <c r="Z170" s="50" t="s">
        <v>220</v>
      </c>
      <c r="AA170" s="50" t="s">
        <v>220</v>
      </c>
      <c r="AB170" s="49" t="s">
        <v>220</v>
      </c>
      <c r="AC170" s="50" t="s">
        <v>220</v>
      </c>
      <c r="AD170" s="50" t="s">
        <v>220</v>
      </c>
      <c r="AE170" s="51" t="s">
        <v>220</v>
      </c>
      <c r="AF170" s="52" t="s">
        <v>220</v>
      </c>
      <c r="AG170" s="52" t="s">
        <v>220</v>
      </c>
      <c r="AH170" s="27"/>
    </row>
    <row r="171" spans="1:34" ht="10.5" customHeight="1" x14ac:dyDescent="0.15">
      <c r="A171" s="22" t="s">
        <v>65</v>
      </c>
      <c r="B171" s="44">
        <v>4</v>
      </c>
      <c r="C171" s="44">
        <f>_xlfn.XLOOKUP(Tabelle1[[#This Row],[Spalte1]],[1]KeyMetrics2021!$A:$A,[1]KeyMetrics2021!$B:$B,"Nicht vorhanden")</f>
        <v>4</v>
      </c>
      <c r="D171" s="45">
        <v>280050</v>
      </c>
      <c r="E171" s="45">
        <v>564705</v>
      </c>
      <c r="F171" s="45">
        <v>547457</v>
      </c>
      <c r="G171" s="45">
        <v>547457</v>
      </c>
      <c r="H171" s="45">
        <v>3500624</v>
      </c>
      <c r="I171" s="46">
        <v>0.156</v>
      </c>
      <c r="J171" s="46">
        <v>0.156</v>
      </c>
      <c r="K171" s="46">
        <v>0.161</v>
      </c>
      <c r="L171" s="46">
        <v>0.01</v>
      </c>
      <c r="M171" s="65">
        <f>Tabelle1[[#This Row],[Spalte12]]-Tabelle1[[#This Row],[Spalte11]]</f>
        <v>7.400000000000001E-2</v>
      </c>
      <c r="N171" s="46">
        <v>8.4000000000000005E-2</v>
      </c>
      <c r="O171" s="46">
        <v>0.1</v>
      </c>
      <c r="P171" s="46">
        <v>0.122</v>
      </c>
      <c r="Q171" s="46">
        <v>0.09</v>
      </c>
      <c r="R171" s="45">
        <v>6105655</v>
      </c>
      <c r="S171" s="39">
        <v>1.91</v>
      </c>
      <c r="T171" s="45">
        <v>557037</v>
      </c>
      <c r="U171" s="45">
        <v>291841</v>
      </c>
      <c r="V171" s="39">
        <v>1.62</v>
      </c>
      <c r="W171" s="45">
        <v>484172</v>
      </c>
      <c r="X171" s="45">
        <v>299505</v>
      </c>
      <c r="Y171" s="39">
        <v>1.63</v>
      </c>
      <c r="Z171" s="45">
        <v>465711</v>
      </c>
      <c r="AA171" s="45">
        <v>286312</v>
      </c>
      <c r="AB171" s="39">
        <v>1.94</v>
      </c>
      <c r="AC171" s="45">
        <v>503120</v>
      </c>
      <c r="AD171" s="45">
        <v>259609</v>
      </c>
      <c r="AE171" s="38">
        <v>1.19</v>
      </c>
      <c r="AF171" s="47">
        <v>4474141</v>
      </c>
      <c r="AG171" s="47">
        <v>3760361</v>
      </c>
      <c r="AH171" s="27"/>
    </row>
    <row r="172" spans="1:34" ht="10.5" customHeight="1" x14ac:dyDescent="0.15">
      <c r="A172" s="23" t="s">
        <v>29</v>
      </c>
      <c r="B172" s="48">
        <v>3</v>
      </c>
      <c r="C172" s="48">
        <f>_xlfn.XLOOKUP(Tabelle1[[#This Row],[Spalte1]],[1]KeyMetrics2021!$A:$A,[1]KeyMetrics2021!$B:$B,"Nicht vorhanden")</f>
        <v>3</v>
      </c>
      <c r="D172" s="25">
        <v>613574</v>
      </c>
      <c r="E172" s="25">
        <v>1367032</v>
      </c>
      <c r="F172" s="25">
        <v>1312592</v>
      </c>
      <c r="G172" s="25">
        <v>1312592</v>
      </c>
      <c r="H172" s="25">
        <v>7669680</v>
      </c>
      <c r="I172" s="26">
        <v>0.17100000000000001</v>
      </c>
      <c r="J172" s="26">
        <v>0.17100000000000001</v>
      </c>
      <c r="K172" s="26">
        <v>0.17799999999999999</v>
      </c>
      <c r="L172" s="26">
        <v>1.4E-2</v>
      </c>
      <c r="M172" s="66">
        <f>Tabelle1[[#This Row],[Spalte12]]-Tabelle1[[#This Row],[Spalte11]]</f>
        <v>7.8E-2</v>
      </c>
      <c r="N172" s="26">
        <v>9.1999999999999998E-2</v>
      </c>
      <c r="O172" s="26">
        <v>0.11</v>
      </c>
      <c r="P172" s="26">
        <v>0.13400000000000001</v>
      </c>
      <c r="Q172" s="26">
        <v>6.9000000000000006E-2</v>
      </c>
      <c r="R172" s="25">
        <v>19021110</v>
      </c>
      <c r="S172" s="24">
        <v>1.44</v>
      </c>
      <c r="T172" s="25">
        <v>3374874</v>
      </c>
      <c r="U172" s="25">
        <v>2351206</v>
      </c>
      <c r="V172" s="24">
        <v>1.44</v>
      </c>
      <c r="W172" s="25">
        <v>3488248</v>
      </c>
      <c r="X172" s="25">
        <v>2427827</v>
      </c>
      <c r="Y172" s="24">
        <v>1.32</v>
      </c>
      <c r="Z172" s="25">
        <v>3433561</v>
      </c>
      <c r="AA172" s="25">
        <v>2597178</v>
      </c>
      <c r="AB172" s="24">
        <v>1.52</v>
      </c>
      <c r="AC172" s="25">
        <v>3741769</v>
      </c>
      <c r="AD172" s="25">
        <v>2467199</v>
      </c>
      <c r="AE172" s="38">
        <v>1.48</v>
      </c>
      <c r="AF172" s="36">
        <v>15498099</v>
      </c>
      <c r="AG172" s="36">
        <v>10459144</v>
      </c>
      <c r="AH172" s="27"/>
    </row>
    <row r="173" spans="1:34" ht="10.5" customHeight="1" x14ac:dyDescent="0.15">
      <c r="A173" s="23" t="s">
        <v>30</v>
      </c>
      <c r="B173" s="48">
        <v>5</v>
      </c>
      <c r="C173" s="48">
        <f>_xlfn.XLOOKUP(Tabelle1[[#This Row],[Spalte1]],[1]KeyMetrics2021!$A:$A,[1]KeyMetrics2021!$B:$B,"Nicht vorhanden")</f>
        <v>5</v>
      </c>
      <c r="D173" s="25">
        <v>34960</v>
      </c>
      <c r="E173" s="25">
        <v>73354</v>
      </c>
      <c r="F173" s="25">
        <v>68895</v>
      </c>
      <c r="G173" s="25">
        <v>68895</v>
      </c>
      <c r="H173" s="25">
        <v>437004</v>
      </c>
      <c r="I173" s="26">
        <v>0.158</v>
      </c>
      <c r="J173" s="26">
        <v>0.158</v>
      </c>
      <c r="K173" s="26">
        <v>0.16800000000000001</v>
      </c>
      <c r="L173" s="26">
        <v>1.4999999999999999E-2</v>
      </c>
      <c r="M173" s="66">
        <f>Tabelle1[[#This Row],[Spalte12]]-Tabelle1[[#This Row],[Spalte11]]</f>
        <v>7.0000000000000007E-2</v>
      </c>
      <c r="N173" s="26">
        <v>8.5000000000000006E-2</v>
      </c>
      <c r="O173" s="26">
        <v>0.1</v>
      </c>
      <c r="P173" s="26">
        <v>0.12</v>
      </c>
      <c r="Q173" s="26">
        <v>6.7000000000000004E-2</v>
      </c>
      <c r="R173" s="25">
        <v>1029056</v>
      </c>
      <c r="S173" s="24">
        <v>2.29</v>
      </c>
      <c r="T173" s="25">
        <v>126409</v>
      </c>
      <c r="U173" s="25">
        <v>55284</v>
      </c>
      <c r="V173" s="24">
        <v>2.29</v>
      </c>
      <c r="W173" s="25">
        <v>137159</v>
      </c>
      <c r="X173" s="25">
        <v>59914</v>
      </c>
      <c r="Y173" s="24">
        <v>2.2200000000000002</v>
      </c>
      <c r="Z173" s="25">
        <v>134358</v>
      </c>
      <c r="AA173" s="25">
        <v>60494</v>
      </c>
      <c r="AB173" s="24">
        <v>1.74</v>
      </c>
      <c r="AC173" s="25">
        <v>109703</v>
      </c>
      <c r="AD173" s="25">
        <v>62893</v>
      </c>
      <c r="AE173" s="38">
        <v>1.39</v>
      </c>
      <c r="AF173" s="36">
        <v>920926</v>
      </c>
      <c r="AG173" s="36">
        <v>660828</v>
      </c>
      <c r="AH173" s="27"/>
    </row>
    <row r="174" spans="1:34" s="31" customFormat="1" ht="12.75" customHeight="1" x14ac:dyDescent="0.15">
      <c r="A174" s="40"/>
      <c r="B174" s="40"/>
      <c r="C174" s="40"/>
      <c r="D174" s="35"/>
      <c r="E174" s="35"/>
      <c r="F174" s="35"/>
      <c r="G174" s="35"/>
      <c r="H174" s="35"/>
      <c r="I174" s="41"/>
      <c r="J174" s="41"/>
      <c r="K174" s="41"/>
      <c r="L174" s="41"/>
      <c r="M174" s="68"/>
      <c r="N174" s="41"/>
      <c r="O174" s="41"/>
      <c r="P174" s="41"/>
      <c r="Q174" s="41"/>
      <c r="R174" s="35"/>
      <c r="S174" s="42"/>
      <c r="T174" s="43"/>
      <c r="U174" s="43"/>
      <c r="V174" s="42"/>
      <c r="W174" s="43"/>
      <c r="X174" s="43"/>
      <c r="Y174" s="42"/>
      <c r="Z174" s="43"/>
      <c r="AA174" s="43"/>
      <c r="AB174" s="42"/>
      <c r="AC174" s="43"/>
      <c r="AD174" s="43"/>
      <c r="AE174" s="37"/>
      <c r="AF174" s="36"/>
      <c r="AG174" s="36"/>
    </row>
    <row r="175" spans="1:34" s="34" customFormat="1" ht="12.75" customHeight="1" x14ac:dyDescent="0.15">
      <c r="A175" s="29" t="s">
        <v>215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1"/>
      <c r="M175" s="69"/>
      <c r="N175" s="31"/>
      <c r="O175" s="31"/>
      <c r="P175" s="31"/>
      <c r="Q175" s="31"/>
      <c r="R175" s="32"/>
      <c r="S175" s="33"/>
      <c r="T175" s="32"/>
      <c r="U175" s="32"/>
      <c r="V175" s="33"/>
      <c r="W175" s="32"/>
      <c r="X175" s="32"/>
      <c r="Y175" s="33"/>
      <c r="Z175" s="32"/>
      <c r="AA175" s="32"/>
      <c r="AB175" s="33"/>
      <c r="AC175" s="32"/>
      <c r="AD175" s="32"/>
      <c r="AE175" s="32"/>
      <c r="AF175" s="32"/>
      <c r="AG175" s="32"/>
    </row>
    <row r="176" spans="1:34" ht="13" x14ac:dyDescent="0.15">
      <c r="A176" s="30" t="s">
        <v>222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28"/>
      <c r="M176" s="70"/>
      <c r="N176" s="30"/>
      <c r="O176" s="30"/>
      <c r="P176" s="30"/>
      <c r="Q176" s="31"/>
      <c r="R176" s="32"/>
      <c r="S176" s="33"/>
      <c r="T176" s="32"/>
      <c r="U176" s="32"/>
      <c r="V176" s="33"/>
      <c r="W176" s="32"/>
      <c r="X176" s="32"/>
      <c r="Y176" s="33"/>
      <c r="Z176" s="32"/>
      <c r="AA176" s="32"/>
      <c r="AB176" s="33"/>
      <c r="AC176" s="32"/>
      <c r="AD176" s="32"/>
      <c r="AE176" s="32"/>
      <c r="AF176" s="32"/>
    </row>
    <row r="177" spans="1:32" ht="13" x14ac:dyDescent="0.15">
      <c r="A177" s="30" t="s">
        <v>228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28"/>
      <c r="M177" s="70"/>
      <c r="N177" s="30"/>
      <c r="O177" s="30"/>
      <c r="P177" s="30"/>
      <c r="Q177" s="31"/>
      <c r="R177" s="32"/>
      <c r="S177" s="33"/>
      <c r="T177" s="32"/>
      <c r="U177" s="32"/>
      <c r="V177" s="33"/>
      <c r="W177" s="32"/>
      <c r="X177" s="32"/>
      <c r="Y177" s="33"/>
      <c r="Z177" s="32"/>
      <c r="AA177" s="32"/>
      <c r="AB177" s="33"/>
      <c r="AC177" s="32"/>
      <c r="AD177" s="32"/>
      <c r="AE177" s="32"/>
      <c r="AF177" s="32"/>
    </row>
    <row r="178" spans="1:32" ht="13" x14ac:dyDescent="0.15">
      <c r="A178" s="30" t="s">
        <v>227</v>
      </c>
    </row>
  </sheetData>
  <mergeCells count="5">
    <mergeCell ref="S5:U5"/>
    <mergeCell ref="V5:X5"/>
    <mergeCell ref="Y5:AA5"/>
    <mergeCell ref="AB5:AD5"/>
    <mergeCell ref="AE5:AG5"/>
  </mergeCells>
  <phoneticPr fontId="9" type="noConversion"/>
  <pageMargins left="0.70866141732283472" right="0.70866141732283472" top="0.78740157480314965" bottom="0.78740157480314965" header="0.31496062992125984" footer="0.31496062992125984"/>
  <pageSetup paperSize="9" scale="75" fitToWidth="2" fitToHeight="0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a650180-dcdb-4017-8c0a-dd074f98ccc6">G01429814-000030</_dlc_DocId>
    <_dlc_DocIdUrl xmlns="0a650180-dcdb-4017-8c0a-dd074f98ccc6">
      <Url>https://gdok.finma.ch/container/1882/_layouts/15/DocIdRedir.aspx?ID=G01429814-000030</Url>
      <Description>G01429814-000030</Description>
    </_dlc_DocIdUrl>
    <FinmaDocumentDate xmlns="0a650180-dcdb-4017-8c0a-dd074f98ccc6">2021-05-15T22:00:00+00:00</FinmaDocumentDate>
    <f6ac7f7711e24d149a1ab98f6cfad432 xmlns="0a650180-dcdb-4017-8c0a-dd074f98ccc6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ValidationDate xmlns="0a650180-dcdb-4017-8c0a-dd074f98ccc6">2023-06-20T14:51:40+00:00</FinmaValidationDate>
    <FinmaCaseDescription xmlns="0a650180-dcdb-4017-8c0a-dd074f98ccc6">Publikation Key Metrics 2023 (G01429814)</FinmaCaseDescription>
    <FinmaCaseID xmlns="0a650180-dcdb-4017-8c0a-dd074f98ccc6">G01429814</FinmaCaseID>
    <n1f5c6536ac648a38ad663cdf8bd44e6 xmlns="0a650180-dcdb-4017-8c0a-dd074f98ccc6">
      <Terms xmlns="http://schemas.microsoft.com/office/infopath/2007/PartnerControls"/>
    </n1f5c6536ac648a38ad663cdf8bd44e6>
    <FinmaValidationResult xmlns="0a650180-dcdb-4017-8c0a-dd074f98ccc6" xsi:nil="true"/>
    <g1c9cab47ab34847b4ac830bba5063b0 xmlns="0a650180-dcdb-4017-8c0a-dd074f98ccc6">
      <Terms xmlns="http://schemas.microsoft.com/office/infopath/2007/PartnerControls"/>
    </g1c9cab47ab34847b4ac830bba5063b0>
    <Aktionswert xmlns="0a650180-dcdb-4017-8c0a-dd074f98ccc6" xsi:nil="true"/>
    <h5452bf913d342ef967d06fb0970c0a5 xmlns="0a650180-dcdb-4017-8c0a-dd074f98ccc6">
      <Terms xmlns="http://schemas.microsoft.com/office/infopath/2007/PartnerControls"/>
    </h5452bf913d342ef967d06fb0970c0a5>
    <FinmaObjectId xmlns="0a650180-dcdb-4017-8c0a-dd074f98ccc6">F00164912</FinmaObjectId>
    <FinmaObjectName xmlns="0a650180-dcdb-4017-8c0a-dd074f98ccc6">Eidgenössische Finanzmarktaufsicht FINMA (F00164912)</FinmaObjectName>
    <TaxCatchAll xmlns="0a650180-dcdb-4017-8c0a-dd074f98ccc6">
      <Value>1</Value>
    </TaxCatchAll>
    <FinmaPasswordProtected xmlns="0a650180-dcdb-4017-8c0a-dd074f98ccc6">false</FinmaPasswordProtect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FF36F12F9A39264B92CF6A8625350472" ma:contentTypeVersion="31" ma:contentTypeDescription="Create a new document." ma:contentTypeScope="" ma:versionID="a210491d4433b8f1a45fe05dab0bc1c8">
  <xsd:schema xmlns:xsd="http://www.w3.org/2001/XMLSchema" xmlns:xs="http://www.w3.org/2001/XMLSchema" xmlns:p="http://schemas.microsoft.com/office/2006/metadata/properties" xmlns:ns2="0a650180-dcdb-4017-8c0a-dd074f98ccc6" targetNamespace="http://schemas.microsoft.com/office/2006/metadata/properties" ma:root="true" ma:fieldsID="f6ad066deb4bec1ca7d336568fa19015" ns2:_="">
    <xsd:import namespace="0a650180-dcdb-4017-8c0a-dd074f98ccc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50180-dcdb-4017-8c0a-dd074f98ccc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3 (G01429814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4eb7c8f9-a34b-498f-bab0-c87045467cad}" ma:internalName="TaxCatchAll" ma:showField="CatchAllData" ma:web="0a650180-dcdb-4017-8c0a-dd074f98c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4eb7c8f9-a34b-498f-bab0-c87045467cad}" ma:internalName="TaxCatchAllLabel" ma:readOnly="true" ma:showField="CatchAllDataLabel" ma:web="0a650180-dcdb-4017-8c0a-dd074f98c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429814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77d4cca6-db76-4578-be5e-cd0be86b2d95" ma:anchorId="de908a28-cfc0-4680-b8ba-47779c0687b1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0F95E-C7DB-4DDA-9C52-EC36BBAF929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C070294-8B0D-40E4-80A7-F0FFB86F597C}">
  <ds:schemaRefs>
    <ds:schemaRef ds:uri="http://schemas.microsoft.com/office/2006/metadata/properties"/>
    <ds:schemaRef ds:uri="http://schemas.microsoft.com/office/infopath/2007/PartnerControls"/>
    <ds:schemaRef ds:uri="0a650180-dcdb-4017-8c0a-dd074f98ccc6"/>
  </ds:schemaRefs>
</ds:datastoreItem>
</file>

<file path=customXml/itemProps3.xml><?xml version="1.0" encoding="utf-8"?>
<ds:datastoreItem xmlns:ds="http://schemas.openxmlformats.org/officeDocument/2006/customXml" ds:itemID="{3EFF44FA-2959-40B6-9213-98A35AB603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650180-dcdb-4017-8c0a-dd074f98cc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10B86C-2A10-423F-9755-80DC4238C1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Key Metrics 2022</vt:lpstr>
      <vt:lpstr>'Key Metrics 2022'!Druckbereich</vt:lpstr>
      <vt:lpstr>'Key Metrics 2022'!Drucktitel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keywords/>
  <dc:description/>
  <cp:lastModifiedBy>Natalia Alessia Jacob</cp:lastModifiedBy>
  <cp:revision/>
  <dcterms:created xsi:type="dcterms:W3CDTF">2019-06-03T15:39:55Z</dcterms:created>
  <dcterms:modified xsi:type="dcterms:W3CDTF">2026-02-23T14:14:02Z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SP">
    <vt:lpwstr>11;#4-01.9 Verschiedenes|e6fcb4e3-30b0-4407-a767-d767f5fd947e</vt:lpwstr>
  </property>
  <property fmtid="{D5CDD505-2E9C-101B-9397-08002B2CF9AE}" pid="3" name="OU">
    <vt:lpwstr>2;#B-ANI|72e08c1a-6daa-4ddd-9fb5-697ff07cf528</vt:lpwstr>
  </property>
  <property fmtid="{D5CDD505-2E9C-101B-9397-08002B2CF9AE}" pid="4" name="ContentTypeId">
    <vt:lpwstr>0x0101003A499141982C43AFAF241BDE541C18D500FF36F12F9A39264B92CF6A8625350472</vt:lpwstr>
  </property>
  <property fmtid="{D5CDD505-2E9C-101B-9397-08002B2CF9AE}" pid="5" name="_dlc_DocIdItemGuid">
    <vt:lpwstr>2358d62a-e7be-4c1e-af8d-03c265bb3b41</vt:lpwstr>
  </property>
  <property fmtid="{D5CDD505-2E9C-101B-9397-08002B2CF9AE}" pid="6" name="FinmaCaseStatus">
    <vt:lpwstr>1;#Aktiv|7439e81f-a110-4e88-a7af-acf8d4806223</vt:lpwstr>
  </property>
  <property fmtid="{D5CDD505-2E9C-101B-9397-08002B2CF9AE}" pid="7" name="FinmaCrmEntityIDs">
    <vt:lpwstr/>
  </property>
  <property fmtid="{D5CDD505-2E9C-101B-9397-08002B2CF9AE}" pid="8" name="FinmaCatchphrases">
    <vt:lpwstr/>
  </property>
  <property fmtid="{D5CDD505-2E9C-101B-9397-08002B2CF9AE}" pid="9" name="FinmaCategory">
    <vt:lpwstr/>
  </property>
</Properties>
</file>