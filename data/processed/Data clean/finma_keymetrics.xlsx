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lessia/Desktop/Masterarbeit/CCYB Analyse/MasterThesis_CCyB_Switzerland/Data/Data Raw/imported_data/Data clean/"/>
    </mc:Choice>
  </mc:AlternateContent>
  <xr:revisionPtr revIDLastSave="0" documentId="13_ncr:1_{ECC71B2D-C7E9-D348-9772-E02D3700A93B}" xr6:coauthVersionLast="47" xr6:coauthVersionMax="47" xr10:uidLastSave="{00000000-0000-0000-0000-000000000000}"/>
  <bookViews>
    <workbookView xWindow="140" yWindow="660" windowWidth="27220" windowHeight="16080" xr2:uid="{B87C07FB-FCF4-6749-A27D-1307EEC8CC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1" i="1" l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F170" i="1"/>
  <c r="E170" i="1"/>
  <c r="E165" i="1"/>
  <c r="F165" i="1"/>
  <c r="E166" i="1"/>
  <c r="F166" i="1"/>
  <c r="E167" i="1"/>
  <c r="F167" i="1"/>
  <c r="E168" i="1"/>
  <c r="F168" i="1"/>
  <c r="E169" i="1"/>
  <c r="F169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<sst xmlns="http://schemas.openxmlformats.org/spreadsheetml/2006/main" count="205" uniqueCount="37">
  <si>
    <t>bank_name</t>
  </si>
  <si>
    <t>year</t>
  </si>
  <si>
    <t>Aargauische Kantonalbank</t>
  </si>
  <si>
    <t>Banca Dello Stato Del Cantone Ticino</t>
  </si>
  <si>
    <t>Bank Cler AG</t>
  </si>
  <si>
    <t>Basellandschaftliche Kantonalbank</t>
  </si>
  <si>
    <t>Basler Kantonalbank</t>
  </si>
  <si>
    <t>Berner Kantonalbank AG</t>
  </si>
  <si>
    <t>Clientis AG</t>
  </si>
  <si>
    <t>Credit Agricole next bank (Suisse) SA</t>
  </si>
  <si>
    <t>Credit Suisse AG</t>
  </si>
  <si>
    <t>Glarner Kantonalbank</t>
  </si>
  <si>
    <t>Graubundner Kantonalbank</t>
  </si>
  <si>
    <t>LLB (Schweiz) AG</t>
  </si>
  <si>
    <t>Luzerner Kantonalbank AG</t>
  </si>
  <si>
    <t>Migros bank AG</t>
  </si>
  <si>
    <t>Raiffeisen Group</t>
  </si>
  <si>
    <t>Schaffhauser Kantonalbank</t>
  </si>
  <si>
    <t>Schwyzer Kantonalbank</t>
  </si>
  <si>
    <t>St.Galler Kantonalbank AG</t>
  </si>
  <si>
    <t>Thurgauer Kantonalbank</t>
  </si>
  <si>
    <t>UBS Switzerland AG</t>
  </si>
  <si>
    <t>Valiant Bank AG</t>
  </si>
  <si>
    <t>Zuercher Kantonalbank</t>
  </si>
  <si>
    <t>Zuger Kantonalbank</t>
  </si>
  <si>
    <t>Banque Cantonale De Geneve</t>
  </si>
  <si>
    <t>Banque Cantonale Neuchateloise</t>
  </si>
  <si>
    <t>Banque Cantonale Vaudoise</t>
  </si>
  <si>
    <t>CCyB_required%</t>
  </si>
  <si>
    <t>CET1_minima%</t>
  </si>
  <si>
    <t>CCyB_required</t>
  </si>
  <si>
    <t>CET1_minima</t>
  </si>
  <si>
    <t>RWA_CHF</t>
  </si>
  <si>
    <t>Banque Cantonale De Fribourg</t>
  </si>
  <si>
    <t>Banque Cantonale Du Valais</t>
  </si>
  <si>
    <t>CET1_%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</si>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</sst>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.fitchratings.com/entity/AGNT_107548" TargetMode="External"/><Relationship Id="rId18" Type="http://schemas.openxmlformats.org/officeDocument/2006/relationships/hyperlink" Target="https://pro.fitchratings.com/entity/AGNT_107549" TargetMode="External"/><Relationship Id="rId26" Type="http://schemas.openxmlformats.org/officeDocument/2006/relationships/hyperlink" Target="https://pro.fitchratings.com/entity/AGNT_1001504" TargetMode="External"/><Relationship Id="rId3" Type="http://schemas.openxmlformats.org/officeDocument/2006/relationships/hyperlink" Target="https://pro.fitchratings.com/entity/AGNT_107549" TargetMode="External"/><Relationship Id="rId21" Type="http://schemas.openxmlformats.org/officeDocument/2006/relationships/hyperlink" Target="https://pro.fitchratings.com/entity/AGNT_1001207" TargetMode="External"/><Relationship Id="rId34" Type="http://schemas.openxmlformats.org/officeDocument/2006/relationships/hyperlink" Target="https://pro.fitchratings.com/entity/AGNT_1001207" TargetMode="External"/><Relationship Id="rId7" Type="http://schemas.openxmlformats.org/officeDocument/2006/relationships/hyperlink" Target="https://pro.fitchratings.com/entity/AGNT_107548" TargetMode="External"/><Relationship Id="rId12" Type="http://schemas.openxmlformats.org/officeDocument/2006/relationships/hyperlink" Target="https://pro.fitchratings.com/entity/AGNT_107549" TargetMode="External"/><Relationship Id="rId17" Type="http://schemas.openxmlformats.org/officeDocument/2006/relationships/hyperlink" Target="https://pro.fitchratings.com/entity/AGNT_1001200" TargetMode="External"/><Relationship Id="rId25" Type="http://schemas.openxmlformats.org/officeDocument/2006/relationships/hyperlink" Target="https://pro.fitchratings.com/entity/AGNT_1001504" TargetMode="External"/><Relationship Id="rId33" Type="http://schemas.openxmlformats.org/officeDocument/2006/relationships/hyperlink" Target="https://pro.fitchratings.com/entity/AGNT_107549" TargetMode="External"/><Relationship Id="rId2" Type="http://schemas.openxmlformats.org/officeDocument/2006/relationships/hyperlink" Target="https://pro.fitchratings.com/entity/AGNT_1001200" TargetMode="External"/><Relationship Id="rId16" Type="http://schemas.openxmlformats.org/officeDocument/2006/relationships/hyperlink" Target="https://pro.fitchratings.com/entity/AGNT_107548" TargetMode="External"/><Relationship Id="rId20" Type="http://schemas.openxmlformats.org/officeDocument/2006/relationships/hyperlink" Target="https://pro.fitchratings.com/entity/AGNT_1001207" TargetMode="External"/><Relationship Id="rId29" Type="http://schemas.openxmlformats.org/officeDocument/2006/relationships/hyperlink" Target="https://pro.fitchratings.com/entity/AGNT_1001504" TargetMode="External"/><Relationship Id="rId1" Type="http://schemas.openxmlformats.org/officeDocument/2006/relationships/hyperlink" Target="https://pro.fitchratings.com/entity/AGNT_107548" TargetMode="External"/><Relationship Id="rId6" Type="http://schemas.openxmlformats.org/officeDocument/2006/relationships/hyperlink" Target="https://pro.fitchratings.com/entity/AGNT_107549" TargetMode="External"/><Relationship Id="rId11" Type="http://schemas.openxmlformats.org/officeDocument/2006/relationships/hyperlink" Target="https://pro.fitchratings.com/entity/AGNT_1001200" TargetMode="External"/><Relationship Id="rId24" Type="http://schemas.openxmlformats.org/officeDocument/2006/relationships/hyperlink" Target="https://pro.fitchratings.com/entity/AGNT_1001207" TargetMode="External"/><Relationship Id="rId32" Type="http://schemas.openxmlformats.org/officeDocument/2006/relationships/hyperlink" Target="https://pro.fitchratings.com/entity/AGNT_1001200" TargetMode="External"/><Relationship Id="rId5" Type="http://schemas.openxmlformats.org/officeDocument/2006/relationships/hyperlink" Target="https://pro.fitchratings.com/entity/AGNT_1001200" TargetMode="External"/><Relationship Id="rId15" Type="http://schemas.openxmlformats.org/officeDocument/2006/relationships/hyperlink" Target="https://pro.fitchratings.com/entity/AGNT_107549" TargetMode="External"/><Relationship Id="rId23" Type="http://schemas.openxmlformats.org/officeDocument/2006/relationships/hyperlink" Target="https://pro.fitchratings.com/entity/AGNT_1001207" TargetMode="External"/><Relationship Id="rId28" Type="http://schemas.openxmlformats.org/officeDocument/2006/relationships/hyperlink" Target="https://pro.fitchratings.com/entity/AGNT_1001504" TargetMode="External"/><Relationship Id="rId10" Type="http://schemas.openxmlformats.org/officeDocument/2006/relationships/hyperlink" Target="https://pro.fitchratings.com/entity/AGNT_107548" TargetMode="External"/><Relationship Id="rId19" Type="http://schemas.openxmlformats.org/officeDocument/2006/relationships/hyperlink" Target="https://pro.fitchratings.com/entity/AGNT_1001207" TargetMode="External"/><Relationship Id="rId31" Type="http://schemas.openxmlformats.org/officeDocument/2006/relationships/hyperlink" Target="https://pro.fitchratings.com/entity/AGNT_107548" TargetMode="External"/><Relationship Id="rId4" Type="http://schemas.openxmlformats.org/officeDocument/2006/relationships/hyperlink" Target="https://pro.fitchratings.com/entity/AGNT_107548" TargetMode="External"/><Relationship Id="rId9" Type="http://schemas.openxmlformats.org/officeDocument/2006/relationships/hyperlink" Target="https://pro.fitchratings.com/entity/AGNT_107549" TargetMode="External"/><Relationship Id="rId14" Type="http://schemas.openxmlformats.org/officeDocument/2006/relationships/hyperlink" Target="https://pro.fitchratings.com/entity/AGNT_1001200" TargetMode="External"/><Relationship Id="rId22" Type="http://schemas.openxmlformats.org/officeDocument/2006/relationships/hyperlink" Target="https://pro.fitchratings.com/entity/AGNT_1001207" TargetMode="External"/><Relationship Id="rId27" Type="http://schemas.openxmlformats.org/officeDocument/2006/relationships/hyperlink" Target="https://pro.fitchratings.com/entity/AGNT_1001504" TargetMode="External"/><Relationship Id="rId30" Type="http://schemas.openxmlformats.org/officeDocument/2006/relationships/hyperlink" Target="https://pro.fitchratings.com/entity/AGNT_1001504" TargetMode="External"/><Relationship Id="rId35" Type="http://schemas.openxmlformats.org/officeDocument/2006/relationships/hyperlink" Target="https://pro.fitchratings.com/entity/AGNT_1001504" TargetMode="External"/><Relationship Id="rId8" Type="http://schemas.openxmlformats.org/officeDocument/2006/relationships/hyperlink" Target="https://pro.fitchratings.com/entity/AGNT_1001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9D79-F712-5E4C-9460-160624E8C5D5}">
  <dimension ref="A1:H197"/>
  <sheetViews>
    <sheetView tabSelected="1" workbookViewId="0">
      <selection activeCell="C10" sqref="C10"/>
    </sheetView>
  </sheetViews>
  <sheetFormatPr baseColWidth="10" defaultRowHeight="16" x14ac:dyDescent="0.2"/>
  <cols>
    <col min="1" max="3" width="39.6640625" customWidth="1"/>
    <col min="4" max="4" width="23.83203125" customWidth="1"/>
    <col min="5" max="6" width="10.83203125" customWidth="1"/>
    <col min="7" max="7" width="15.1640625" customWidth="1"/>
    <col min="8" max="8" width="0" hidden="1" customWidth="1"/>
    <col min="10" max="10" width="22.83203125" customWidth="1"/>
  </cols>
  <sheetData>
    <row r="1" spans="1:8" x14ac:dyDescent="0.2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35</v>
      </c>
    </row>
    <row r="2" spans="1:8" x14ac:dyDescent="0.2">
      <c r="A2" t="s">
        <v>2</v>
      </c>
      <c r="B2">
        <v>2019</v>
      </c>
      <c r="C2">
        <v>1</v>
      </c>
      <c r="D2">
        <v>7.8</v>
      </c>
      <c r="E2">
        <f>C2/100</f>
        <v>0.01</v>
      </c>
      <c r="F2">
        <f>D2/100</f>
        <v>7.8E-2</v>
      </c>
      <c r="G2">
        <v>13393901</v>
      </c>
      <c r="H2">
        <v>17.899999999999999</v>
      </c>
    </row>
    <row r="3" spans="1:8" x14ac:dyDescent="0.2">
      <c r="A3" t="s">
        <v>3</v>
      </c>
      <c r="B3">
        <v>2019</v>
      </c>
      <c r="C3">
        <v>0.8</v>
      </c>
      <c r="D3">
        <v>7.4</v>
      </c>
      <c r="E3">
        <f t="shared" ref="E3:F29" si="0">C3/100</f>
        <v>8.0000000000000002E-3</v>
      </c>
      <c r="F3">
        <f t="shared" si="0"/>
        <v>7.400000000000001E-2</v>
      </c>
      <c r="G3">
        <v>7252904</v>
      </c>
      <c r="H3">
        <v>17</v>
      </c>
    </row>
    <row r="4" spans="1:8" x14ac:dyDescent="0.2">
      <c r="A4" t="s">
        <v>4</v>
      </c>
      <c r="B4">
        <v>2019</v>
      </c>
      <c r="C4">
        <v>1.4</v>
      </c>
      <c r="D4">
        <v>7.8</v>
      </c>
      <c r="E4">
        <f t="shared" si="0"/>
        <v>1.3999999999999999E-2</v>
      </c>
      <c r="F4">
        <f t="shared" si="0"/>
        <v>7.8E-2</v>
      </c>
      <c r="G4">
        <v>7519785</v>
      </c>
      <c r="H4">
        <v>16.100000000000001</v>
      </c>
    </row>
    <row r="5" spans="1:8" x14ac:dyDescent="0.2">
      <c r="A5" t="s">
        <v>5</v>
      </c>
      <c r="B5">
        <v>2019</v>
      </c>
      <c r="C5">
        <v>1.1000000000000001</v>
      </c>
      <c r="D5">
        <v>7.8</v>
      </c>
      <c r="E5">
        <f t="shared" si="0"/>
        <v>1.1000000000000001E-2</v>
      </c>
      <c r="F5">
        <f t="shared" si="0"/>
        <v>7.8E-2</v>
      </c>
      <c r="G5">
        <v>11923101</v>
      </c>
      <c r="H5">
        <v>20.399999999999999</v>
      </c>
    </row>
    <row r="6" spans="1:8" x14ac:dyDescent="0.2">
      <c r="A6" t="s">
        <v>6</v>
      </c>
      <c r="B6">
        <v>2019</v>
      </c>
      <c r="C6">
        <v>0.8</v>
      </c>
      <c r="D6">
        <v>7.8</v>
      </c>
      <c r="E6">
        <f t="shared" si="0"/>
        <v>8.0000000000000002E-3</v>
      </c>
      <c r="F6">
        <f t="shared" si="0"/>
        <v>7.8E-2</v>
      </c>
      <c r="G6">
        <v>22553673</v>
      </c>
      <c r="H6">
        <v>17.100000000000001</v>
      </c>
    </row>
    <row r="7" spans="1:8" x14ac:dyDescent="0.2">
      <c r="A7" t="s">
        <v>7</v>
      </c>
      <c r="B7">
        <v>2019</v>
      </c>
      <c r="C7">
        <v>1.1000000000000001</v>
      </c>
      <c r="D7">
        <v>7.8</v>
      </c>
      <c r="E7">
        <f t="shared" si="0"/>
        <v>1.1000000000000001E-2</v>
      </c>
      <c r="F7">
        <f t="shared" si="0"/>
        <v>7.8E-2</v>
      </c>
      <c r="G7">
        <v>722411</v>
      </c>
      <c r="H7">
        <v>19.3</v>
      </c>
    </row>
    <row r="8" spans="1:8" x14ac:dyDescent="0.2">
      <c r="A8" t="s">
        <v>8</v>
      </c>
      <c r="B8">
        <v>2019</v>
      </c>
      <c r="D8">
        <v>7.4</v>
      </c>
      <c r="E8">
        <f t="shared" si="0"/>
        <v>0</v>
      </c>
      <c r="F8">
        <f t="shared" si="0"/>
        <v>7.400000000000001E-2</v>
      </c>
      <c r="G8">
        <v>0</v>
      </c>
      <c r="H8">
        <v>0</v>
      </c>
    </row>
    <row r="9" spans="1:8" x14ac:dyDescent="0.2">
      <c r="A9" t="s">
        <v>9</v>
      </c>
      <c r="B9">
        <v>2019</v>
      </c>
      <c r="C9">
        <v>0.9</v>
      </c>
      <c r="D9">
        <v>7.4</v>
      </c>
      <c r="E9">
        <f t="shared" si="0"/>
        <v>9.0000000000000011E-3</v>
      </c>
      <c r="F9">
        <f t="shared" si="0"/>
        <v>7.400000000000001E-2</v>
      </c>
      <c r="G9">
        <v>2434386</v>
      </c>
      <c r="H9">
        <v>16.100000000000001</v>
      </c>
    </row>
    <row r="10" spans="1:8" x14ac:dyDescent="0.2">
      <c r="A10" t="s">
        <v>10</v>
      </c>
      <c r="B10">
        <v>2019</v>
      </c>
      <c r="C10">
        <v>0.7</v>
      </c>
      <c r="D10">
        <v>9.6999999999999993</v>
      </c>
      <c r="E10">
        <f t="shared" si="0"/>
        <v>6.9999999999999993E-3</v>
      </c>
      <c r="F10">
        <f t="shared" si="0"/>
        <v>9.6999999999999989E-2</v>
      </c>
      <c r="G10">
        <v>86960000</v>
      </c>
      <c r="H10">
        <v>14.4</v>
      </c>
    </row>
    <row r="11" spans="1:8" x14ac:dyDescent="0.2">
      <c r="A11" t="s">
        <v>11</v>
      </c>
      <c r="B11">
        <v>2019</v>
      </c>
      <c r="D11">
        <v>7.4</v>
      </c>
      <c r="E11">
        <f t="shared" si="0"/>
        <v>0</v>
      </c>
      <c r="F11">
        <f t="shared" si="0"/>
        <v>7.400000000000001E-2</v>
      </c>
      <c r="G11">
        <v>0</v>
      </c>
      <c r="H11">
        <v>0</v>
      </c>
    </row>
    <row r="12" spans="1:8" x14ac:dyDescent="0.2">
      <c r="A12" t="s">
        <v>12</v>
      </c>
      <c r="B12">
        <v>2019</v>
      </c>
      <c r="C12">
        <v>0.9</v>
      </c>
      <c r="D12">
        <v>7.8</v>
      </c>
      <c r="E12">
        <f t="shared" si="0"/>
        <v>9.0000000000000011E-3</v>
      </c>
      <c r="F12">
        <f t="shared" si="0"/>
        <v>7.8E-2</v>
      </c>
      <c r="G12">
        <v>12345611</v>
      </c>
      <c r="H12">
        <v>20.9</v>
      </c>
    </row>
    <row r="13" spans="1:8" x14ac:dyDescent="0.2">
      <c r="A13" t="s">
        <v>13</v>
      </c>
      <c r="B13">
        <v>2019</v>
      </c>
      <c r="C13">
        <v>1</v>
      </c>
      <c r="D13">
        <v>7.4</v>
      </c>
      <c r="E13">
        <f t="shared" si="0"/>
        <v>0.01</v>
      </c>
      <c r="F13">
        <f t="shared" si="0"/>
        <v>7.400000000000001E-2</v>
      </c>
      <c r="G13">
        <v>3478736</v>
      </c>
      <c r="H13">
        <v>14.7</v>
      </c>
    </row>
    <row r="14" spans="1:8" x14ac:dyDescent="0.2">
      <c r="A14" t="s">
        <v>14</v>
      </c>
      <c r="B14">
        <v>2019</v>
      </c>
      <c r="C14">
        <v>0.9</v>
      </c>
      <c r="D14">
        <v>7.8</v>
      </c>
      <c r="E14">
        <f t="shared" si="0"/>
        <v>9.0000000000000011E-3</v>
      </c>
      <c r="F14">
        <f t="shared" si="0"/>
        <v>7.8E-2</v>
      </c>
      <c r="G14">
        <v>19795661</v>
      </c>
      <c r="H14">
        <v>13.9</v>
      </c>
    </row>
    <row r="15" spans="1:8" x14ac:dyDescent="0.2">
      <c r="A15" t="s">
        <v>15</v>
      </c>
      <c r="B15">
        <v>2019</v>
      </c>
      <c r="C15">
        <v>1.4</v>
      </c>
      <c r="D15">
        <v>7.8</v>
      </c>
      <c r="E15">
        <f t="shared" si="0"/>
        <v>1.3999999999999999E-2</v>
      </c>
      <c r="F15">
        <f t="shared" si="0"/>
        <v>7.8E-2</v>
      </c>
      <c r="G15">
        <v>18876484</v>
      </c>
      <c r="H15">
        <v>14.2</v>
      </c>
    </row>
    <row r="16" spans="1:8" x14ac:dyDescent="0.2">
      <c r="A16" t="s">
        <v>16</v>
      </c>
      <c r="B16">
        <v>2019</v>
      </c>
      <c r="C16">
        <v>1.1000000000000001</v>
      </c>
      <c r="D16">
        <v>9.6</v>
      </c>
      <c r="E16">
        <f t="shared" si="0"/>
        <v>1.1000000000000001E-2</v>
      </c>
      <c r="F16">
        <f t="shared" si="0"/>
        <v>9.6000000000000002E-2</v>
      </c>
      <c r="G16">
        <v>98300000</v>
      </c>
      <c r="H16">
        <v>16.899999999999999</v>
      </c>
    </row>
    <row r="17" spans="1:8" x14ac:dyDescent="0.2">
      <c r="A17" t="s">
        <v>17</v>
      </c>
      <c r="B17">
        <v>2019</v>
      </c>
      <c r="C17">
        <v>1</v>
      </c>
      <c r="D17">
        <v>7.4</v>
      </c>
      <c r="E17">
        <f t="shared" si="0"/>
        <v>0.01</v>
      </c>
      <c r="F17">
        <f t="shared" si="0"/>
        <v>7.400000000000001E-2</v>
      </c>
      <c r="G17">
        <v>3972521</v>
      </c>
      <c r="H17">
        <v>25</v>
      </c>
    </row>
    <row r="18" spans="1:8" x14ac:dyDescent="0.2">
      <c r="A18" t="s">
        <v>18</v>
      </c>
      <c r="B18">
        <v>2019</v>
      </c>
      <c r="C18">
        <v>1</v>
      </c>
      <c r="D18">
        <v>7.8</v>
      </c>
      <c r="E18">
        <f t="shared" si="0"/>
        <v>0.01</v>
      </c>
      <c r="F18">
        <f t="shared" si="0"/>
        <v>7.8E-2</v>
      </c>
      <c r="G18">
        <v>8908816</v>
      </c>
      <c r="H18">
        <v>21.2</v>
      </c>
    </row>
    <row r="19" spans="1:8" x14ac:dyDescent="0.2">
      <c r="A19" t="s">
        <v>19</v>
      </c>
      <c r="B19">
        <v>2019</v>
      </c>
      <c r="C19">
        <v>1</v>
      </c>
      <c r="D19">
        <v>7.8</v>
      </c>
      <c r="E19">
        <f t="shared" si="0"/>
        <v>0.01</v>
      </c>
      <c r="F19">
        <f t="shared" si="0"/>
        <v>7.8E-2</v>
      </c>
      <c r="G19">
        <v>15144263</v>
      </c>
      <c r="H19">
        <v>16.2</v>
      </c>
    </row>
    <row r="20" spans="1:8" x14ac:dyDescent="0.2">
      <c r="A20" t="s">
        <v>20</v>
      </c>
      <c r="B20">
        <v>2019</v>
      </c>
      <c r="C20">
        <v>1</v>
      </c>
      <c r="D20">
        <v>7.8</v>
      </c>
      <c r="E20">
        <f t="shared" si="0"/>
        <v>0.01</v>
      </c>
      <c r="F20">
        <f t="shared" si="0"/>
        <v>7.8E-2</v>
      </c>
      <c r="G20">
        <v>11858732</v>
      </c>
      <c r="H20">
        <v>18.600000000000001</v>
      </c>
    </row>
    <row r="21" spans="1:8" x14ac:dyDescent="0.2">
      <c r="A21" t="s">
        <v>21</v>
      </c>
      <c r="B21">
        <v>2019</v>
      </c>
      <c r="C21">
        <v>0.6</v>
      </c>
      <c r="D21">
        <v>9.5</v>
      </c>
      <c r="E21">
        <f t="shared" si="0"/>
        <v>6.0000000000000001E-3</v>
      </c>
      <c r="F21">
        <f t="shared" si="0"/>
        <v>9.5000000000000001E-2</v>
      </c>
      <c r="G21">
        <v>99670000</v>
      </c>
      <c r="H21">
        <v>10.9</v>
      </c>
    </row>
    <row r="22" spans="1:8" x14ac:dyDescent="0.2">
      <c r="A22" t="s">
        <v>22</v>
      </c>
      <c r="B22">
        <v>2019</v>
      </c>
      <c r="C22">
        <v>1.2</v>
      </c>
      <c r="D22">
        <v>7.8</v>
      </c>
      <c r="E22">
        <f t="shared" si="0"/>
        <v>1.2E-2</v>
      </c>
      <c r="F22">
        <f t="shared" si="0"/>
        <v>7.8E-2</v>
      </c>
      <c r="G22">
        <v>13178400</v>
      </c>
      <c r="H22">
        <v>16.100000000000001</v>
      </c>
    </row>
    <row r="23" spans="1:8" x14ac:dyDescent="0.2">
      <c r="A23" t="s">
        <v>23</v>
      </c>
      <c r="B23">
        <v>2019</v>
      </c>
      <c r="C23">
        <v>0.7</v>
      </c>
      <c r="D23">
        <v>9</v>
      </c>
      <c r="E23">
        <f t="shared" si="0"/>
        <v>6.9999999999999993E-3</v>
      </c>
      <c r="F23">
        <f t="shared" si="0"/>
        <v>0.09</v>
      </c>
      <c r="G23">
        <v>64980000</v>
      </c>
      <c r="H23">
        <v>16.100000000000001</v>
      </c>
    </row>
    <row r="24" spans="1:8" x14ac:dyDescent="0.2">
      <c r="A24" t="s">
        <v>24</v>
      </c>
      <c r="B24">
        <v>2019</v>
      </c>
      <c r="C24">
        <v>1.1000000000000001</v>
      </c>
      <c r="D24">
        <v>7.4</v>
      </c>
      <c r="E24">
        <f t="shared" si="0"/>
        <v>1.1000000000000001E-2</v>
      </c>
      <c r="F24">
        <f t="shared" si="0"/>
        <v>7.400000000000001E-2</v>
      </c>
      <c r="G24">
        <v>7047526</v>
      </c>
      <c r="H24">
        <v>18.2</v>
      </c>
    </row>
    <row r="25" spans="1:8" x14ac:dyDescent="0.2">
      <c r="A25" t="s">
        <v>25</v>
      </c>
      <c r="B25">
        <v>2019</v>
      </c>
      <c r="C25">
        <v>0.6</v>
      </c>
      <c r="D25">
        <v>7.8</v>
      </c>
      <c r="E25">
        <f t="shared" si="0"/>
        <v>6.0000000000000001E-3</v>
      </c>
      <c r="F25">
        <f t="shared" si="0"/>
        <v>7.8E-2</v>
      </c>
      <c r="G25">
        <v>12282103</v>
      </c>
      <c r="H25">
        <v>13.3</v>
      </c>
    </row>
    <row r="26" spans="1:8" x14ac:dyDescent="0.2">
      <c r="A26" t="s">
        <v>26</v>
      </c>
      <c r="B26">
        <v>2019</v>
      </c>
      <c r="C26">
        <v>1</v>
      </c>
      <c r="D26">
        <v>7.4</v>
      </c>
      <c r="E26">
        <f t="shared" si="0"/>
        <v>0.01</v>
      </c>
      <c r="F26">
        <f t="shared" si="0"/>
        <v>7.400000000000001E-2</v>
      </c>
      <c r="G26">
        <v>4975588</v>
      </c>
      <c r="H26">
        <v>17.2</v>
      </c>
    </row>
    <row r="27" spans="1:8" x14ac:dyDescent="0.2">
      <c r="A27" t="s">
        <v>27</v>
      </c>
      <c r="B27">
        <v>2019</v>
      </c>
      <c r="C27">
        <v>0.8</v>
      </c>
      <c r="D27">
        <v>7.8</v>
      </c>
      <c r="E27">
        <f t="shared" si="0"/>
        <v>8.0000000000000002E-3</v>
      </c>
      <c r="F27">
        <f t="shared" si="0"/>
        <v>7.8E-2</v>
      </c>
      <c r="G27">
        <v>18785932</v>
      </c>
      <c r="H27">
        <v>17.100000000000001</v>
      </c>
    </row>
    <row r="28" spans="1:8" x14ac:dyDescent="0.2">
      <c r="A28" t="s">
        <v>33</v>
      </c>
      <c r="B28">
        <v>2019</v>
      </c>
      <c r="C28">
        <v>0.9</v>
      </c>
      <c r="D28">
        <v>7.8</v>
      </c>
      <c r="E28">
        <f t="shared" si="0"/>
        <v>9.0000000000000011E-3</v>
      </c>
      <c r="F28">
        <f t="shared" si="0"/>
        <v>7.8E-2</v>
      </c>
      <c r="G28">
        <v>11406666</v>
      </c>
      <c r="H28">
        <v>18</v>
      </c>
    </row>
    <row r="29" spans="1:8" x14ac:dyDescent="0.2">
      <c r="A29" t="s">
        <v>34</v>
      </c>
      <c r="B29">
        <v>2019</v>
      </c>
      <c r="C29">
        <v>0.9</v>
      </c>
      <c r="D29">
        <v>7.8</v>
      </c>
      <c r="E29">
        <f t="shared" si="0"/>
        <v>9.0000000000000011E-3</v>
      </c>
      <c r="F29">
        <f t="shared" si="0"/>
        <v>7.8E-2</v>
      </c>
      <c r="G29">
        <v>7440808</v>
      </c>
      <c r="H29">
        <v>18.3</v>
      </c>
    </row>
    <row r="30" spans="1:8" x14ac:dyDescent="0.2">
      <c r="A30" t="s">
        <v>2</v>
      </c>
      <c r="B30">
        <v>2021</v>
      </c>
      <c r="C30">
        <v>0</v>
      </c>
      <c r="D30">
        <v>7.8</v>
      </c>
      <c r="E30">
        <f t="shared" ref="E30:E93" si="1">C30/100</f>
        <v>0</v>
      </c>
      <c r="F30">
        <f t="shared" ref="F30:F93" si="2">D30/100</f>
        <v>7.8E-2</v>
      </c>
      <c r="G30">
        <v>13955422</v>
      </c>
      <c r="H30">
        <v>18.399999999999999</v>
      </c>
    </row>
    <row r="31" spans="1:8" x14ac:dyDescent="0.2">
      <c r="A31" t="s">
        <v>3</v>
      </c>
      <c r="B31">
        <v>2021</v>
      </c>
      <c r="C31">
        <v>0</v>
      </c>
      <c r="D31">
        <v>7.8</v>
      </c>
      <c r="E31">
        <f t="shared" si="1"/>
        <v>0</v>
      </c>
      <c r="F31">
        <f t="shared" si="2"/>
        <v>7.8E-2</v>
      </c>
      <c r="G31">
        <v>8431589</v>
      </c>
      <c r="H31">
        <v>15.2</v>
      </c>
    </row>
    <row r="32" spans="1:8" x14ac:dyDescent="0.2">
      <c r="A32" t="s">
        <v>4</v>
      </c>
      <c r="B32">
        <v>2021</v>
      </c>
      <c r="C32">
        <v>0</v>
      </c>
      <c r="D32">
        <v>7.8</v>
      </c>
      <c r="E32">
        <f t="shared" si="1"/>
        <v>0</v>
      </c>
      <c r="F32">
        <f t="shared" si="2"/>
        <v>7.8E-2</v>
      </c>
      <c r="G32">
        <v>7503822</v>
      </c>
      <c r="H32">
        <v>16.8</v>
      </c>
    </row>
    <row r="33" spans="1:8" x14ac:dyDescent="0.2">
      <c r="A33" t="s">
        <v>5</v>
      </c>
      <c r="B33">
        <v>2021</v>
      </c>
      <c r="C33">
        <v>0</v>
      </c>
      <c r="D33">
        <v>7.8</v>
      </c>
      <c r="E33">
        <f t="shared" si="1"/>
        <v>0</v>
      </c>
      <c r="F33">
        <f t="shared" si="2"/>
        <v>7.8E-2</v>
      </c>
      <c r="G33">
        <v>13770816</v>
      </c>
      <c r="H33">
        <v>18.7</v>
      </c>
    </row>
    <row r="34" spans="1:8" x14ac:dyDescent="0.2">
      <c r="A34" t="s">
        <v>6</v>
      </c>
      <c r="B34">
        <v>2021</v>
      </c>
      <c r="C34">
        <v>0</v>
      </c>
      <c r="D34">
        <v>7.8</v>
      </c>
      <c r="E34">
        <f t="shared" si="1"/>
        <v>0</v>
      </c>
      <c r="F34">
        <f t="shared" si="2"/>
        <v>7.8E-2</v>
      </c>
      <c r="G34">
        <v>22869581</v>
      </c>
      <c r="H34">
        <v>17.600000000000001</v>
      </c>
    </row>
    <row r="35" spans="1:8" x14ac:dyDescent="0.2">
      <c r="A35" t="s">
        <v>7</v>
      </c>
      <c r="B35">
        <v>2021</v>
      </c>
      <c r="C35">
        <v>0</v>
      </c>
      <c r="D35">
        <v>7.8</v>
      </c>
      <c r="E35">
        <f t="shared" si="1"/>
        <v>0</v>
      </c>
      <c r="F35">
        <f t="shared" si="2"/>
        <v>7.8E-2</v>
      </c>
      <c r="G35">
        <v>14418758</v>
      </c>
      <c r="H35">
        <v>18</v>
      </c>
    </row>
    <row r="36" spans="1:8" x14ac:dyDescent="0.2">
      <c r="A36" t="s">
        <v>8</v>
      </c>
      <c r="B36">
        <v>2021</v>
      </c>
      <c r="C36">
        <v>0</v>
      </c>
      <c r="D36">
        <v>7.4</v>
      </c>
      <c r="E36">
        <f t="shared" si="1"/>
        <v>0</v>
      </c>
      <c r="F36">
        <f t="shared" si="2"/>
        <v>7.400000000000001E-2</v>
      </c>
      <c r="G36">
        <v>5857612</v>
      </c>
      <c r="H36">
        <v>20.2</v>
      </c>
    </row>
    <row r="37" spans="1:8" x14ac:dyDescent="0.2">
      <c r="A37" t="s">
        <v>9</v>
      </c>
      <c r="B37">
        <v>2021</v>
      </c>
      <c r="C37">
        <v>0</v>
      </c>
      <c r="D37">
        <v>7.4</v>
      </c>
      <c r="E37">
        <f t="shared" si="1"/>
        <v>0</v>
      </c>
      <c r="F37">
        <f t="shared" si="2"/>
        <v>7.400000000000001E-2</v>
      </c>
      <c r="G37">
        <v>2310466</v>
      </c>
      <c r="H37">
        <v>17.600000000000001</v>
      </c>
    </row>
    <row r="38" spans="1:8" x14ac:dyDescent="0.2">
      <c r="A38" t="s">
        <v>10</v>
      </c>
      <c r="B38">
        <v>2021</v>
      </c>
      <c r="C38">
        <v>0.02</v>
      </c>
      <c r="D38">
        <v>10</v>
      </c>
      <c r="E38">
        <f t="shared" si="1"/>
        <v>2.0000000000000001E-4</v>
      </c>
      <c r="F38">
        <f t="shared" si="2"/>
        <v>0.1</v>
      </c>
      <c r="G38">
        <v>94330000</v>
      </c>
      <c r="H38">
        <v>13.5</v>
      </c>
    </row>
    <row r="39" spans="1:8" x14ac:dyDescent="0.2">
      <c r="A39" t="s">
        <v>11</v>
      </c>
      <c r="B39">
        <v>2021</v>
      </c>
      <c r="C39">
        <v>0</v>
      </c>
      <c r="D39">
        <v>7.4</v>
      </c>
      <c r="E39">
        <f t="shared" si="1"/>
        <v>0</v>
      </c>
      <c r="F39">
        <f t="shared" si="2"/>
        <v>7.400000000000001E-2</v>
      </c>
      <c r="G39">
        <v>3187754</v>
      </c>
      <c r="H39">
        <v>12.2</v>
      </c>
    </row>
    <row r="40" spans="1:8" x14ac:dyDescent="0.2">
      <c r="A40" t="s">
        <v>12</v>
      </c>
      <c r="B40">
        <v>2021</v>
      </c>
      <c r="C40">
        <v>0</v>
      </c>
      <c r="D40">
        <v>7.8</v>
      </c>
      <c r="E40">
        <f t="shared" si="1"/>
        <v>0</v>
      </c>
      <c r="F40">
        <f t="shared" si="2"/>
        <v>7.8E-2</v>
      </c>
      <c r="G40">
        <v>13018849</v>
      </c>
      <c r="H40">
        <v>20.3</v>
      </c>
    </row>
    <row r="41" spans="1:8" x14ac:dyDescent="0.2">
      <c r="A41" t="s">
        <v>13</v>
      </c>
      <c r="B41">
        <v>2021</v>
      </c>
      <c r="C41">
        <v>0</v>
      </c>
      <c r="D41">
        <v>7.4</v>
      </c>
      <c r="E41">
        <f t="shared" si="1"/>
        <v>0</v>
      </c>
      <c r="F41">
        <f t="shared" si="2"/>
        <v>7.400000000000001E-2</v>
      </c>
      <c r="G41">
        <v>3606019</v>
      </c>
      <c r="H41">
        <v>15.5</v>
      </c>
    </row>
    <row r="42" spans="1:8" x14ac:dyDescent="0.2">
      <c r="A42" t="s">
        <v>14</v>
      </c>
      <c r="B42">
        <v>2021</v>
      </c>
      <c r="C42">
        <v>0</v>
      </c>
      <c r="D42">
        <v>7.8</v>
      </c>
      <c r="E42">
        <f t="shared" si="1"/>
        <v>0</v>
      </c>
      <c r="F42">
        <f t="shared" si="2"/>
        <v>7.8E-2</v>
      </c>
      <c r="G42">
        <v>23947001</v>
      </c>
      <c r="H42">
        <v>12.3</v>
      </c>
    </row>
    <row r="43" spans="1:8" x14ac:dyDescent="0.2">
      <c r="A43" t="s">
        <v>15</v>
      </c>
      <c r="B43">
        <v>2021</v>
      </c>
      <c r="C43">
        <v>0</v>
      </c>
      <c r="D43">
        <v>7.8</v>
      </c>
      <c r="E43">
        <f t="shared" si="1"/>
        <v>0</v>
      </c>
      <c r="F43">
        <f t="shared" si="2"/>
        <v>7.8E-2</v>
      </c>
      <c r="G43">
        <v>20731524</v>
      </c>
      <c r="H43">
        <v>14.4</v>
      </c>
    </row>
    <row r="44" spans="1:8" x14ac:dyDescent="0.2">
      <c r="A44" t="s">
        <v>16</v>
      </c>
      <c r="B44">
        <v>2021</v>
      </c>
      <c r="C44">
        <v>0</v>
      </c>
      <c r="D44">
        <v>9.5</v>
      </c>
      <c r="E44">
        <f t="shared" si="1"/>
        <v>0</v>
      </c>
      <c r="F44">
        <f t="shared" si="2"/>
        <v>9.5000000000000001E-2</v>
      </c>
      <c r="G44">
        <v>91190000</v>
      </c>
      <c r="H44">
        <v>20.3</v>
      </c>
    </row>
    <row r="45" spans="1:8" x14ac:dyDescent="0.2">
      <c r="A45" t="s">
        <v>17</v>
      </c>
      <c r="B45">
        <v>2021</v>
      </c>
      <c r="C45">
        <v>0</v>
      </c>
      <c r="D45">
        <v>7.4</v>
      </c>
      <c r="E45">
        <f t="shared" si="1"/>
        <v>0</v>
      </c>
      <c r="F45">
        <f t="shared" si="2"/>
        <v>7.400000000000001E-2</v>
      </c>
      <c r="G45">
        <v>3902500</v>
      </c>
      <c r="H45">
        <v>27.5</v>
      </c>
    </row>
    <row r="46" spans="1:8" x14ac:dyDescent="0.2">
      <c r="A46" t="s">
        <v>18</v>
      </c>
      <c r="B46">
        <v>2021</v>
      </c>
      <c r="C46">
        <v>0</v>
      </c>
      <c r="D46">
        <v>7.8</v>
      </c>
      <c r="E46">
        <f t="shared" si="1"/>
        <v>0</v>
      </c>
      <c r="F46">
        <f t="shared" si="2"/>
        <v>7.8E-2</v>
      </c>
      <c r="G46">
        <v>9092771</v>
      </c>
      <c r="H46">
        <v>21.8</v>
      </c>
    </row>
    <row r="47" spans="1:8" x14ac:dyDescent="0.2">
      <c r="A47" t="s">
        <v>19</v>
      </c>
      <c r="B47">
        <v>2021</v>
      </c>
      <c r="C47">
        <v>0</v>
      </c>
      <c r="D47">
        <v>7.8</v>
      </c>
      <c r="E47">
        <f t="shared" si="1"/>
        <v>0</v>
      </c>
      <c r="F47">
        <f t="shared" si="2"/>
        <v>7.8E-2</v>
      </c>
      <c r="G47">
        <v>16142996</v>
      </c>
      <c r="H47">
        <v>16</v>
      </c>
    </row>
    <row r="48" spans="1:8" x14ac:dyDescent="0.2">
      <c r="A48" t="s">
        <v>20</v>
      </c>
      <c r="B48">
        <v>2021</v>
      </c>
      <c r="C48">
        <v>0</v>
      </c>
      <c r="D48">
        <v>7.8</v>
      </c>
      <c r="E48">
        <f t="shared" si="1"/>
        <v>0</v>
      </c>
      <c r="F48">
        <f t="shared" si="2"/>
        <v>7.8E-2</v>
      </c>
      <c r="G48">
        <v>13226405</v>
      </c>
      <c r="H48">
        <v>18</v>
      </c>
    </row>
    <row r="49" spans="1:8" x14ac:dyDescent="0.2">
      <c r="A49" t="s">
        <v>21</v>
      </c>
      <c r="B49">
        <v>2021</v>
      </c>
      <c r="C49">
        <v>0.02</v>
      </c>
      <c r="D49">
        <v>10</v>
      </c>
      <c r="E49">
        <f t="shared" si="1"/>
        <v>2.0000000000000001E-4</v>
      </c>
      <c r="F49">
        <f t="shared" si="2"/>
        <v>0.1</v>
      </c>
      <c r="G49">
        <v>106400000</v>
      </c>
      <c r="H49">
        <v>11.9</v>
      </c>
    </row>
    <row r="50" spans="1:8" x14ac:dyDescent="0.2">
      <c r="A50" t="s">
        <v>22</v>
      </c>
      <c r="B50">
        <v>2021</v>
      </c>
      <c r="C50">
        <v>0</v>
      </c>
      <c r="D50">
        <v>7.8</v>
      </c>
      <c r="E50">
        <f t="shared" si="1"/>
        <v>0</v>
      </c>
      <c r="F50">
        <f t="shared" si="2"/>
        <v>7.8E-2</v>
      </c>
      <c r="G50">
        <v>14277415</v>
      </c>
      <c r="H50">
        <v>16.5</v>
      </c>
    </row>
    <row r="51" spans="1:8" x14ac:dyDescent="0.2">
      <c r="A51" t="s">
        <v>23</v>
      </c>
      <c r="B51">
        <v>2021</v>
      </c>
      <c r="C51">
        <v>0</v>
      </c>
      <c r="D51">
        <v>8.6</v>
      </c>
      <c r="E51">
        <f t="shared" si="1"/>
        <v>0</v>
      </c>
      <c r="F51">
        <f t="shared" si="2"/>
        <v>8.5999999999999993E-2</v>
      </c>
      <c r="G51">
        <v>71550000</v>
      </c>
      <c r="H51">
        <v>14.1</v>
      </c>
    </row>
    <row r="52" spans="1:8" x14ac:dyDescent="0.2">
      <c r="A52" t="s">
        <v>24</v>
      </c>
      <c r="B52">
        <v>2021</v>
      </c>
      <c r="C52">
        <v>0</v>
      </c>
      <c r="D52">
        <v>7.8</v>
      </c>
      <c r="E52">
        <f t="shared" si="1"/>
        <v>0</v>
      </c>
      <c r="F52">
        <f t="shared" si="2"/>
        <v>7.8E-2</v>
      </c>
      <c r="G52">
        <v>7434275</v>
      </c>
      <c r="H52">
        <v>17.899999999999999</v>
      </c>
    </row>
    <row r="53" spans="1:8" x14ac:dyDescent="0.2">
      <c r="A53" t="s">
        <v>25</v>
      </c>
      <c r="B53">
        <v>2021</v>
      </c>
      <c r="C53">
        <v>0</v>
      </c>
      <c r="D53">
        <v>7.8</v>
      </c>
      <c r="E53">
        <f t="shared" si="1"/>
        <v>0</v>
      </c>
      <c r="F53">
        <f t="shared" si="2"/>
        <v>7.8E-2</v>
      </c>
      <c r="G53">
        <v>13311471</v>
      </c>
      <c r="H53">
        <v>13.4</v>
      </c>
    </row>
    <row r="54" spans="1:8" x14ac:dyDescent="0.2">
      <c r="A54" t="s">
        <v>26</v>
      </c>
      <c r="B54">
        <v>2021</v>
      </c>
      <c r="C54">
        <v>0</v>
      </c>
      <c r="D54">
        <v>7.4</v>
      </c>
      <c r="E54">
        <f t="shared" si="1"/>
        <v>0</v>
      </c>
      <c r="F54">
        <f t="shared" si="2"/>
        <v>7.400000000000001E-2</v>
      </c>
      <c r="G54">
        <v>4744398</v>
      </c>
      <c r="H54">
        <v>19.600000000000001</v>
      </c>
    </row>
    <row r="55" spans="1:8" x14ac:dyDescent="0.2">
      <c r="A55" t="s">
        <v>27</v>
      </c>
      <c r="B55">
        <v>2021</v>
      </c>
      <c r="C55">
        <v>0</v>
      </c>
      <c r="D55">
        <v>7.8</v>
      </c>
      <c r="E55">
        <f t="shared" si="1"/>
        <v>0</v>
      </c>
      <c r="F55">
        <f t="shared" si="2"/>
        <v>7.8E-2</v>
      </c>
      <c r="G55">
        <v>19265053</v>
      </c>
      <c r="H55">
        <v>17.2</v>
      </c>
    </row>
    <row r="56" spans="1:8" x14ac:dyDescent="0.2">
      <c r="A56" t="s">
        <v>33</v>
      </c>
      <c r="B56">
        <v>2021</v>
      </c>
      <c r="C56">
        <v>0</v>
      </c>
      <c r="D56">
        <v>7.8</v>
      </c>
      <c r="E56">
        <f t="shared" si="1"/>
        <v>0</v>
      </c>
      <c r="F56">
        <f t="shared" si="2"/>
        <v>7.8E-2</v>
      </c>
      <c r="G56">
        <v>12225400</v>
      </c>
      <c r="H56">
        <v>18.399999999999999</v>
      </c>
    </row>
    <row r="57" spans="1:8" x14ac:dyDescent="0.2">
      <c r="A57" t="s">
        <v>34</v>
      </c>
      <c r="B57">
        <v>2021</v>
      </c>
      <c r="C57">
        <v>0</v>
      </c>
      <c r="D57">
        <v>7.8</v>
      </c>
      <c r="E57">
        <f t="shared" si="1"/>
        <v>0</v>
      </c>
      <c r="F57">
        <f t="shared" si="2"/>
        <v>7.8E-2</v>
      </c>
      <c r="G57">
        <v>8110061</v>
      </c>
      <c r="H57">
        <v>17</v>
      </c>
    </row>
    <row r="58" spans="1:8" x14ac:dyDescent="0.2">
      <c r="A58" t="s">
        <v>2</v>
      </c>
      <c r="B58">
        <v>2022</v>
      </c>
      <c r="C58">
        <v>1.2</v>
      </c>
      <c r="D58">
        <v>7.8</v>
      </c>
      <c r="E58">
        <f t="shared" si="1"/>
        <v>1.2E-2</v>
      </c>
      <c r="F58">
        <f t="shared" si="2"/>
        <v>7.8E-2</v>
      </c>
      <c r="G58">
        <v>14940545</v>
      </c>
    </row>
    <row r="59" spans="1:8" x14ac:dyDescent="0.2">
      <c r="A59" t="s">
        <v>3</v>
      </c>
      <c r="B59">
        <v>2022</v>
      </c>
      <c r="C59">
        <v>0.9</v>
      </c>
      <c r="D59">
        <v>7.8</v>
      </c>
      <c r="E59">
        <f t="shared" si="1"/>
        <v>9.0000000000000011E-3</v>
      </c>
      <c r="F59">
        <f t="shared" si="2"/>
        <v>7.8E-2</v>
      </c>
      <c r="G59">
        <v>8661764</v>
      </c>
    </row>
    <row r="60" spans="1:8" x14ac:dyDescent="0.2">
      <c r="A60" t="s">
        <v>4</v>
      </c>
      <c r="B60">
        <v>2022</v>
      </c>
      <c r="C60">
        <v>1.8</v>
      </c>
      <c r="D60">
        <v>7.8</v>
      </c>
      <c r="E60">
        <f t="shared" si="1"/>
        <v>1.8000000000000002E-2</v>
      </c>
      <c r="F60">
        <f t="shared" si="2"/>
        <v>7.8E-2</v>
      </c>
      <c r="G60">
        <v>7701384</v>
      </c>
    </row>
    <row r="61" spans="1:8" x14ac:dyDescent="0.2">
      <c r="A61" t="s">
        <v>5</v>
      </c>
      <c r="B61">
        <v>2022</v>
      </c>
      <c r="C61">
        <v>1.3</v>
      </c>
      <c r="D61">
        <v>7.8</v>
      </c>
      <c r="E61">
        <f t="shared" si="1"/>
        <v>1.3000000000000001E-2</v>
      </c>
      <c r="F61">
        <f t="shared" si="2"/>
        <v>7.8E-2</v>
      </c>
      <c r="G61">
        <v>14484663</v>
      </c>
    </row>
    <row r="62" spans="1:8" x14ac:dyDescent="0.2">
      <c r="A62" t="s">
        <v>6</v>
      </c>
      <c r="B62">
        <v>2022</v>
      </c>
      <c r="C62">
        <v>1</v>
      </c>
      <c r="D62">
        <v>7.8</v>
      </c>
      <c r="E62">
        <f t="shared" si="1"/>
        <v>0.01</v>
      </c>
      <c r="F62">
        <f t="shared" si="2"/>
        <v>7.8E-2</v>
      </c>
      <c r="G62">
        <v>23492624</v>
      </c>
    </row>
    <row r="63" spans="1:8" x14ac:dyDescent="0.2">
      <c r="A63" t="s">
        <v>7</v>
      </c>
      <c r="B63">
        <v>2022</v>
      </c>
      <c r="C63">
        <v>1.4</v>
      </c>
      <c r="D63">
        <v>7.8</v>
      </c>
      <c r="E63">
        <f t="shared" si="1"/>
        <v>1.3999999999999999E-2</v>
      </c>
      <c r="F63">
        <f t="shared" si="2"/>
        <v>7.8E-2</v>
      </c>
      <c r="G63">
        <v>15466598</v>
      </c>
    </row>
    <row r="64" spans="1:8" x14ac:dyDescent="0.2">
      <c r="A64" t="s">
        <v>8</v>
      </c>
      <c r="B64">
        <v>2022</v>
      </c>
      <c r="C64">
        <v>1.4</v>
      </c>
      <c r="D64">
        <v>7.4</v>
      </c>
      <c r="E64">
        <f t="shared" si="1"/>
        <v>1.3999999999999999E-2</v>
      </c>
      <c r="F64">
        <f t="shared" si="2"/>
        <v>7.400000000000001E-2</v>
      </c>
      <c r="G64">
        <v>6150877</v>
      </c>
    </row>
    <row r="65" spans="1:7" x14ac:dyDescent="0.2">
      <c r="A65" t="s">
        <v>9</v>
      </c>
      <c r="B65">
        <v>2022</v>
      </c>
      <c r="C65">
        <v>1.6</v>
      </c>
      <c r="D65">
        <v>7.4</v>
      </c>
      <c r="E65">
        <f t="shared" si="1"/>
        <v>1.6E-2</v>
      </c>
      <c r="F65">
        <f t="shared" si="2"/>
        <v>7.400000000000001E-2</v>
      </c>
      <c r="G65">
        <v>2330869</v>
      </c>
    </row>
    <row r="66" spans="1:7" x14ac:dyDescent="0.2">
      <c r="A66" t="s">
        <v>10</v>
      </c>
      <c r="B66">
        <v>2022</v>
      </c>
      <c r="C66">
        <v>0.69</v>
      </c>
      <c r="D66">
        <v>9.3000000000000007</v>
      </c>
      <c r="E66">
        <f t="shared" si="1"/>
        <v>6.8999999999999999E-3</v>
      </c>
      <c r="F66">
        <f t="shared" si="2"/>
        <v>9.3000000000000013E-2</v>
      </c>
      <c r="G66">
        <v>88600000</v>
      </c>
    </row>
    <row r="67" spans="1:7" x14ac:dyDescent="0.2">
      <c r="A67" t="s">
        <v>11</v>
      </c>
      <c r="B67">
        <v>2022</v>
      </c>
      <c r="C67">
        <v>1.3</v>
      </c>
      <c r="D67">
        <v>7.4</v>
      </c>
      <c r="E67">
        <f t="shared" si="1"/>
        <v>1.3000000000000001E-2</v>
      </c>
      <c r="F67">
        <f t="shared" si="2"/>
        <v>7.400000000000001E-2</v>
      </c>
      <c r="G67">
        <v>3485688</v>
      </c>
    </row>
    <row r="68" spans="1:7" x14ac:dyDescent="0.2">
      <c r="A68" t="s">
        <v>12</v>
      </c>
      <c r="B68">
        <v>2022</v>
      </c>
      <c r="C68">
        <v>1.1000000000000001</v>
      </c>
      <c r="D68">
        <v>7.8</v>
      </c>
      <c r="E68">
        <f t="shared" si="1"/>
        <v>1.1000000000000001E-2</v>
      </c>
      <c r="F68">
        <f t="shared" si="2"/>
        <v>7.8E-2</v>
      </c>
      <c r="G68">
        <v>13787305</v>
      </c>
    </row>
    <row r="69" spans="1:7" x14ac:dyDescent="0.2">
      <c r="A69" t="s">
        <v>13</v>
      </c>
      <c r="B69">
        <v>2022</v>
      </c>
      <c r="C69">
        <v>1.3</v>
      </c>
      <c r="D69">
        <v>7.4</v>
      </c>
      <c r="E69">
        <f t="shared" si="1"/>
        <v>1.3000000000000001E-2</v>
      </c>
      <c r="F69">
        <f t="shared" si="2"/>
        <v>7.400000000000001E-2</v>
      </c>
      <c r="G69">
        <v>3762793</v>
      </c>
    </row>
    <row r="70" spans="1:7" x14ac:dyDescent="0.2">
      <c r="A70" t="s">
        <v>14</v>
      </c>
      <c r="B70">
        <v>2022</v>
      </c>
      <c r="C70">
        <v>1</v>
      </c>
      <c r="D70">
        <v>7.8</v>
      </c>
      <c r="E70">
        <f t="shared" si="1"/>
        <v>0.01</v>
      </c>
      <c r="F70">
        <f t="shared" si="2"/>
        <v>7.8E-2</v>
      </c>
      <c r="G70">
        <v>25553355</v>
      </c>
    </row>
    <row r="71" spans="1:7" x14ac:dyDescent="0.2">
      <c r="A71" t="s">
        <v>15</v>
      </c>
      <c r="B71">
        <v>2022</v>
      </c>
      <c r="C71">
        <v>1.7</v>
      </c>
      <c r="D71">
        <v>7.8</v>
      </c>
      <c r="E71">
        <f t="shared" si="1"/>
        <v>1.7000000000000001E-2</v>
      </c>
      <c r="F71">
        <f t="shared" si="2"/>
        <v>7.8E-2</v>
      </c>
      <c r="G71">
        <v>23119971</v>
      </c>
    </row>
    <row r="72" spans="1:7" x14ac:dyDescent="0.2">
      <c r="A72" t="s">
        <v>16</v>
      </c>
      <c r="B72">
        <v>2022</v>
      </c>
      <c r="C72">
        <v>1.44</v>
      </c>
      <c r="D72">
        <v>8.9</v>
      </c>
      <c r="E72">
        <f t="shared" si="1"/>
        <v>1.44E-2</v>
      </c>
      <c r="F72">
        <f t="shared" si="2"/>
        <v>8.900000000000001E-2</v>
      </c>
      <c r="G72">
        <v>92900000</v>
      </c>
    </row>
    <row r="73" spans="1:7" x14ac:dyDescent="0.2">
      <c r="A73" t="s">
        <v>17</v>
      </c>
      <c r="B73">
        <v>2022</v>
      </c>
      <c r="C73">
        <v>1.4</v>
      </c>
      <c r="D73">
        <v>7.4</v>
      </c>
      <c r="E73">
        <f t="shared" si="1"/>
        <v>1.3999999999999999E-2</v>
      </c>
      <c r="F73">
        <f t="shared" si="2"/>
        <v>7.400000000000001E-2</v>
      </c>
      <c r="G73">
        <v>4275951</v>
      </c>
    </row>
    <row r="74" spans="1:7" x14ac:dyDescent="0.2">
      <c r="A74" t="s">
        <v>18</v>
      </c>
      <c r="B74">
        <v>2022</v>
      </c>
      <c r="C74">
        <v>1.3</v>
      </c>
      <c r="D74">
        <v>7.8</v>
      </c>
      <c r="E74">
        <f t="shared" si="1"/>
        <v>1.3000000000000001E-2</v>
      </c>
      <c r="F74">
        <f t="shared" si="2"/>
        <v>7.8E-2</v>
      </c>
      <c r="G74">
        <v>9419140</v>
      </c>
    </row>
    <row r="75" spans="1:7" x14ac:dyDescent="0.2">
      <c r="A75" t="s">
        <v>19</v>
      </c>
      <c r="B75">
        <v>2022</v>
      </c>
      <c r="C75">
        <v>1.2</v>
      </c>
      <c r="D75">
        <v>7.8</v>
      </c>
      <c r="E75">
        <f t="shared" si="1"/>
        <v>1.2E-2</v>
      </c>
      <c r="F75">
        <f t="shared" si="2"/>
        <v>7.8E-2</v>
      </c>
      <c r="G75">
        <v>16976649</v>
      </c>
    </row>
    <row r="76" spans="1:7" x14ac:dyDescent="0.2">
      <c r="A76" t="s">
        <v>20</v>
      </c>
      <c r="B76">
        <v>2022</v>
      </c>
      <c r="C76">
        <v>1.3</v>
      </c>
      <c r="D76">
        <v>7.8</v>
      </c>
      <c r="E76">
        <f t="shared" si="1"/>
        <v>1.3000000000000001E-2</v>
      </c>
      <c r="F76">
        <f t="shared" si="2"/>
        <v>7.8E-2</v>
      </c>
      <c r="G76">
        <v>13742722</v>
      </c>
    </row>
    <row r="77" spans="1:7" x14ac:dyDescent="0.2">
      <c r="A77" t="s">
        <v>21</v>
      </c>
      <c r="B77">
        <v>2022</v>
      </c>
      <c r="C77">
        <v>0.77</v>
      </c>
      <c r="D77">
        <v>10</v>
      </c>
      <c r="E77">
        <f t="shared" si="1"/>
        <v>7.7000000000000002E-3</v>
      </c>
      <c r="F77">
        <f t="shared" si="2"/>
        <v>0.1</v>
      </c>
      <c r="G77">
        <v>107210000</v>
      </c>
    </row>
    <row r="78" spans="1:7" x14ac:dyDescent="0.2">
      <c r="A78" t="s">
        <v>22</v>
      </c>
      <c r="B78">
        <v>2022</v>
      </c>
      <c r="C78">
        <v>1.5</v>
      </c>
      <c r="D78">
        <v>7.8</v>
      </c>
      <c r="E78">
        <f t="shared" si="1"/>
        <v>1.4999999999999999E-2</v>
      </c>
      <c r="F78">
        <f t="shared" si="2"/>
        <v>7.8E-2</v>
      </c>
      <c r="G78">
        <v>14893355</v>
      </c>
    </row>
    <row r="79" spans="1:7" x14ac:dyDescent="0.2">
      <c r="A79" t="s">
        <v>23</v>
      </c>
      <c r="B79">
        <v>2022</v>
      </c>
      <c r="C79">
        <v>0.9</v>
      </c>
      <c r="D79">
        <v>8.6</v>
      </c>
      <c r="E79">
        <f t="shared" si="1"/>
        <v>9.0000000000000011E-3</v>
      </c>
      <c r="F79">
        <f t="shared" si="2"/>
        <v>8.5999999999999993E-2</v>
      </c>
      <c r="G79">
        <v>76140000</v>
      </c>
    </row>
    <row r="80" spans="1:7" x14ac:dyDescent="0.2">
      <c r="A80" t="s">
        <v>24</v>
      </c>
      <c r="B80">
        <v>2022</v>
      </c>
      <c r="C80">
        <v>1.4</v>
      </c>
      <c r="D80">
        <v>7.8</v>
      </c>
      <c r="E80">
        <f t="shared" si="1"/>
        <v>1.3999999999999999E-2</v>
      </c>
      <c r="F80">
        <f t="shared" si="2"/>
        <v>7.8E-2</v>
      </c>
      <c r="G80">
        <v>7669680</v>
      </c>
    </row>
    <row r="81" spans="1:7" x14ac:dyDescent="0.2">
      <c r="A81" t="s">
        <v>25</v>
      </c>
      <c r="B81">
        <v>2022</v>
      </c>
      <c r="C81">
        <v>0.7</v>
      </c>
      <c r="D81">
        <v>7.8</v>
      </c>
      <c r="E81">
        <f t="shared" si="1"/>
        <v>6.9999999999999993E-3</v>
      </c>
      <c r="F81">
        <f t="shared" si="2"/>
        <v>7.8E-2</v>
      </c>
      <c r="G81">
        <v>13554628</v>
      </c>
    </row>
    <row r="82" spans="1:7" x14ac:dyDescent="0.2">
      <c r="A82" t="s">
        <v>26</v>
      </c>
      <c r="B82">
        <v>2022</v>
      </c>
      <c r="C82">
        <v>1.4</v>
      </c>
      <c r="D82">
        <v>7.4</v>
      </c>
      <c r="E82">
        <f t="shared" si="1"/>
        <v>1.3999999999999999E-2</v>
      </c>
      <c r="F82">
        <f t="shared" si="2"/>
        <v>7.400000000000001E-2</v>
      </c>
      <c r="G82">
        <v>4854708</v>
      </c>
    </row>
    <row r="83" spans="1:7" x14ac:dyDescent="0.2">
      <c r="A83" t="s">
        <v>27</v>
      </c>
      <c r="B83">
        <v>2022</v>
      </c>
      <c r="C83">
        <v>1</v>
      </c>
      <c r="D83">
        <v>7.8</v>
      </c>
      <c r="E83">
        <f t="shared" si="1"/>
        <v>0.01</v>
      </c>
      <c r="F83">
        <f t="shared" si="2"/>
        <v>7.8E-2</v>
      </c>
      <c r="G83">
        <v>19132011</v>
      </c>
    </row>
    <row r="84" spans="1:7" x14ac:dyDescent="0.2">
      <c r="A84" t="s">
        <v>33</v>
      </c>
      <c r="B84">
        <v>2022</v>
      </c>
      <c r="C84">
        <v>1.1000000000000001</v>
      </c>
      <c r="D84">
        <v>7.8</v>
      </c>
      <c r="E84">
        <f t="shared" si="1"/>
        <v>1.1000000000000001E-2</v>
      </c>
      <c r="F84">
        <f t="shared" si="2"/>
        <v>7.8E-2</v>
      </c>
      <c r="G84">
        <v>12765911</v>
      </c>
    </row>
    <row r="85" spans="1:7" x14ac:dyDescent="0.2">
      <c r="A85" t="s">
        <v>34</v>
      </c>
      <c r="B85">
        <v>2022</v>
      </c>
      <c r="C85">
        <v>1.3</v>
      </c>
      <c r="D85">
        <v>7.8</v>
      </c>
      <c r="E85">
        <f t="shared" si="1"/>
        <v>1.3000000000000001E-2</v>
      </c>
      <c r="F85">
        <f t="shared" si="2"/>
        <v>7.8E-2</v>
      </c>
      <c r="G85">
        <v>8353746</v>
      </c>
    </row>
    <row r="86" spans="1:7" x14ac:dyDescent="0.2">
      <c r="A86" t="s">
        <v>2</v>
      </c>
      <c r="B86">
        <v>2023</v>
      </c>
      <c r="C86">
        <v>1.2</v>
      </c>
      <c r="D86">
        <v>7.8</v>
      </c>
      <c r="E86">
        <f t="shared" si="1"/>
        <v>1.2E-2</v>
      </c>
      <c r="F86">
        <f t="shared" si="2"/>
        <v>7.8E-2</v>
      </c>
      <c r="G86">
        <v>15616428</v>
      </c>
    </row>
    <row r="87" spans="1:7" x14ac:dyDescent="0.2">
      <c r="A87" t="s">
        <v>3</v>
      </c>
      <c r="B87">
        <v>2023</v>
      </c>
      <c r="C87">
        <v>0.9</v>
      </c>
      <c r="D87">
        <v>7.8</v>
      </c>
      <c r="E87">
        <f t="shared" si="1"/>
        <v>9.0000000000000011E-3</v>
      </c>
      <c r="F87">
        <f t="shared" si="2"/>
        <v>7.8E-2</v>
      </c>
      <c r="G87">
        <v>9213751</v>
      </c>
    </row>
    <row r="88" spans="1:7" x14ac:dyDescent="0.2">
      <c r="A88" t="s">
        <v>4</v>
      </c>
      <c r="B88">
        <v>2023</v>
      </c>
      <c r="C88">
        <v>1.8</v>
      </c>
      <c r="D88">
        <v>7.8</v>
      </c>
      <c r="E88">
        <f t="shared" si="1"/>
        <v>1.8000000000000002E-2</v>
      </c>
      <c r="F88">
        <f t="shared" si="2"/>
        <v>7.8E-2</v>
      </c>
      <c r="G88">
        <v>7978221</v>
      </c>
    </row>
    <row r="89" spans="1:7" x14ac:dyDescent="0.2">
      <c r="A89" t="s">
        <v>5</v>
      </c>
      <c r="B89">
        <v>2023</v>
      </c>
      <c r="C89">
        <v>1.3</v>
      </c>
      <c r="D89">
        <v>7.8</v>
      </c>
      <c r="E89">
        <f t="shared" si="1"/>
        <v>1.3000000000000001E-2</v>
      </c>
      <c r="F89">
        <f t="shared" si="2"/>
        <v>7.8E-2</v>
      </c>
      <c r="G89">
        <v>14572514</v>
      </c>
    </row>
    <row r="90" spans="1:7" x14ac:dyDescent="0.2">
      <c r="A90" t="s">
        <v>6</v>
      </c>
      <c r="B90">
        <v>2023</v>
      </c>
      <c r="C90">
        <v>1</v>
      </c>
      <c r="D90">
        <v>7.8</v>
      </c>
      <c r="E90">
        <f t="shared" si="1"/>
        <v>0.01</v>
      </c>
      <c r="F90">
        <f t="shared" si="2"/>
        <v>7.8E-2</v>
      </c>
      <c r="G90">
        <v>24240222</v>
      </c>
    </row>
    <row r="91" spans="1:7" x14ac:dyDescent="0.2">
      <c r="A91" t="s">
        <v>7</v>
      </c>
      <c r="B91">
        <v>2023</v>
      </c>
      <c r="C91">
        <v>1.4</v>
      </c>
      <c r="D91">
        <v>7.8</v>
      </c>
      <c r="E91">
        <f t="shared" si="1"/>
        <v>1.3999999999999999E-2</v>
      </c>
      <c r="F91">
        <f t="shared" si="2"/>
        <v>7.8E-2</v>
      </c>
      <c r="G91">
        <v>15975333</v>
      </c>
    </row>
    <row r="92" spans="1:7" x14ac:dyDescent="0.2">
      <c r="A92" t="s">
        <v>8</v>
      </c>
      <c r="B92">
        <v>2023</v>
      </c>
      <c r="C92">
        <v>1.4</v>
      </c>
      <c r="D92">
        <v>7.4</v>
      </c>
      <c r="E92">
        <f t="shared" si="1"/>
        <v>1.3999999999999999E-2</v>
      </c>
      <c r="F92">
        <f t="shared" si="2"/>
        <v>7.400000000000001E-2</v>
      </c>
      <c r="G92">
        <v>6396755</v>
      </c>
    </row>
    <row r="93" spans="1:7" x14ac:dyDescent="0.2">
      <c r="A93" t="s">
        <v>9</v>
      </c>
      <c r="B93">
        <v>2023</v>
      </c>
      <c r="C93">
        <v>1.6</v>
      </c>
      <c r="D93">
        <v>7.4</v>
      </c>
      <c r="E93">
        <f t="shared" si="1"/>
        <v>1.6E-2</v>
      </c>
      <c r="F93">
        <f t="shared" si="2"/>
        <v>7.400000000000001E-2</v>
      </c>
      <c r="G93">
        <v>2399511</v>
      </c>
    </row>
    <row r="94" spans="1:7" x14ac:dyDescent="0.2">
      <c r="A94" t="s">
        <v>10</v>
      </c>
      <c r="B94">
        <v>2023</v>
      </c>
      <c r="C94">
        <v>0.75</v>
      </c>
      <c r="D94">
        <v>10</v>
      </c>
      <c r="E94">
        <f t="shared" ref="E94:E141" si="3">C94/100</f>
        <v>7.4999999999999997E-3</v>
      </c>
      <c r="F94">
        <f t="shared" ref="F94:F141" si="4">D94/100</f>
        <v>0.1</v>
      </c>
      <c r="G94">
        <v>83250000</v>
      </c>
    </row>
    <row r="95" spans="1:7" x14ac:dyDescent="0.2">
      <c r="A95" t="s">
        <v>11</v>
      </c>
      <c r="B95">
        <v>2023</v>
      </c>
      <c r="C95">
        <v>1.3</v>
      </c>
      <c r="D95">
        <v>7.4</v>
      </c>
      <c r="E95">
        <f t="shared" si="3"/>
        <v>1.3000000000000001E-2</v>
      </c>
      <c r="F95">
        <f t="shared" si="4"/>
        <v>7.400000000000001E-2</v>
      </c>
      <c r="G95">
        <v>3620506</v>
      </c>
    </row>
    <row r="96" spans="1:7" x14ac:dyDescent="0.2">
      <c r="A96" t="s">
        <v>12</v>
      </c>
      <c r="B96">
        <v>2023</v>
      </c>
      <c r="C96">
        <v>1.1000000000000001</v>
      </c>
      <c r="D96">
        <v>7.8</v>
      </c>
      <c r="E96">
        <f t="shared" si="3"/>
        <v>1.1000000000000001E-2</v>
      </c>
      <c r="F96">
        <f t="shared" si="4"/>
        <v>7.8E-2</v>
      </c>
      <c r="G96">
        <v>14609603</v>
      </c>
    </row>
    <row r="97" spans="1:7" x14ac:dyDescent="0.2">
      <c r="A97" t="s">
        <v>13</v>
      </c>
      <c r="B97">
        <v>2023</v>
      </c>
      <c r="C97">
        <v>1.3</v>
      </c>
      <c r="D97">
        <v>7.4</v>
      </c>
      <c r="E97">
        <f t="shared" si="3"/>
        <v>1.3000000000000001E-2</v>
      </c>
      <c r="F97">
        <f t="shared" si="4"/>
        <v>7.400000000000001E-2</v>
      </c>
      <c r="G97">
        <v>3751454</v>
      </c>
    </row>
    <row r="98" spans="1:7" x14ac:dyDescent="0.2">
      <c r="A98" t="s">
        <v>14</v>
      </c>
      <c r="B98">
        <v>2023</v>
      </c>
      <c r="C98">
        <v>1</v>
      </c>
      <c r="D98">
        <v>7.8</v>
      </c>
      <c r="E98">
        <f t="shared" si="3"/>
        <v>0.01</v>
      </c>
      <c r="F98">
        <f t="shared" si="4"/>
        <v>7.8E-2</v>
      </c>
      <c r="G98">
        <v>27833554</v>
      </c>
    </row>
    <row r="99" spans="1:7" x14ac:dyDescent="0.2">
      <c r="A99" t="s">
        <v>15</v>
      </c>
      <c r="B99">
        <v>2023</v>
      </c>
      <c r="C99">
        <v>1.7</v>
      </c>
      <c r="D99">
        <v>7.8</v>
      </c>
      <c r="E99">
        <f t="shared" si="3"/>
        <v>1.7000000000000001E-2</v>
      </c>
      <c r="F99">
        <f t="shared" si="4"/>
        <v>7.8E-2</v>
      </c>
      <c r="G99">
        <v>23960609</v>
      </c>
    </row>
    <row r="100" spans="1:7" x14ac:dyDescent="0.2">
      <c r="A100" t="s">
        <v>16</v>
      </c>
      <c r="B100">
        <v>2023</v>
      </c>
      <c r="C100">
        <v>1.43</v>
      </c>
      <c r="D100">
        <v>8.9</v>
      </c>
      <c r="E100">
        <f t="shared" si="3"/>
        <v>1.43E-2</v>
      </c>
      <c r="F100">
        <f t="shared" si="4"/>
        <v>8.900000000000001E-2</v>
      </c>
      <c r="G100">
        <v>97140000</v>
      </c>
    </row>
    <row r="101" spans="1:7" x14ac:dyDescent="0.2">
      <c r="A101" t="s">
        <v>17</v>
      </c>
      <c r="B101">
        <v>2023</v>
      </c>
      <c r="C101">
        <v>1.4</v>
      </c>
      <c r="D101">
        <v>7.4</v>
      </c>
      <c r="E101">
        <f t="shared" si="3"/>
        <v>1.3999999999999999E-2</v>
      </c>
      <c r="F101">
        <f t="shared" si="4"/>
        <v>7.400000000000001E-2</v>
      </c>
      <c r="G101">
        <v>4525103</v>
      </c>
    </row>
    <row r="102" spans="1:7" x14ac:dyDescent="0.2">
      <c r="A102" t="s">
        <v>18</v>
      </c>
      <c r="B102">
        <v>2023</v>
      </c>
      <c r="C102">
        <v>1.4</v>
      </c>
      <c r="D102">
        <v>7.8</v>
      </c>
      <c r="E102">
        <f t="shared" si="3"/>
        <v>1.3999999999999999E-2</v>
      </c>
      <c r="F102">
        <f t="shared" si="4"/>
        <v>7.8E-2</v>
      </c>
      <c r="G102">
        <v>9583539</v>
      </c>
    </row>
    <row r="103" spans="1:7" x14ac:dyDescent="0.2">
      <c r="A103" t="s">
        <v>19</v>
      </c>
      <c r="B103">
        <v>2023</v>
      </c>
      <c r="C103">
        <v>1.2</v>
      </c>
      <c r="D103">
        <v>7.8</v>
      </c>
      <c r="E103">
        <f t="shared" si="3"/>
        <v>1.2E-2</v>
      </c>
      <c r="F103">
        <f t="shared" si="4"/>
        <v>7.8E-2</v>
      </c>
      <c r="G103">
        <v>18089630</v>
      </c>
    </row>
    <row r="104" spans="1:7" x14ac:dyDescent="0.2">
      <c r="A104" t="s">
        <v>20</v>
      </c>
      <c r="B104">
        <v>2023</v>
      </c>
      <c r="C104">
        <v>1.3</v>
      </c>
      <c r="D104">
        <v>7.8</v>
      </c>
      <c r="E104">
        <f t="shared" si="3"/>
        <v>1.3000000000000001E-2</v>
      </c>
      <c r="F104">
        <f t="shared" si="4"/>
        <v>7.8E-2</v>
      </c>
      <c r="G104">
        <v>13868401</v>
      </c>
    </row>
    <row r="105" spans="1:7" x14ac:dyDescent="0.2">
      <c r="A105" t="s">
        <v>21</v>
      </c>
      <c r="B105">
        <v>2023</v>
      </c>
      <c r="C105">
        <v>0.88</v>
      </c>
      <c r="D105">
        <v>10</v>
      </c>
      <c r="E105">
        <f t="shared" si="3"/>
        <v>8.8000000000000005E-3</v>
      </c>
      <c r="F105">
        <f t="shared" si="4"/>
        <v>0.1</v>
      </c>
      <c r="G105">
        <v>107100000</v>
      </c>
    </row>
    <row r="106" spans="1:7" x14ac:dyDescent="0.2">
      <c r="A106" t="s">
        <v>22</v>
      </c>
      <c r="B106">
        <v>2023</v>
      </c>
      <c r="C106">
        <v>1.6</v>
      </c>
      <c r="D106">
        <v>7.8</v>
      </c>
      <c r="E106">
        <f t="shared" si="3"/>
        <v>1.6E-2</v>
      </c>
      <c r="F106">
        <f t="shared" si="4"/>
        <v>7.8E-2</v>
      </c>
      <c r="G106">
        <v>15140095</v>
      </c>
    </row>
    <row r="107" spans="1:7" x14ac:dyDescent="0.2">
      <c r="A107" t="s">
        <v>23</v>
      </c>
      <c r="B107">
        <v>2023</v>
      </c>
      <c r="C107">
        <v>1</v>
      </c>
      <c r="D107">
        <v>8.6</v>
      </c>
      <c r="E107">
        <f t="shared" si="3"/>
        <v>0.01</v>
      </c>
      <c r="F107">
        <f t="shared" si="4"/>
        <v>8.5999999999999993E-2</v>
      </c>
      <c r="G107">
        <v>78950000</v>
      </c>
    </row>
    <row r="108" spans="1:7" x14ac:dyDescent="0.2">
      <c r="A108" t="s">
        <v>24</v>
      </c>
      <c r="B108">
        <v>2023</v>
      </c>
      <c r="C108">
        <v>1.4</v>
      </c>
      <c r="D108">
        <v>7.8</v>
      </c>
      <c r="E108">
        <f t="shared" si="3"/>
        <v>1.3999999999999999E-2</v>
      </c>
      <c r="F108">
        <f t="shared" si="4"/>
        <v>7.8E-2</v>
      </c>
      <c r="G108">
        <v>7977229</v>
      </c>
    </row>
    <row r="109" spans="1:7" x14ac:dyDescent="0.2">
      <c r="A109" t="s">
        <v>25</v>
      </c>
      <c r="B109">
        <v>2023</v>
      </c>
      <c r="C109">
        <v>0.7</v>
      </c>
      <c r="D109">
        <v>7.8</v>
      </c>
      <c r="E109">
        <f t="shared" si="3"/>
        <v>6.9999999999999993E-3</v>
      </c>
      <c r="F109">
        <f t="shared" si="4"/>
        <v>7.8E-2</v>
      </c>
      <c r="G109">
        <v>14044154</v>
      </c>
    </row>
    <row r="110" spans="1:7" x14ac:dyDescent="0.2">
      <c r="A110" t="s">
        <v>26</v>
      </c>
      <c r="B110">
        <v>2023</v>
      </c>
      <c r="C110">
        <v>1.4</v>
      </c>
      <c r="D110">
        <v>7.4</v>
      </c>
      <c r="E110">
        <f t="shared" si="3"/>
        <v>1.3999999999999999E-2</v>
      </c>
      <c r="F110">
        <f t="shared" si="4"/>
        <v>7.400000000000001E-2</v>
      </c>
      <c r="G110">
        <v>4855107</v>
      </c>
    </row>
    <row r="111" spans="1:7" x14ac:dyDescent="0.2">
      <c r="A111" t="s">
        <v>27</v>
      </c>
      <c r="B111">
        <v>2023</v>
      </c>
      <c r="C111">
        <v>1</v>
      </c>
      <c r="D111">
        <v>7.8</v>
      </c>
      <c r="E111">
        <f t="shared" si="3"/>
        <v>0.01</v>
      </c>
      <c r="F111">
        <f t="shared" si="4"/>
        <v>7.8E-2</v>
      </c>
      <c r="G111">
        <v>19352364</v>
      </c>
    </row>
    <row r="112" spans="1:7" x14ac:dyDescent="0.2">
      <c r="A112" t="s">
        <v>33</v>
      </c>
      <c r="B112">
        <v>2023</v>
      </c>
      <c r="C112">
        <v>1.1000000000000001</v>
      </c>
      <c r="D112">
        <v>7.8</v>
      </c>
      <c r="E112">
        <f t="shared" si="3"/>
        <v>1.1000000000000001E-2</v>
      </c>
      <c r="F112">
        <f t="shared" si="4"/>
        <v>7.8E-2</v>
      </c>
      <c r="G112">
        <v>13309961</v>
      </c>
    </row>
    <row r="113" spans="1:7" x14ac:dyDescent="0.2">
      <c r="A113" t="s">
        <v>34</v>
      </c>
      <c r="B113">
        <v>2023</v>
      </c>
      <c r="C113">
        <v>1.3</v>
      </c>
      <c r="D113">
        <v>7.8</v>
      </c>
      <c r="E113">
        <f t="shared" si="3"/>
        <v>1.3000000000000001E-2</v>
      </c>
      <c r="F113">
        <f t="shared" si="4"/>
        <v>7.8E-2</v>
      </c>
      <c r="G113">
        <v>8845849</v>
      </c>
    </row>
    <row r="114" spans="1:7" x14ac:dyDescent="0.2">
      <c r="A114" t="s">
        <v>2</v>
      </c>
      <c r="B114">
        <v>2024</v>
      </c>
      <c r="C114">
        <v>1.1000000000000001</v>
      </c>
      <c r="D114">
        <v>7.8</v>
      </c>
      <c r="E114">
        <f t="shared" si="3"/>
        <v>1.1000000000000001E-2</v>
      </c>
      <c r="F114">
        <f t="shared" si="4"/>
        <v>7.8E-2</v>
      </c>
      <c r="G114">
        <v>16714636</v>
      </c>
    </row>
    <row r="115" spans="1:7" x14ac:dyDescent="0.2">
      <c r="A115" t="s">
        <v>3</v>
      </c>
      <c r="B115">
        <v>2024</v>
      </c>
      <c r="C115">
        <v>0.9</v>
      </c>
      <c r="D115">
        <v>7.8</v>
      </c>
      <c r="E115">
        <f t="shared" si="3"/>
        <v>9.0000000000000011E-3</v>
      </c>
      <c r="F115">
        <f t="shared" si="4"/>
        <v>7.8E-2</v>
      </c>
      <c r="G115">
        <v>9739964</v>
      </c>
    </row>
    <row r="116" spans="1:7" x14ac:dyDescent="0.2">
      <c r="A116" t="s">
        <v>4</v>
      </c>
      <c r="B116">
        <v>2024</v>
      </c>
      <c r="C116">
        <v>1.8</v>
      </c>
      <c r="D116">
        <v>7.8</v>
      </c>
      <c r="E116">
        <f t="shared" si="3"/>
        <v>1.8000000000000002E-2</v>
      </c>
      <c r="F116">
        <f t="shared" si="4"/>
        <v>7.8E-2</v>
      </c>
      <c r="G116">
        <v>7983884</v>
      </c>
    </row>
    <row r="117" spans="1:7" x14ac:dyDescent="0.2">
      <c r="A117" t="s">
        <v>5</v>
      </c>
      <c r="B117">
        <v>2024</v>
      </c>
      <c r="C117">
        <v>1.4</v>
      </c>
      <c r="D117">
        <v>7.8</v>
      </c>
      <c r="E117">
        <f t="shared" si="3"/>
        <v>1.3999999999999999E-2</v>
      </c>
      <c r="F117">
        <f t="shared" si="4"/>
        <v>7.8E-2</v>
      </c>
      <c r="G117">
        <v>14626630</v>
      </c>
    </row>
    <row r="118" spans="1:7" x14ac:dyDescent="0.2">
      <c r="A118" t="s">
        <v>6</v>
      </c>
      <c r="B118">
        <v>2024</v>
      </c>
      <c r="C118">
        <v>1</v>
      </c>
      <c r="D118">
        <v>7.8</v>
      </c>
      <c r="E118">
        <f t="shared" si="3"/>
        <v>0.01</v>
      </c>
      <c r="F118">
        <f t="shared" si="4"/>
        <v>7.8E-2</v>
      </c>
      <c r="G118">
        <v>25105560</v>
      </c>
    </row>
    <row r="119" spans="1:7" x14ac:dyDescent="0.2">
      <c r="A119" t="s">
        <v>7</v>
      </c>
      <c r="B119">
        <v>2024</v>
      </c>
      <c r="C119">
        <v>1.4</v>
      </c>
      <c r="D119">
        <v>7.8</v>
      </c>
      <c r="E119">
        <f t="shared" si="3"/>
        <v>1.3999999999999999E-2</v>
      </c>
      <c r="F119">
        <f t="shared" si="4"/>
        <v>7.8E-2</v>
      </c>
      <c r="G119">
        <v>16658058</v>
      </c>
    </row>
    <row r="120" spans="1:7" x14ac:dyDescent="0.2">
      <c r="A120" t="s">
        <v>8</v>
      </c>
      <c r="B120">
        <v>2024</v>
      </c>
      <c r="C120">
        <v>1.4</v>
      </c>
      <c r="D120">
        <v>7.4</v>
      </c>
      <c r="E120">
        <f t="shared" si="3"/>
        <v>1.3999999999999999E-2</v>
      </c>
      <c r="F120">
        <f t="shared" si="4"/>
        <v>7.400000000000001E-2</v>
      </c>
      <c r="G120">
        <v>6616319</v>
      </c>
    </row>
    <row r="121" spans="1:7" x14ac:dyDescent="0.2">
      <c r="A121" t="s">
        <v>9</v>
      </c>
      <c r="B121">
        <v>2024</v>
      </c>
      <c r="C121">
        <v>1.6</v>
      </c>
      <c r="D121">
        <v>7.4</v>
      </c>
      <c r="E121">
        <f t="shared" si="3"/>
        <v>1.6E-2</v>
      </c>
      <c r="F121">
        <f t="shared" si="4"/>
        <v>7.400000000000001E-2</v>
      </c>
      <c r="G121">
        <v>2550787</v>
      </c>
    </row>
    <row r="122" spans="1:7" x14ac:dyDescent="0.2">
      <c r="A122" t="s">
        <v>10</v>
      </c>
      <c r="B122">
        <v>2024</v>
      </c>
      <c r="E122">
        <f t="shared" si="3"/>
        <v>0</v>
      </c>
      <c r="F122">
        <f t="shared" si="4"/>
        <v>0</v>
      </c>
    </row>
    <row r="123" spans="1:7" x14ac:dyDescent="0.2">
      <c r="A123" t="s">
        <v>11</v>
      </c>
      <c r="B123">
        <v>2024</v>
      </c>
      <c r="C123">
        <v>1.3</v>
      </c>
      <c r="D123">
        <v>7.4</v>
      </c>
      <c r="E123">
        <f t="shared" si="3"/>
        <v>1.3000000000000001E-2</v>
      </c>
      <c r="F123">
        <f t="shared" si="4"/>
        <v>7.400000000000001E-2</v>
      </c>
      <c r="G123">
        <v>3698246</v>
      </c>
    </row>
    <row r="124" spans="1:7" x14ac:dyDescent="0.2">
      <c r="A124" t="s">
        <v>12</v>
      </c>
      <c r="B124">
        <v>2024</v>
      </c>
      <c r="C124">
        <v>1.1000000000000001</v>
      </c>
      <c r="D124">
        <v>7.8</v>
      </c>
      <c r="E124">
        <f t="shared" si="3"/>
        <v>1.1000000000000001E-2</v>
      </c>
      <c r="F124">
        <f t="shared" si="4"/>
        <v>7.8E-2</v>
      </c>
      <c r="G124">
        <v>14865607</v>
      </c>
    </row>
    <row r="125" spans="1:7" x14ac:dyDescent="0.2">
      <c r="A125" t="s">
        <v>13</v>
      </c>
      <c r="B125">
        <v>2024</v>
      </c>
      <c r="C125">
        <v>1.3</v>
      </c>
      <c r="D125">
        <v>7.4</v>
      </c>
      <c r="E125">
        <f t="shared" si="3"/>
        <v>1.3000000000000001E-2</v>
      </c>
      <c r="F125">
        <f t="shared" si="4"/>
        <v>7.400000000000001E-2</v>
      </c>
      <c r="G125">
        <v>3964876</v>
      </c>
    </row>
    <row r="126" spans="1:7" x14ac:dyDescent="0.2">
      <c r="A126" t="s">
        <v>14</v>
      </c>
      <c r="B126">
        <v>2024</v>
      </c>
      <c r="C126">
        <v>1</v>
      </c>
      <c r="D126">
        <v>7.8</v>
      </c>
      <c r="E126">
        <f t="shared" si="3"/>
        <v>0.01</v>
      </c>
      <c r="F126">
        <f t="shared" si="4"/>
        <v>7.8E-2</v>
      </c>
      <c r="G126">
        <v>28208483</v>
      </c>
    </row>
    <row r="127" spans="1:7" x14ac:dyDescent="0.2">
      <c r="A127" t="s">
        <v>15</v>
      </c>
      <c r="B127">
        <v>2024</v>
      </c>
      <c r="C127">
        <v>1.7</v>
      </c>
      <c r="D127">
        <v>7.8</v>
      </c>
      <c r="E127">
        <f t="shared" si="3"/>
        <v>1.7000000000000001E-2</v>
      </c>
      <c r="F127">
        <f t="shared" si="4"/>
        <v>7.8E-2</v>
      </c>
      <c r="G127">
        <v>24672909</v>
      </c>
    </row>
    <row r="128" spans="1:7" x14ac:dyDescent="0.2">
      <c r="A128" t="s">
        <v>16</v>
      </c>
      <c r="B128">
        <v>2024</v>
      </c>
      <c r="C128">
        <v>1.4</v>
      </c>
      <c r="D128">
        <v>8.9</v>
      </c>
      <c r="E128">
        <f t="shared" si="3"/>
        <v>1.3999999999999999E-2</v>
      </c>
      <c r="F128">
        <f t="shared" si="4"/>
        <v>8.900000000000001E-2</v>
      </c>
      <c r="G128">
        <v>103460000</v>
      </c>
    </row>
    <row r="129" spans="1:7" x14ac:dyDescent="0.2">
      <c r="A129" t="s">
        <v>17</v>
      </c>
      <c r="B129">
        <v>2024</v>
      </c>
      <c r="C129">
        <v>1.3</v>
      </c>
      <c r="D129">
        <v>7.4</v>
      </c>
      <c r="E129">
        <f t="shared" si="3"/>
        <v>1.3000000000000001E-2</v>
      </c>
      <c r="F129">
        <f t="shared" si="4"/>
        <v>7.400000000000001E-2</v>
      </c>
      <c r="G129">
        <v>4780565</v>
      </c>
    </row>
    <row r="130" spans="1:7" x14ac:dyDescent="0.2">
      <c r="A130" t="s">
        <v>18</v>
      </c>
      <c r="B130">
        <v>2024</v>
      </c>
      <c r="C130">
        <v>1.4</v>
      </c>
      <c r="D130">
        <v>7.8</v>
      </c>
      <c r="E130">
        <f t="shared" si="3"/>
        <v>1.3999999999999999E-2</v>
      </c>
      <c r="F130">
        <f t="shared" si="4"/>
        <v>7.8E-2</v>
      </c>
      <c r="G130">
        <v>10110081</v>
      </c>
    </row>
    <row r="131" spans="1:7" x14ac:dyDescent="0.2">
      <c r="A131" t="s">
        <v>19</v>
      </c>
      <c r="B131">
        <v>2024</v>
      </c>
      <c r="C131">
        <v>1.2</v>
      </c>
      <c r="D131">
        <v>7.8</v>
      </c>
      <c r="E131">
        <f t="shared" si="3"/>
        <v>1.2E-2</v>
      </c>
      <c r="F131">
        <f t="shared" si="4"/>
        <v>7.8E-2</v>
      </c>
      <c r="G131">
        <v>18963524</v>
      </c>
    </row>
    <row r="132" spans="1:7" x14ac:dyDescent="0.2">
      <c r="A132" t="s">
        <v>20</v>
      </c>
      <c r="B132">
        <v>2024</v>
      </c>
      <c r="C132">
        <v>1.3</v>
      </c>
      <c r="D132">
        <v>7.8</v>
      </c>
      <c r="E132">
        <f t="shared" si="3"/>
        <v>1.3000000000000001E-2</v>
      </c>
      <c r="F132">
        <f t="shared" si="4"/>
        <v>7.8E-2</v>
      </c>
      <c r="G132">
        <v>14639596</v>
      </c>
    </row>
    <row r="133" spans="1:7" x14ac:dyDescent="0.2">
      <c r="A133" t="s">
        <v>21</v>
      </c>
      <c r="B133">
        <v>2024</v>
      </c>
      <c r="C133">
        <v>0.96</v>
      </c>
      <c r="D133">
        <v>10</v>
      </c>
      <c r="E133">
        <f t="shared" si="3"/>
        <v>9.5999999999999992E-3</v>
      </c>
      <c r="F133">
        <f t="shared" si="4"/>
        <v>0.1</v>
      </c>
      <c r="G133">
        <v>186270000</v>
      </c>
    </row>
    <row r="134" spans="1:7" x14ac:dyDescent="0.2">
      <c r="A134" t="s">
        <v>22</v>
      </c>
      <c r="B134">
        <v>2024</v>
      </c>
      <c r="C134">
        <v>1.6</v>
      </c>
      <c r="D134">
        <v>7.8</v>
      </c>
      <c r="E134">
        <f t="shared" si="3"/>
        <v>1.6E-2</v>
      </c>
      <c r="F134">
        <f t="shared" si="4"/>
        <v>7.8E-2</v>
      </c>
      <c r="G134">
        <v>15434612</v>
      </c>
    </row>
    <row r="135" spans="1:7" x14ac:dyDescent="0.2">
      <c r="A135" t="s">
        <v>23</v>
      </c>
      <c r="B135">
        <v>2024</v>
      </c>
      <c r="C135">
        <v>0.9</v>
      </c>
      <c r="D135">
        <v>8.6</v>
      </c>
      <c r="E135">
        <f t="shared" si="3"/>
        <v>9.0000000000000011E-3</v>
      </c>
      <c r="F135">
        <f t="shared" si="4"/>
        <v>8.5999999999999993E-2</v>
      </c>
      <c r="G135">
        <v>86440000</v>
      </c>
    </row>
    <row r="136" spans="1:7" x14ac:dyDescent="0.2">
      <c r="A136" t="s">
        <v>24</v>
      </c>
      <c r="B136">
        <v>2024</v>
      </c>
      <c r="C136">
        <v>1.4</v>
      </c>
      <c r="D136">
        <v>7.8</v>
      </c>
      <c r="E136">
        <f t="shared" si="3"/>
        <v>1.3999999999999999E-2</v>
      </c>
      <c r="F136">
        <f t="shared" si="4"/>
        <v>7.8E-2</v>
      </c>
      <c r="G136">
        <v>8402275</v>
      </c>
    </row>
    <row r="137" spans="1:7" x14ac:dyDescent="0.2">
      <c r="A137" t="s">
        <v>25</v>
      </c>
      <c r="B137">
        <v>2024</v>
      </c>
      <c r="C137">
        <v>0.7</v>
      </c>
      <c r="D137">
        <v>7.8</v>
      </c>
      <c r="E137">
        <f t="shared" si="3"/>
        <v>6.9999999999999993E-3</v>
      </c>
      <c r="F137">
        <f t="shared" si="4"/>
        <v>7.8E-2</v>
      </c>
      <c r="G137">
        <v>15045351</v>
      </c>
    </row>
    <row r="138" spans="1:7" x14ac:dyDescent="0.2">
      <c r="A138" t="s">
        <v>26</v>
      </c>
      <c r="B138">
        <v>2024</v>
      </c>
      <c r="C138">
        <v>1.4</v>
      </c>
      <c r="D138">
        <v>7.4</v>
      </c>
      <c r="E138">
        <f t="shared" si="3"/>
        <v>1.3999999999999999E-2</v>
      </c>
      <c r="F138">
        <f t="shared" si="4"/>
        <v>7.400000000000001E-2</v>
      </c>
      <c r="G138">
        <v>4876934</v>
      </c>
    </row>
    <row r="139" spans="1:7" x14ac:dyDescent="0.2">
      <c r="A139" t="s">
        <v>27</v>
      </c>
      <c r="B139">
        <v>2024</v>
      </c>
      <c r="C139">
        <v>1</v>
      </c>
      <c r="D139">
        <v>7.8</v>
      </c>
      <c r="E139">
        <f t="shared" si="3"/>
        <v>0.01</v>
      </c>
      <c r="F139">
        <f t="shared" si="4"/>
        <v>7.8E-2</v>
      </c>
      <c r="G139">
        <v>20894080</v>
      </c>
    </row>
    <row r="140" spans="1:7" x14ac:dyDescent="0.2">
      <c r="A140" t="s">
        <v>33</v>
      </c>
      <c r="B140">
        <v>2024</v>
      </c>
      <c r="C140">
        <v>1.1000000000000001</v>
      </c>
      <c r="D140">
        <v>7.8</v>
      </c>
      <c r="E140">
        <f t="shared" si="3"/>
        <v>1.1000000000000001E-2</v>
      </c>
      <c r="F140">
        <f t="shared" si="4"/>
        <v>7.8E-2</v>
      </c>
      <c r="G140">
        <v>13878975</v>
      </c>
    </row>
    <row r="141" spans="1:7" x14ac:dyDescent="0.2">
      <c r="A141" t="s">
        <v>34</v>
      </c>
      <c r="B141">
        <v>2024</v>
      </c>
      <c r="C141">
        <v>1.3</v>
      </c>
      <c r="D141">
        <v>7.8</v>
      </c>
      <c r="E141">
        <f t="shared" si="3"/>
        <v>1.3000000000000001E-2</v>
      </c>
      <c r="F141">
        <f t="shared" si="4"/>
        <v>7.8E-2</v>
      </c>
      <c r="G141">
        <v>9195670</v>
      </c>
    </row>
    <row r="142" spans="1:7" x14ac:dyDescent="0.2">
      <c r="A142" t="s">
        <v>2</v>
      </c>
      <c r="B142">
        <v>2020</v>
      </c>
      <c r="C142">
        <v>0</v>
      </c>
      <c r="D142">
        <v>7.8</v>
      </c>
      <c r="E142">
        <f t="shared" ref="E142:E164" si="5">C142/100</f>
        <v>0</v>
      </c>
      <c r="F142">
        <f t="shared" ref="F142:F164" si="6">D142/100</f>
        <v>7.8E-2</v>
      </c>
      <c r="G142">
        <v>13533490</v>
      </c>
    </row>
    <row r="143" spans="1:7" x14ac:dyDescent="0.2">
      <c r="A143" t="s">
        <v>3</v>
      </c>
      <c r="B143">
        <v>2020</v>
      </c>
      <c r="C143">
        <v>0</v>
      </c>
      <c r="D143">
        <v>7.4</v>
      </c>
      <c r="E143">
        <f t="shared" si="5"/>
        <v>0</v>
      </c>
      <c r="F143">
        <f t="shared" si="6"/>
        <v>7.400000000000001E-2</v>
      </c>
      <c r="G143">
        <v>7775801</v>
      </c>
    </row>
    <row r="144" spans="1:7" x14ac:dyDescent="0.2">
      <c r="A144" t="s">
        <v>4</v>
      </c>
      <c r="B144">
        <v>2020</v>
      </c>
      <c r="C144">
        <v>0</v>
      </c>
      <c r="D144">
        <v>7.8</v>
      </c>
      <c r="E144">
        <f t="shared" si="5"/>
        <v>0</v>
      </c>
      <c r="F144">
        <f t="shared" si="6"/>
        <v>7.8E-2</v>
      </c>
      <c r="G144">
        <v>7540796</v>
      </c>
    </row>
    <row r="145" spans="1:7" x14ac:dyDescent="0.2">
      <c r="A145" t="s">
        <v>5</v>
      </c>
      <c r="B145">
        <v>2020</v>
      </c>
      <c r="C145">
        <v>0</v>
      </c>
      <c r="D145">
        <v>7.8</v>
      </c>
      <c r="E145">
        <f t="shared" si="5"/>
        <v>0</v>
      </c>
      <c r="F145">
        <f t="shared" si="6"/>
        <v>7.8E-2</v>
      </c>
      <c r="G145">
        <v>12309181</v>
      </c>
    </row>
    <row r="146" spans="1:7" x14ac:dyDescent="0.2">
      <c r="A146" t="s">
        <v>6</v>
      </c>
      <c r="B146">
        <v>2020</v>
      </c>
      <c r="C146">
        <v>0</v>
      </c>
      <c r="D146">
        <v>7.8</v>
      </c>
      <c r="E146">
        <f t="shared" si="5"/>
        <v>0</v>
      </c>
      <c r="F146">
        <f t="shared" si="6"/>
        <v>7.8E-2</v>
      </c>
      <c r="G146">
        <v>23737911</v>
      </c>
    </row>
    <row r="147" spans="1:7" x14ac:dyDescent="0.2">
      <c r="A147" t="s">
        <v>7</v>
      </c>
      <c r="B147">
        <v>2020</v>
      </c>
      <c r="C147">
        <v>0</v>
      </c>
      <c r="D147">
        <v>7.8</v>
      </c>
      <c r="E147">
        <f t="shared" si="5"/>
        <v>0</v>
      </c>
      <c r="F147">
        <f t="shared" si="6"/>
        <v>7.8E-2</v>
      </c>
      <c r="G147">
        <v>13420304</v>
      </c>
    </row>
    <row r="148" spans="1:7" x14ac:dyDescent="0.2">
      <c r="A148" t="s">
        <v>8</v>
      </c>
      <c r="B148">
        <v>2020</v>
      </c>
      <c r="C148">
        <v>0</v>
      </c>
      <c r="D148">
        <v>7.4</v>
      </c>
      <c r="E148">
        <f t="shared" si="5"/>
        <v>0</v>
      </c>
      <c r="F148">
        <f t="shared" si="6"/>
        <v>7.400000000000001E-2</v>
      </c>
      <c r="G148">
        <v>5586670</v>
      </c>
    </row>
    <row r="149" spans="1:7" x14ac:dyDescent="0.2">
      <c r="A149" t="s">
        <v>9</v>
      </c>
      <c r="B149">
        <v>2020</v>
      </c>
      <c r="C149">
        <v>0</v>
      </c>
      <c r="D149">
        <v>7.4</v>
      </c>
      <c r="E149">
        <f t="shared" si="5"/>
        <v>0</v>
      </c>
      <c r="F149">
        <f t="shared" si="6"/>
        <v>7.400000000000001E-2</v>
      </c>
      <c r="G149">
        <v>2271441</v>
      </c>
    </row>
    <row r="150" spans="1:7" x14ac:dyDescent="0.2">
      <c r="A150" t="s">
        <v>10</v>
      </c>
      <c r="B150">
        <v>2020</v>
      </c>
      <c r="C150">
        <v>0.01</v>
      </c>
      <c r="D150">
        <v>10</v>
      </c>
      <c r="E150">
        <f t="shared" si="5"/>
        <v>1E-4</v>
      </c>
      <c r="F150">
        <f t="shared" si="6"/>
        <v>0.1</v>
      </c>
      <c r="G150">
        <v>94930000</v>
      </c>
    </row>
    <row r="151" spans="1:7" x14ac:dyDescent="0.2">
      <c r="A151" t="s">
        <v>11</v>
      </c>
      <c r="B151">
        <v>2020</v>
      </c>
      <c r="C151">
        <v>0</v>
      </c>
      <c r="D151">
        <v>7.4</v>
      </c>
      <c r="E151">
        <f t="shared" si="5"/>
        <v>0</v>
      </c>
      <c r="F151">
        <f t="shared" si="6"/>
        <v>7.400000000000001E-2</v>
      </c>
      <c r="G151">
        <v>3018771</v>
      </c>
    </row>
    <row r="152" spans="1:7" x14ac:dyDescent="0.2">
      <c r="A152" t="s">
        <v>12</v>
      </c>
      <c r="B152">
        <v>2020</v>
      </c>
      <c r="C152">
        <v>0</v>
      </c>
      <c r="D152">
        <v>7.8</v>
      </c>
      <c r="E152">
        <f t="shared" si="5"/>
        <v>0</v>
      </c>
      <c r="F152">
        <f t="shared" si="6"/>
        <v>7.8E-2</v>
      </c>
      <c r="G152">
        <v>12729282</v>
      </c>
    </row>
    <row r="153" spans="1:7" x14ac:dyDescent="0.2">
      <c r="A153" t="s">
        <v>13</v>
      </c>
      <c r="B153">
        <v>2020</v>
      </c>
      <c r="C153">
        <v>0</v>
      </c>
      <c r="D153">
        <v>7.4</v>
      </c>
      <c r="E153">
        <f t="shared" si="5"/>
        <v>0</v>
      </c>
      <c r="F153">
        <f t="shared" si="6"/>
        <v>7.400000000000001E-2</v>
      </c>
      <c r="G153">
        <v>3461687</v>
      </c>
    </row>
    <row r="154" spans="1:7" x14ac:dyDescent="0.2">
      <c r="A154" t="s">
        <v>14</v>
      </c>
      <c r="B154">
        <v>2020</v>
      </c>
      <c r="C154">
        <v>0</v>
      </c>
      <c r="D154">
        <v>7.8</v>
      </c>
      <c r="E154">
        <f t="shared" si="5"/>
        <v>0</v>
      </c>
      <c r="F154">
        <f t="shared" si="6"/>
        <v>7.8E-2</v>
      </c>
      <c r="G154">
        <v>22622151</v>
      </c>
    </row>
    <row r="155" spans="1:7" x14ac:dyDescent="0.2">
      <c r="A155" t="s">
        <v>15</v>
      </c>
      <c r="B155">
        <v>2020</v>
      </c>
      <c r="C155">
        <v>0</v>
      </c>
      <c r="D155">
        <v>7.8</v>
      </c>
      <c r="E155">
        <f t="shared" si="5"/>
        <v>0</v>
      </c>
      <c r="F155">
        <f t="shared" si="6"/>
        <v>7.8E-2</v>
      </c>
      <c r="G155">
        <v>19922354</v>
      </c>
    </row>
    <row r="156" spans="1:7" x14ac:dyDescent="0.2">
      <c r="A156" t="s">
        <v>16</v>
      </c>
      <c r="B156">
        <v>2020</v>
      </c>
      <c r="C156">
        <v>0</v>
      </c>
      <c r="D156">
        <v>9.5</v>
      </c>
      <c r="E156">
        <f t="shared" si="5"/>
        <v>0</v>
      </c>
      <c r="F156">
        <f t="shared" si="6"/>
        <v>9.5000000000000001E-2</v>
      </c>
      <c r="G156">
        <v>93550000</v>
      </c>
    </row>
    <row r="157" spans="1:7" x14ac:dyDescent="0.2">
      <c r="A157" t="s">
        <v>17</v>
      </c>
      <c r="B157">
        <v>2020</v>
      </c>
      <c r="C157">
        <v>0</v>
      </c>
      <c r="D157">
        <v>7.4</v>
      </c>
      <c r="E157">
        <f>C161/100</f>
        <v>1E-4</v>
      </c>
      <c r="F157">
        <f>D161/100</f>
        <v>9.6000000000000002E-2</v>
      </c>
      <c r="G157">
        <v>3952707</v>
      </c>
    </row>
    <row r="158" spans="1:7" x14ac:dyDescent="0.2">
      <c r="A158" t="s">
        <v>18</v>
      </c>
      <c r="B158">
        <v>2020</v>
      </c>
      <c r="C158">
        <v>0</v>
      </c>
      <c r="D158">
        <v>7.8</v>
      </c>
      <c r="E158">
        <f t="shared" si="5"/>
        <v>0</v>
      </c>
      <c r="F158">
        <f t="shared" si="6"/>
        <v>7.8E-2</v>
      </c>
      <c r="G158">
        <v>8837347</v>
      </c>
    </row>
    <row r="159" spans="1:7" x14ac:dyDescent="0.2">
      <c r="A159" t="s">
        <v>19</v>
      </c>
      <c r="B159">
        <v>2020</v>
      </c>
      <c r="C159">
        <v>0</v>
      </c>
      <c r="D159">
        <v>7.8</v>
      </c>
      <c r="E159">
        <f t="shared" si="5"/>
        <v>0</v>
      </c>
      <c r="F159">
        <f t="shared" si="6"/>
        <v>7.8E-2</v>
      </c>
      <c r="G159">
        <v>15560905</v>
      </c>
    </row>
    <row r="160" spans="1:7" x14ac:dyDescent="0.2">
      <c r="A160" t="s">
        <v>20</v>
      </c>
      <c r="B160">
        <v>2020</v>
      </c>
      <c r="C160">
        <v>0</v>
      </c>
      <c r="D160">
        <v>7.8</v>
      </c>
      <c r="E160">
        <f t="shared" si="5"/>
        <v>0</v>
      </c>
      <c r="F160">
        <f t="shared" si="6"/>
        <v>7.8E-2</v>
      </c>
      <c r="G160">
        <v>12608615</v>
      </c>
    </row>
    <row r="161" spans="1:7" x14ac:dyDescent="0.2">
      <c r="A161" t="s">
        <v>21</v>
      </c>
      <c r="B161">
        <v>2020</v>
      </c>
      <c r="C161">
        <v>0.01</v>
      </c>
      <c r="D161">
        <v>9.6</v>
      </c>
      <c r="E161" t="e">
        <f>#REF!/100</f>
        <v>#REF!</v>
      </c>
      <c r="F161" t="e">
        <f>#REF!/100</f>
        <v>#REF!</v>
      </c>
      <c r="G161">
        <v>107250000</v>
      </c>
    </row>
    <row r="162" spans="1:7" x14ac:dyDescent="0.2">
      <c r="A162" t="s">
        <v>22</v>
      </c>
      <c r="B162">
        <v>2020</v>
      </c>
      <c r="C162">
        <v>0</v>
      </c>
      <c r="D162">
        <v>7.8</v>
      </c>
      <c r="E162">
        <f t="shared" si="5"/>
        <v>0</v>
      </c>
      <c r="F162">
        <f t="shared" si="6"/>
        <v>7.8E-2</v>
      </c>
      <c r="G162">
        <v>13786212</v>
      </c>
    </row>
    <row r="163" spans="1:7" x14ac:dyDescent="0.2">
      <c r="A163" t="s">
        <v>23</v>
      </c>
      <c r="B163">
        <v>2020</v>
      </c>
      <c r="C163">
        <v>0</v>
      </c>
      <c r="D163">
        <v>8.6</v>
      </c>
      <c r="E163">
        <f t="shared" si="5"/>
        <v>0</v>
      </c>
      <c r="F163">
        <f t="shared" si="6"/>
        <v>8.5999999999999993E-2</v>
      </c>
      <c r="G163">
        <v>68520000</v>
      </c>
    </row>
    <row r="164" spans="1:7" x14ac:dyDescent="0.2">
      <c r="A164" t="s">
        <v>24</v>
      </c>
      <c r="B164">
        <v>2020</v>
      </c>
      <c r="C164">
        <v>0</v>
      </c>
      <c r="D164">
        <v>7.8</v>
      </c>
      <c r="E164">
        <f t="shared" si="5"/>
        <v>0</v>
      </c>
      <c r="F164">
        <f t="shared" si="6"/>
        <v>7.8E-2</v>
      </c>
      <c r="G164">
        <v>7176318</v>
      </c>
    </row>
    <row r="165" spans="1:7" x14ac:dyDescent="0.2">
      <c r="A165" t="s">
        <v>25</v>
      </c>
      <c r="B165">
        <v>2020</v>
      </c>
      <c r="C165">
        <v>0</v>
      </c>
      <c r="D165">
        <v>7.8</v>
      </c>
      <c r="E165">
        <f t="shared" ref="E165:E170" si="7">C165/100</f>
        <v>0</v>
      </c>
      <c r="F165">
        <f t="shared" ref="F165:F170" si="8">D165/100</f>
        <v>7.8E-2</v>
      </c>
      <c r="G165">
        <v>12683868</v>
      </c>
    </row>
    <row r="166" spans="1:7" x14ac:dyDescent="0.2">
      <c r="A166" t="s">
        <v>26</v>
      </c>
      <c r="B166">
        <v>2020</v>
      </c>
      <c r="C166">
        <v>0</v>
      </c>
      <c r="D166">
        <v>7.4</v>
      </c>
      <c r="E166">
        <f t="shared" si="7"/>
        <v>0</v>
      </c>
      <c r="F166">
        <f t="shared" si="8"/>
        <v>7.400000000000001E-2</v>
      </c>
      <c r="G166">
        <v>4809479</v>
      </c>
    </row>
    <row r="167" spans="1:7" x14ac:dyDescent="0.2">
      <c r="A167" t="s">
        <v>27</v>
      </c>
      <c r="B167">
        <v>2020</v>
      </c>
      <c r="C167">
        <v>0</v>
      </c>
      <c r="D167">
        <v>7.8</v>
      </c>
      <c r="E167">
        <f t="shared" si="7"/>
        <v>0</v>
      </c>
      <c r="F167">
        <f t="shared" si="8"/>
        <v>7.8E-2</v>
      </c>
      <c r="G167">
        <v>18377776</v>
      </c>
    </row>
    <row r="168" spans="1:7" x14ac:dyDescent="0.2">
      <c r="A168" t="s">
        <v>33</v>
      </c>
      <c r="B168">
        <v>2020</v>
      </c>
      <c r="C168">
        <v>0</v>
      </c>
      <c r="D168">
        <v>7.8</v>
      </c>
      <c r="E168">
        <f t="shared" si="7"/>
        <v>0</v>
      </c>
      <c r="F168">
        <f t="shared" si="8"/>
        <v>7.8E-2</v>
      </c>
      <c r="G168">
        <v>12065818</v>
      </c>
    </row>
    <row r="169" spans="1:7" x14ac:dyDescent="0.2">
      <c r="A169" t="s">
        <v>34</v>
      </c>
      <c r="B169">
        <v>2020</v>
      </c>
      <c r="C169">
        <v>0</v>
      </c>
      <c r="D169">
        <v>7.8</v>
      </c>
      <c r="E169">
        <f t="shared" si="7"/>
        <v>0</v>
      </c>
      <c r="F169">
        <f t="shared" si="8"/>
        <v>7.8E-2</v>
      </c>
      <c r="G169">
        <v>7994263</v>
      </c>
    </row>
    <row r="170" spans="1:7" x14ac:dyDescent="0.2">
      <c r="A170" t="s">
        <v>2</v>
      </c>
      <c r="B170">
        <v>2018</v>
      </c>
      <c r="C170">
        <v>1</v>
      </c>
      <c r="D170">
        <v>7.8</v>
      </c>
      <c r="E170">
        <f t="shared" si="7"/>
        <v>0.01</v>
      </c>
      <c r="F170">
        <f t="shared" si="8"/>
        <v>7.8E-2</v>
      </c>
      <c r="G170">
        <v>13207556</v>
      </c>
    </row>
    <row r="171" spans="1:7" x14ac:dyDescent="0.2">
      <c r="A171" t="s">
        <v>3</v>
      </c>
      <c r="B171">
        <v>2018</v>
      </c>
      <c r="C171">
        <v>0.8</v>
      </c>
      <c r="D171">
        <v>7.4</v>
      </c>
      <c r="E171">
        <f t="shared" ref="E171:E197" si="9">C171/100</f>
        <v>8.0000000000000002E-3</v>
      </c>
      <c r="F171">
        <f t="shared" ref="F171:F197" si="10">D171/100</f>
        <v>7.400000000000001E-2</v>
      </c>
      <c r="G171">
        <v>6956148</v>
      </c>
    </row>
    <row r="172" spans="1:7" x14ac:dyDescent="0.2">
      <c r="A172" t="s">
        <v>4</v>
      </c>
      <c r="B172">
        <v>2018</v>
      </c>
      <c r="C172">
        <v>1.4</v>
      </c>
      <c r="D172">
        <v>7.8</v>
      </c>
      <c r="E172">
        <f t="shared" si="9"/>
        <v>1.3999999999999999E-2</v>
      </c>
      <c r="F172">
        <f t="shared" si="10"/>
        <v>7.8E-2</v>
      </c>
      <c r="G172">
        <v>7386022</v>
      </c>
    </row>
    <row r="173" spans="1:7" x14ac:dyDescent="0.2">
      <c r="A173" t="s">
        <v>5</v>
      </c>
      <c r="B173">
        <v>2018</v>
      </c>
      <c r="C173">
        <v>1.1000000000000001</v>
      </c>
      <c r="D173">
        <v>7.8</v>
      </c>
      <c r="E173">
        <f t="shared" si="9"/>
        <v>1.1000000000000001E-2</v>
      </c>
      <c r="F173">
        <f t="shared" si="10"/>
        <v>7.8E-2</v>
      </c>
      <c r="G173">
        <v>11483419</v>
      </c>
    </row>
    <row r="174" spans="1:7" x14ac:dyDescent="0.2">
      <c r="A174" t="s">
        <v>6</v>
      </c>
      <c r="B174">
        <v>2018</v>
      </c>
      <c r="C174">
        <v>0.7</v>
      </c>
      <c r="D174">
        <v>7.8</v>
      </c>
      <c r="E174">
        <f t="shared" si="9"/>
        <v>6.9999999999999993E-3</v>
      </c>
      <c r="F174">
        <f t="shared" si="10"/>
        <v>7.8E-2</v>
      </c>
      <c r="G174">
        <v>22237066</v>
      </c>
    </row>
    <row r="175" spans="1:7" x14ac:dyDescent="0.2">
      <c r="A175" t="s">
        <v>7</v>
      </c>
      <c r="B175">
        <v>2018</v>
      </c>
      <c r="C175">
        <v>1</v>
      </c>
      <c r="D175">
        <v>7.8</v>
      </c>
      <c r="E175">
        <f t="shared" si="9"/>
        <v>0.01</v>
      </c>
      <c r="F175">
        <f t="shared" si="10"/>
        <v>7.8E-2</v>
      </c>
      <c r="G175">
        <v>13379878</v>
      </c>
    </row>
    <row r="176" spans="1:7" x14ac:dyDescent="0.2">
      <c r="A176" t="s">
        <v>8</v>
      </c>
      <c r="B176">
        <v>2018</v>
      </c>
      <c r="C176" t="s">
        <v>36</v>
      </c>
      <c r="D176">
        <v>7.4</v>
      </c>
      <c r="E176" t="e">
        <f t="shared" si="9"/>
        <v>#VALUE!</v>
      </c>
      <c r="F176">
        <f t="shared" si="10"/>
        <v>7.400000000000001E-2</v>
      </c>
    </row>
    <row r="177" spans="1:7" x14ac:dyDescent="0.2">
      <c r="A177" t="s">
        <v>9</v>
      </c>
      <c r="B177">
        <v>2018</v>
      </c>
      <c r="C177">
        <v>1.1000000000000001</v>
      </c>
      <c r="D177">
        <v>7.4</v>
      </c>
      <c r="E177">
        <f t="shared" si="9"/>
        <v>1.1000000000000001E-2</v>
      </c>
      <c r="F177">
        <f t="shared" si="10"/>
        <v>7.400000000000001E-2</v>
      </c>
      <c r="G177">
        <v>2280380</v>
      </c>
    </row>
    <row r="178" spans="1:7" x14ac:dyDescent="0.2">
      <c r="A178" t="s">
        <v>10</v>
      </c>
      <c r="B178">
        <v>2018</v>
      </c>
      <c r="C178">
        <v>0.6</v>
      </c>
      <c r="D178">
        <v>9.5</v>
      </c>
      <c r="E178">
        <f t="shared" si="9"/>
        <v>6.0000000000000001E-3</v>
      </c>
      <c r="F178">
        <f t="shared" si="10"/>
        <v>9.5000000000000001E-2</v>
      </c>
      <c r="G178">
        <v>85900000</v>
      </c>
    </row>
    <row r="179" spans="1:7" x14ac:dyDescent="0.2">
      <c r="A179" t="s">
        <v>11</v>
      </c>
      <c r="B179">
        <v>2018</v>
      </c>
      <c r="D179">
        <v>7.4</v>
      </c>
      <c r="E179">
        <f t="shared" si="9"/>
        <v>0</v>
      </c>
      <c r="F179">
        <f t="shared" si="10"/>
        <v>7.400000000000001E-2</v>
      </c>
    </row>
    <row r="180" spans="1:7" x14ac:dyDescent="0.2">
      <c r="A180" t="s">
        <v>12</v>
      </c>
      <c r="B180">
        <v>2018</v>
      </c>
      <c r="C180">
        <v>0.8</v>
      </c>
      <c r="D180">
        <v>7.8</v>
      </c>
      <c r="E180">
        <f t="shared" si="9"/>
        <v>8.0000000000000002E-3</v>
      </c>
      <c r="F180">
        <f t="shared" si="10"/>
        <v>7.8E-2</v>
      </c>
      <c r="G180">
        <v>13273877</v>
      </c>
    </row>
    <row r="181" spans="1:7" x14ac:dyDescent="0.2">
      <c r="A181" t="s">
        <v>13</v>
      </c>
      <c r="B181">
        <v>2018</v>
      </c>
      <c r="C181">
        <v>1</v>
      </c>
      <c r="D181">
        <v>7.4</v>
      </c>
      <c r="E181">
        <f t="shared" si="9"/>
        <v>0.01</v>
      </c>
      <c r="F181">
        <f t="shared" si="10"/>
        <v>7.400000000000001E-2</v>
      </c>
      <c r="G181">
        <v>3485635</v>
      </c>
    </row>
    <row r="182" spans="1:7" x14ac:dyDescent="0.2">
      <c r="A182" t="s">
        <v>14</v>
      </c>
      <c r="B182">
        <v>2018</v>
      </c>
      <c r="C182">
        <v>0.9</v>
      </c>
      <c r="D182">
        <v>7.8</v>
      </c>
      <c r="E182">
        <f t="shared" si="9"/>
        <v>9.0000000000000011E-3</v>
      </c>
      <c r="F182">
        <f t="shared" si="10"/>
        <v>7.8E-2</v>
      </c>
      <c r="G182">
        <v>18645761</v>
      </c>
    </row>
    <row r="183" spans="1:7" x14ac:dyDescent="0.2">
      <c r="A183" t="s">
        <v>15</v>
      </c>
      <c r="B183">
        <v>2018</v>
      </c>
      <c r="C183">
        <v>1.3</v>
      </c>
      <c r="D183">
        <v>7.8</v>
      </c>
      <c r="E183">
        <f t="shared" si="9"/>
        <v>1.3000000000000001E-2</v>
      </c>
      <c r="F183">
        <f t="shared" si="10"/>
        <v>7.8E-2</v>
      </c>
      <c r="G183">
        <v>19662309</v>
      </c>
    </row>
    <row r="184" spans="1:7" x14ac:dyDescent="0.2">
      <c r="A184" t="s">
        <v>16</v>
      </c>
      <c r="B184">
        <v>2018</v>
      </c>
      <c r="C184">
        <v>1.2</v>
      </c>
      <c r="D184">
        <v>9.5</v>
      </c>
      <c r="E184">
        <f t="shared" si="9"/>
        <v>1.2E-2</v>
      </c>
      <c r="F184">
        <f t="shared" si="10"/>
        <v>9.5000000000000001E-2</v>
      </c>
      <c r="G184">
        <v>99310000</v>
      </c>
    </row>
    <row r="185" spans="1:7" x14ac:dyDescent="0.2">
      <c r="A185" t="s">
        <v>17</v>
      </c>
      <c r="B185">
        <v>2018</v>
      </c>
      <c r="C185">
        <v>1</v>
      </c>
      <c r="D185">
        <v>7.4</v>
      </c>
      <c r="E185">
        <f t="shared" si="9"/>
        <v>0.01</v>
      </c>
      <c r="F185">
        <f t="shared" si="10"/>
        <v>7.400000000000001E-2</v>
      </c>
      <c r="G185">
        <v>3829067</v>
      </c>
    </row>
    <row r="186" spans="1:7" x14ac:dyDescent="0.2">
      <c r="A186" t="s">
        <v>18</v>
      </c>
      <c r="B186">
        <v>2018</v>
      </c>
      <c r="C186">
        <v>1</v>
      </c>
      <c r="D186">
        <v>7.8</v>
      </c>
      <c r="E186">
        <f t="shared" si="9"/>
        <v>0.01</v>
      </c>
      <c r="F186">
        <f t="shared" si="10"/>
        <v>7.8E-2</v>
      </c>
      <c r="G186">
        <v>8517085</v>
      </c>
    </row>
    <row r="187" spans="1:7" x14ac:dyDescent="0.2">
      <c r="A187" t="s">
        <v>19</v>
      </c>
      <c r="B187">
        <v>2018</v>
      </c>
      <c r="C187">
        <v>1</v>
      </c>
      <c r="D187">
        <v>7.8</v>
      </c>
      <c r="E187">
        <f t="shared" si="9"/>
        <v>0.01</v>
      </c>
      <c r="F187">
        <f t="shared" si="10"/>
        <v>7.8E-2</v>
      </c>
      <c r="G187">
        <v>14812785</v>
      </c>
    </row>
    <row r="188" spans="1:7" x14ac:dyDescent="0.2">
      <c r="A188" t="s">
        <v>20</v>
      </c>
      <c r="B188">
        <v>2018</v>
      </c>
      <c r="C188">
        <v>1</v>
      </c>
      <c r="D188">
        <v>7.8</v>
      </c>
      <c r="E188">
        <f t="shared" si="9"/>
        <v>0.01</v>
      </c>
      <c r="F188">
        <f t="shared" si="10"/>
        <v>7.8E-2</v>
      </c>
      <c r="G188">
        <v>11262897</v>
      </c>
    </row>
    <row r="189" spans="1:7" x14ac:dyDescent="0.2">
      <c r="A189" t="s">
        <v>21</v>
      </c>
      <c r="B189">
        <v>2018</v>
      </c>
      <c r="C189">
        <v>0.6</v>
      </c>
      <c r="D189">
        <v>9.5</v>
      </c>
      <c r="E189">
        <f t="shared" si="9"/>
        <v>6.0000000000000001E-3</v>
      </c>
      <c r="F189">
        <f t="shared" si="10"/>
        <v>9.5000000000000001E-2</v>
      </c>
      <c r="G189">
        <v>95650000</v>
      </c>
    </row>
    <row r="190" spans="1:7" x14ac:dyDescent="0.2">
      <c r="A190" t="s">
        <v>22</v>
      </c>
      <c r="B190">
        <v>2018</v>
      </c>
      <c r="C190">
        <v>1.1000000000000001</v>
      </c>
      <c r="D190">
        <v>7.8</v>
      </c>
      <c r="E190">
        <f t="shared" si="9"/>
        <v>1.1000000000000001E-2</v>
      </c>
      <c r="F190">
        <f t="shared" si="10"/>
        <v>7.8E-2</v>
      </c>
      <c r="G190">
        <v>12818794</v>
      </c>
    </row>
    <row r="191" spans="1:7" x14ac:dyDescent="0.2">
      <c r="A191" t="s">
        <v>23</v>
      </c>
      <c r="B191">
        <v>2018</v>
      </c>
      <c r="C191">
        <v>0.7</v>
      </c>
      <c r="D191">
        <v>9.5</v>
      </c>
      <c r="E191">
        <f t="shared" si="9"/>
        <v>6.9999999999999993E-3</v>
      </c>
      <c r="F191">
        <f t="shared" si="10"/>
        <v>9.5000000000000001E-2</v>
      </c>
      <c r="G191">
        <v>62670000</v>
      </c>
    </row>
    <row r="192" spans="1:7" x14ac:dyDescent="0.2">
      <c r="A192" t="s">
        <v>24</v>
      </c>
      <c r="B192">
        <v>2018</v>
      </c>
      <c r="C192">
        <v>1.1000000000000001</v>
      </c>
      <c r="D192">
        <v>7.4</v>
      </c>
      <c r="E192">
        <f t="shared" si="9"/>
        <v>1.1000000000000001E-2</v>
      </c>
      <c r="F192">
        <f t="shared" si="10"/>
        <v>7.400000000000001E-2</v>
      </c>
      <c r="G192">
        <v>6806058</v>
      </c>
    </row>
    <row r="193" spans="1:7" x14ac:dyDescent="0.2">
      <c r="A193" t="s">
        <v>25</v>
      </c>
      <c r="B193">
        <v>2018</v>
      </c>
      <c r="C193">
        <v>0.6</v>
      </c>
      <c r="D193">
        <v>7.4</v>
      </c>
      <c r="E193">
        <f t="shared" si="9"/>
        <v>6.0000000000000001E-3</v>
      </c>
      <c r="F193">
        <f t="shared" si="10"/>
        <v>7.400000000000001E-2</v>
      </c>
      <c r="G193">
        <v>11857550</v>
      </c>
    </row>
    <row r="194" spans="1:7" x14ac:dyDescent="0.2">
      <c r="A194" t="s">
        <v>26</v>
      </c>
      <c r="B194">
        <v>2018</v>
      </c>
      <c r="C194">
        <v>1</v>
      </c>
      <c r="D194">
        <v>7.4</v>
      </c>
      <c r="E194">
        <f t="shared" si="9"/>
        <v>0.01</v>
      </c>
      <c r="F194">
        <f t="shared" si="10"/>
        <v>7.400000000000001E-2</v>
      </c>
      <c r="G194">
        <v>4829660</v>
      </c>
    </row>
    <row r="195" spans="1:7" x14ac:dyDescent="0.2">
      <c r="A195" t="s">
        <v>27</v>
      </c>
      <c r="B195">
        <v>2018</v>
      </c>
      <c r="C195">
        <v>0.8</v>
      </c>
      <c r="D195">
        <v>7.8</v>
      </c>
      <c r="E195">
        <f t="shared" si="9"/>
        <v>8.0000000000000002E-3</v>
      </c>
      <c r="F195">
        <f t="shared" si="10"/>
        <v>7.8E-2</v>
      </c>
      <c r="G195">
        <v>18423469</v>
      </c>
    </row>
    <row r="196" spans="1:7" x14ac:dyDescent="0.2">
      <c r="A196" t="s">
        <v>33</v>
      </c>
      <c r="B196">
        <v>2018</v>
      </c>
      <c r="C196">
        <v>0.9</v>
      </c>
      <c r="D196">
        <v>7.4</v>
      </c>
      <c r="E196">
        <f t="shared" si="9"/>
        <v>9.0000000000000011E-3</v>
      </c>
      <c r="F196">
        <f t="shared" si="10"/>
        <v>7.400000000000001E-2</v>
      </c>
      <c r="G196">
        <v>11144971</v>
      </c>
    </row>
    <row r="197" spans="1:7" x14ac:dyDescent="0.2">
      <c r="A197" t="s">
        <v>34</v>
      </c>
      <c r="B197">
        <v>2018</v>
      </c>
      <c r="C197">
        <v>0.9</v>
      </c>
      <c r="D197">
        <v>7.8</v>
      </c>
      <c r="E197">
        <f t="shared" si="9"/>
        <v>9.0000000000000011E-3</v>
      </c>
      <c r="F197">
        <f t="shared" si="10"/>
        <v>7.8E-2</v>
      </c>
      <c r="G197">
        <v>7503421</v>
      </c>
    </row>
  </sheetData>
  <hyperlinks>
    <hyperlink ref="A25" r:id="rId1" xr:uid="{17C09FB0-1CA3-9246-9696-C0C605DA22B1}"/>
    <hyperlink ref="A26" r:id="rId2" xr:uid="{9BB4E7B8-C564-204F-848A-FB33C4BD021F}"/>
    <hyperlink ref="A27" r:id="rId3" xr:uid="{A44D5512-6B6C-9B48-860A-4DABCDC3B84E}"/>
    <hyperlink ref="A53" r:id="rId4" xr:uid="{C6409634-6640-094B-8DC4-7BC94452B407}"/>
    <hyperlink ref="A54" r:id="rId5" xr:uid="{0C04B501-F40D-694D-8410-3798B6191DB4}"/>
    <hyperlink ref="A55" r:id="rId6" xr:uid="{6BD7C89E-3E8E-0F40-B84B-AD5A4ED8DA27}"/>
    <hyperlink ref="A81" r:id="rId7" xr:uid="{8BBF6082-0244-9C49-9D79-23D274B3C572}"/>
    <hyperlink ref="A82" r:id="rId8" xr:uid="{A9CC5430-CE89-EB45-B74C-F268E0462195}"/>
    <hyperlink ref="A83" r:id="rId9" xr:uid="{244DBBE8-F147-F648-8985-E69137764AC4}"/>
    <hyperlink ref="A109" r:id="rId10" xr:uid="{14A5E569-FE14-CB45-AC60-8B521358C0FD}"/>
    <hyperlink ref="A110" r:id="rId11" xr:uid="{1EC27C77-7E3D-674F-8BE8-2928B8FCBB8B}"/>
    <hyperlink ref="A111" r:id="rId12" xr:uid="{2F4D639A-BD5A-264F-A2C8-51AD214611C2}"/>
    <hyperlink ref="A137" r:id="rId13" xr:uid="{C144DE39-31E1-0C47-9B08-EFF248CDB811}"/>
    <hyperlink ref="A138" r:id="rId14" xr:uid="{6ADD93AE-E04C-E44C-AA34-9D973403C93D}"/>
    <hyperlink ref="A139" r:id="rId15" xr:uid="{49B5DE18-3AAB-5147-B04A-8D1C875B7F5A}"/>
    <hyperlink ref="A165" r:id="rId16" xr:uid="{B2EA363F-B3D5-A846-84DA-9833F1A3DC0E}"/>
    <hyperlink ref="A166" r:id="rId17" xr:uid="{9DF0D154-29C6-4B4C-A512-52EB396D419E}"/>
    <hyperlink ref="A167" r:id="rId18" xr:uid="{E282EA06-038F-E74D-9FDF-92BA91CA67F4}"/>
    <hyperlink ref="A29" r:id="rId19" display="Banque Cantonale du Valais" xr:uid="{C18136AD-7F8A-0E49-BB71-3EBD7428D91E}"/>
    <hyperlink ref="A57" r:id="rId20" display="Banque Cantonale du Valais" xr:uid="{F278C42A-E32D-3C40-88DA-371BD018F9C5}"/>
    <hyperlink ref="A85" r:id="rId21" display="Banque Cantonale du Valais" xr:uid="{2FFFE9EE-E32C-AA45-8CA5-959E99AECA2A}"/>
    <hyperlink ref="A113" r:id="rId22" display="Banque Cantonale du Valais" xr:uid="{A328F37C-8781-FD40-AAAB-698ED12F5B0E}"/>
    <hyperlink ref="A141" r:id="rId23" display="Banque Cantonale du Valais" xr:uid="{00A55F90-2EE7-DD43-9552-08B8D168AA44}"/>
    <hyperlink ref="A169" r:id="rId24" display="Banque Cantonale du Valais" xr:uid="{130FA498-700E-A840-9F78-2C0D74233216}"/>
    <hyperlink ref="A168" r:id="rId25" display="Banque Cantonale de Fribourg" xr:uid="{601425EC-50EE-DF47-B96B-477A3216CAA6}"/>
    <hyperlink ref="A140" r:id="rId26" display="Banque Cantonale de Fribourg" xr:uid="{60D6C3AB-573B-7443-9B33-D6685F078D12}"/>
    <hyperlink ref="A112" r:id="rId27" display="Banque Cantonale de Fribourg" xr:uid="{DA9B2B0C-90A5-834B-BFB1-845C9580BBD9}"/>
    <hyperlink ref="A84" r:id="rId28" display="Banque Cantonale de Fribourg" xr:uid="{15C8260B-4EB1-BA46-888F-A1BC49671273}"/>
    <hyperlink ref="A56" r:id="rId29" display="Banque Cantonale de Fribourg" xr:uid="{129536A5-DBF3-7543-BF50-16113C08010A}"/>
    <hyperlink ref="A28" r:id="rId30" display="Banque Cantonale de Fribourg" xr:uid="{3956C868-FCEB-0043-A209-36C694885182}"/>
    <hyperlink ref="A193" r:id="rId31" xr:uid="{9455BF02-A021-924D-92EB-0039BAB80C1B}"/>
    <hyperlink ref="A194" r:id="rId32" xr:uid="{25F33D57-503A-624C-BF47-4C939CE08759}"/>
    <hyperlink ref="A195" r:id="rId33" xr:uid="{6AC20881-9735-B34B-894D-5755F8BD947C}"/>
    <hyperlink ref="A197" r:id="rId34" display="Banque Cantonale du Valais" xr:uid="{1F4D3389-2A54-004D-85CD-F706D0F12DEB}"/>
    <hyperlink ref="A196" r:id="rId35" display="Banque Cantonale de Fribourg" xr:uid="{965C4D96-1FFF-CB44-BFF8-BAE3781CD2C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Alessia Jacob</dc:creator>
  <cp:lastModifiedBy>Natalia Alessia Jacob</cp:lastModifiedBy>
  <dcterms:created xsi:type="dcterms:W3CDTF">2026-02-15T07:49:00Z</dcterms:created>
  <dcterms:modified xsi:type="dcterms:W3CDTF">2026-04-21T19:35:16Z</dcterms:modified>
</cp:coreProperties>
</file>